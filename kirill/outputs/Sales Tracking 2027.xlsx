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מצטבר - בחירה" sheetId="1" state="visible" r:id="rId3"/>
    <sheet name="רבעונים" sheetId="2" state="visible" r:id="rId4"/>
    <sheet name="1" sheetId="3" state="visible" r:id="rId5"/>
    <sheet name="2" sheetId="4" state="visible" r:id="rId6"/>
    <sheet name="3" sheetId="5" state="visible" r:id="rId7"/>
    <sheet name="4" sheetId="6" state="visible" r:id="rId8"/>
    <sheet name="5" sheetId="7" state="visible" r:id="rId9"/>
    <sheet name="6" sheetId="8" state="visible" r:id="rId10"/>
    <sheet name="7" sheetId="9" state="visible" r:id="rId11"/>
    <sheet name="8" sheetId="10" state="visible" r:id="rId12"/>
    <sheet name="9" sheetId="11" state="visible" r:id="rId13"/>
    <sheet name="10" sheetId="12" state="visible" r:id="rId14"/>
    <sheet name="11" sheetId="13" state="visible" r:id="rId15"/>
    <sheet name="12" sheetId="14" state="visible" r:id="rId16"/>
    <sheet name="נתונים_שטוחים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<sst xmlns="http://schemas.openxmlformats.org/spreadsheetml/2006/main" count="1190" uniqueCount="167">
  <si>
    <t xml:space="preserve">ביצוע מצטבר לפי חודשים (ללא תקציב/מטרה - עדיין לא הוגדר תקציב 2027)</t>
  </si>
  <si>
    <t xml:space="preserve">בחר חודש (מצטבר מינואר עד החודש שנבחר, כולל):</t>
  </si>
  <si>
    <t xml:space="preserve">דצמבר</t>
  </si>
  <si>
    <t xml:space="preserve">(מספר חודש נבחר:)</t>
  </si>
  <si>
    <t xml:space="preserve">תאריך חישוב:</t>
  </si>
  <si>
    <t xml:space="preserve">02/10/26</t>
  </si>
  <si>
    <t xml:space="preserve">#</t>
  </si>
  <si>
    <t xml:space="preserve">לקוח</t>
  </si>
  <si>
    <t xml:space="preserve">קבוצה</t>
  </si>
  <si>
    <t xml:space="preserve">2024 מצטבר</t>
  </si>
  <si>
    <t xml:space="preserve">2025 מצטבר</t>
  </si>
  <si>
    <t xml:space="preserve">2026 מצטבר</t>
  </si>
  <si>
    <t xml:space="preserve">2027 מצטבר</t>
  </si>
  <si>
    <t xml:space="preserve">% מול 2026</t>
  </si>
  <si>
    <t xml:space="preserve">₪ מול 2026</t>
  </si>
  <si>
    <t xml:space="preserve">ביצוע לפי רבעונים (ללא תקציב/מטרה - עדיין לא הוגדר תקציב 2027)</t>
  </si>
  <si>
    <t xml:space="preserve">בחר רבעון:</t>
  </si>
  <si>
    <t xml:space="preserve">Q4</t>
  </si>
  <si>
    <t xml:space="preserve">(מספר רבעון נבחר:)</t>
  </si>
  <si>
    <t xml:space="preserve">2024 (רבעון)</t>
  </si>
  <si>
    <t xml:space="preserve">2025 (רבעון)</t>
  </si>
  <si>
    <t xml:space="preserve">2026 (רבעון)</t>
  </si>
  <si>
    <t xml:space="preserve">2027 (רבעון)</t>
  </si>
  <si>
    <t xml:space="preserve">דוח מכירות ינואר 2027</t>
  </si>
  <si>
    <t xml:space="preserve">תאריך הכנת התשתית: 02/10/26</t>
  </si>
  <si>
    <t xml:space="preserve">2024</t>
  </si>
  <si>
    <t xml:space="preserve">2025</t>
  </si>
  <si>
    <t xml:space="preserve">2026</t>
  </si>
  <si>
    <t xml:space="preserve">2027</t>
  </si>
  <si>
    <t xml:space="preserve">אחוז מול 2026</t>
  </si>
  <si>
    <t xml:space="preserve">כספי מול 2026  </t>
  </si>
  <si>
    <t xml:space="preserve">סופר פארם לייף</t>
  </si>
  <si>
    <t xml:space="preserve">ISR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</si>
  <si>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</si>
  <si>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</si>
  <si>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</si>
  <si>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</si>
  <si>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</si>
  <si>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מכבי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</si>
  <si>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</si>
  <si>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</si>
  <si>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</si>
  <si>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</si>
  <si>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</si>
  <si>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</si>
  <si>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</si>
  <si>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</si>
  <si>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</si>
  <si>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</si>
  <si>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</si>
  <si>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</si>
  <si>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USA</t>
  </si>
  <si>
    <t xml:space="preserve">SUPER PHARM POLAND</t>
  </si>
  <si>
    <t xml:space="preserve">POLAND</t>
  </si>
  <si>
    <t xml:space="preserve">ORTHO- PARTNER AG.</t>
  </si>
  <si>
    <t xml:space="preserve">SWITZERLAND</t>
  </si>
  <si>
    <t xml:space="preserve">SANAFLEX ANATOMIC</t>
  </si>
  <si>
    <t xml:space="preserve">GREECE</t>
  </si>
  <si>
    <t xml:space="preserve">HEALTH CARE PROD. GMBH</t>
  </si>
  <si>
    <t xml:space="preserve">GERMANY</t>
  </si>
  <si>
    <t xml:space="preserve">ORTHOMED  LTD</t>
  </si>
  <si>
    <t xml:space="preserve">BULGARIA</t>
  </si>
  <si>
    <t xml:space="preserve">SALUS</t>
  </si>
  <si>
    <t xml:space="preserve">HUNGARY</t>
  </si>
  <si>
    <t xml:space="preserve">MAX KONNARIS LTD</t>
  </si>
  <si>
    <t xml:space="preserve">CYPRUS</t>
  </si>
  <si>
    <t xml:space="preserve">MEDIPAL COMPANY</t>
  </si>
  <si>
    <t xml:space="preserve">NABLUS</t>
  </si>
  <si>
    <t xml:space="preserve">ORTOPROFIL PROD</t>
  </si>
  <si>
    <t xml:space="preserve">ROMANIA</t>
  </si>
  <si>
    <t xml:space="preserve">OY. EA. AB.</t>
  </si>
  <si>
    <t xml:space="preserve">FINLAND</t>
  </si>
  <si>
    <t xml:space="preserve">SEVEN GEAR</t>
  </si>
  <si>
    <t xml:space="preserve">PHARMAG LACHMAIR GES. MBH</t>
  </si>
  <si>
    <t xml:space="preserve">AUSTRIA</t>
  </si>
  <si>
    <t xml:space="preserve">REMEDICARE B.V.</t>
  </si>
  <si>
    <t xml:space="preserve">HOLLAND</t>
  </si>
  <si>
    <t xml:space="preserve">E.F.M.O.</t>
  </si>
  <si>
    <t xml:space="preserve">SPAIN</t>
  </si>
  <si>
    <t xml:space="preserve">ALFRED GERA</t>
  </si>
  <si>
    <t xml:space="preserve">MALTA</t>
  </si>
  <si>
    <t xml:space="preserve">QUADRIFOGLIO MEDICAL</t>
  </si>
  <si>
    <t xml:space="preserve">YOUNG IN HEALTHCARE CO.,</t>
  </si>
  <si>
    <t xml:space="preserve">KOREA</t>
  </si>
  <si>
    <t xml:space="preserve">HANS</t>
  </si>
  <si>
    <t xml:space="preserve">NEW DISTRIBUTORS</t>
  </si>
  <si>
    <t xml:space="preserve">Other </t>
  </si>
  <si>
    <t xml:space="preserve">BAKU</t>
  </si>
  <si>
    <t xml:space="preserve">AZERBAIJAN</t>
  </si>
  <si>
    <t xml:space="preserve">MEXICO</t>
  </si>
  <si>
    <t xml:space="preserve">סה"כ חו"ל</t>
  </si>
  <si>
    <t xml:space="preserve">סה"כ מכירות </t>
  </si>
  <si>
    <t xml:space="preserve">דוח מכירות פברואר 2027</t>
  </si>
  <si>
    <t xml:space="preserve">דוח מכירות מרץ 2027</t>
  </si>
  <si>
    <t xml:space="preserve">דוח מכירות אפריל 2027</t>
  </si>
  <si>
    <t xml:space="preserve">דוח מכירות מאי 2027</t>
  </si>
  <si>
    <t xml:space="preserve">דוח מכירות יוני 2027</t>
  </si>
  <si>
    <t xml:space="preserve">דוח מכירות יולי 2027</t>
  </si>
  <si>
    <t xml:space="preserve">דוח מכירות אוגוסט 2027</t>
  </si>
  <si>
    <t xml:space="preserve">דוח מכירות ספטמבר 2027</t>
  </si>
  <si>
    <t xml:space="preserve">דוח מכירות אוקטובר 2027</t>
  </si>
  <si>
    <t xml:space="preserve">דוח מכירות נובמבר 2027</t>
  </si>
  <si>
    <t xml:space="preserve">דוח מכירות דצמבר 2027</t>
  </si>
  <si>
    <t xml:space="preserve">טבלת עזר שטוחה (מוסתר) - בסיס לגיליונות 'מצטבר - בחירה' ו'רבעונים'. אל תמחק/תשנה ידנית. אין תקציב/מטרה בקובץ זה (עדיין לא הוגדר תקציב 2027).</t>
  </si>
  <si>
    <t xml:space="preserve">חודש #</t>
  </si>
  <si>
    <t xml:space="preserve">שם חודש</t>
  </si>
  <si>
    <t xml:space="preserve">ינואר-2024</t>
  </si>
  <si>
    <t xml:space="preserve">פברואר-2024</t>
  </si>
  <si>
    <t xml:space="preserve">מרץ-2024</t>
  </si>
  <si>
    <t xml:space="preserve">אפריל-2024</t>
  </si>
  <si>
    <t xml:space="preserve">מאי-2024</t>
  </si>
  <si>
    <t xml:space="preserve">יוני-2024</t>
  </si>
  <si>
    <t xml:space="preserve">יולי-2024</t>
  </si>
  <si>
    <t xml:space="preserve">אוגוסט-2024</t>
  </si>
  <si>
    <t xml:space="preserve">ספטמבר-2024</t>
  </si>
  <si>
    <t xml:space="preserve">אוקטובר-2024</t>
  </si>
  <si>
    <t xml:space="preserve">נובמבר-2024</t>
  </si>
  <si>
    <t xml:space="preserve">דצמבר-2024</t>
  </si>
  <si>
    <t xml:space="preserve">ינואר-2025</t>
  </si>
  <si>
    <t xml:space="preserve">פברואר-2025</t>
  </si>
  <si>
    <t xml:space="preserve">מרץ-2025</t>
  </si>
  <si>
    <t xml:space="preserve">אפריל-2025</t>
  </si>
  <si>
    <t xml:space="preserve">מאי-2025</t>
  </si>
  <si>
    <t xml:space="preserve">יוני-2025</t>
  </si>
  <si>
    <t xml:space="preserve">יולי-2025</t>
  </si>
  <si>
    <t xml:space="preserve">אוגוסט-2025</t>
  </si>
  <si>
    <t xml:space="preserve">ספטמבר-2025</t>
  </si>
  <si>
    <t xml:space="preserve">אוקטובר-2025</t>
  </si>
  <si>
    <t xml:space="preserve">נובמבר-2025</t>
  </si>
  <si>
    <t xml:space="preserve">דצמבר-2025</t>
  </si>
  <si>
    <t xml:space="preserve">ינואר-2026</t>
  </si>
  <si>
    <t xml:space="preserve">פברואר-2026</t>
  </si>
  <si>
    <t xml:space="preserve">מרץ-2026</t>
  </si>
  <si>
    <t xml:space="preserve">אפריל-2026</t>
  </si>
  <si>
    <t xml:space="preserve">מאי-2026</t>
  </si>
  <si>
    <t xml:space="preserve">יוני-2026</t>
  </si>
  <si>
    <t xml:space="preserve">יולי-2026</t>
  </si>
  <si>
    <t xml:space="preserve">אוגוסט-2026</t>
  </si>
  <si>
    <t xml:space="preserve">ספטמבר-2026</t>
  </si>
  <si>
    <t xml:space="preserve">אוקטובר-2026</t>
  </si>
  <si>
    <t xml:space="preserve">נובמבר-2026</t>
  </si>
  <si>
    <t xml:space="preserve">דצמבר-2026</t>
  </si>
  <si>
    <t xml:space="preserve">ינואר-2027</t>
  </si>
  <si>
    <t xml:space="preserve">פברואר-2027</t>
  </si>
  <si>
    <t xml:space="preserve">מרץ-2027</t>
  </si>
  <si>
    <t xml:space="preserve">אפריל-2027</t>
  </si>
  <si>
    <t xml:space="preserve">מאי-2027</t>
  </si>
  <si>
    <t xml:space="preserve">יוני-2027</t>
  </si>
  <si>
    <t xml:space="preserve">יולי-2027</t>
  </si>
  <si>
    <t xml:space="preserve">אוגוסט-2027</t>
  </si>
  <si>
    <t xml:space="preserve">ספטמבר-2027</t>
  </si>
  <si>
    <t xml:space="preserve">אוקטובר-2027</t>
  </si>
  <si>
    <t xml:space="preserve">נובמבר-2027</t>
  </si>
  <si>
    <t xml:space="preserve">דצמבר-2027</t>
  </si>
  <si>
    <t xml:space="preserve">ינואר</t>
  </si>
  <si>
    <t xml:space="preserve">אינדקס חודש (לשימוש SUMIFS מצטבר)</t>
  </si>
  <si>
    <t xml:space="preserve">פברואר</t>
  </si>
  <si>
    <t xml:space="preserve">אינדקס רבעון (לשימוש SUMIFS רבעוני)</t>
  </si>
  <si>
    <t xml:space="preserve">מרץ</t>
  </si>
  <si>
    <t xml:space="preserve">אפריל</t>
  </si>
  <si>
    <t xml:space="preserve">מאי</t>
  </si>
  <si>
    <t xml:space="preserve">יוני</t>
  </si>
  <si>
    <t xml:space="preserve">יולי</t>
  </si>
  <si>
    <t xml:space="preserve">אוגוסט</t>
  </si>
  <si>
    <t xml:space="preserve">ספטמבר</t>
  </si>
  <si>
    <t xml:space="preserve">אוקטובר</t>
  </si>
  <si>
    <t xml:space="preserve">נובמבר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</si>
</sst>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_ * #,##0_ ;_ * \-#,##0_ ;_ * \-??_ ;_ @_ 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0"/>
      <name val="Arial"/>
      <family val="2"/>
      <charset val="177"/>
    </font>
    <font>
      <b val="true"/>
      <sz val="11"/>
      <color theme="0"/>
      <name val="Arial"/>
      <family val="2"/>
      <charset val="177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1"/>
      <color theme="0"/>
      <name val="Arial"/>
      <family val="2"/>
      <charset val="1"/>
    </font>
    <font>
      <b val="true"/>
      <sz val="11"/>
      <color theme="3"/>
      <name val="Arial"/>
      <family val="2"/>
      <charset val="1"/>
    </font>
    <font>
      <i val="true"/>
      <sz val="11"/>
      <name val="Arial"/>
      <family val="2"/>
      <charset val="1"/>
    </font>
    <font>
      <sz val="11"/>
      <color theme="1"/>
      <name val="Arial"/>
      <family val="2"/>
      <charset val="177"/>
    </font>
    <font>
      <b val="true"/>
      <sz val="11"/>
      <color theme="1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theme="1" tint="0.3499"/>
        <bgColor rgb="FF1F497D"/>
      </patternFill>
    </fill>
    <fill>
      <patternFill patternType="solid">
        <fgColor theme="0"/>
        <bgColor rgb="FFFFFFCC"/>
      </patternFill>
    </fill>
    <fill>
      <patternFill patternType="solid">
        <fgColor theme="3" tint="0.3999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8ED5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B2" s="1" t="s">
        <v>1</v>
      </c>
      <c r="D2" s="2" t="s">
        <v>2</v>
      </c>
      <c r="E2" s="1" t="s">
        <v>3</v>
      </c>
      <c r="F2" s="1" t="n">
        <f aca="false">MATCH($D$2,נתונים_שטוחים!$BB$2:$BB$13,0)</f>
        <v>12</v>
      </c>
      <c r="G2" s="1" t="s">
        <v>4</v>
      </c>
      <c r="H2" s="1" t="s">
        <v>5</v>
      </c>
    </row>
    <row r="4" customFormat="false" ht="15" hidden="false" customHeight="true" outlineLevel="0" collapsed="false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5" t="s">
        <v>13</v>
      </c>
      <c r="I4" s="6" t="s">
        <v>14</v>
      </c>
    </row>
    <row r="5" customFormat="false" ht="15" hidden="false" customHeight="true" outlineLevel="0" collapsed="false">
      <c r="A5" s="7" t="n">
        <f aca="false">נתונים_שטוחים!A5</f>
        <v>111</v>
      </c>
      <c r="B5" s="8" t="str">
        <f aca="false">נתונים_שטוחים!B5</f>
        <v>סופר פארם לייף</v>
      </c>
      <c r="C5" s="9" t="str">
        <f aca="false">נתונים_שטוחים!C5</f>
        <v>ISR</v>
      </c>
      <c r="D5" s="10" t="n">
        <f aca="false">SUMIFS(נתונים_שטוחים!D5:O5,נתונים_שטוחים!$D$3:$O$3,"&lt;="&amp;$F$2)</f>
        <v>2052731.8</v>
      </c>
      <c r="E5" s="10" t="n">
        <f aca="false">SUMIFS(נתונים_שטוחים!P5:AA5,נתונים_שטוחים!$P$3:$AA$3,"&lt;="&amp;$F$2)</f>
        <v>1708656.85</v>
      </c>
      <c r="F5" s="10" t="n">
        <f aca="false">SUMIFS(נתונים_שטוחים!AB5:AM5,נתונים_שטוחים!$AB$3:$AM$3,"&lt;="&amp;$F$2)</f>
        <v>1328770.55</v>
      </c>
      <c r="G5" s="10" t="n">
        <f aca="false">SUMIFS(נתונים_שטוחים!AN5:AY5,נתונים_שטוחים!$AN$3:$AY$3,"&lt;="&amp;$F$2)</f>
        <v>0</v>
      </c>
      <c r="H5" s="11" t="n">
        <f aca="false">IFERROR(G5/F5-1,"-")</f>
        <v>-1</v>
      </c>
      <c r="I5" s="10" t="n">
        <f aca="false">G5-F5</f>
        <v>-1328770.55</v>
      </c>
    </row>
    <row r="6" customFormat="false" ht="15" hidden="false" customHeight="true" outlineLevel="0" collapsed="false">
      <c r="A6" s="7" t="n">
        <f aca="false">נתונים_שטוחים!A6</f>
        <v>1</v>
      </c>
      <c r="B6" s="8" t="str">
        <f aca="false">נתונים_שטוחים!B6</f>
        <v>סופרפארם</v>
      </c>
      <c r="C6" s="9" t="str">
        <f aca="false">נתונים_שטוחים!C6</f>
        <v>ISR</v>
      </c>
      <c r="D6" s="10" t="n">
        <f aca="false">SUMIFS(נתונים_שטוחים!D6:O6,נתונים_שטוחים!$D$3:$O$3,"&lt;="&amp;$F$2)</f>
        <v>5482291.178</v>
      </c>
      <c r="E6" s="10" t="n">
        <f aca="false">SUMIFS(נתונים_שטוחים!P6:AA6,נתונים_שטוחים!$P$3:$AA$3,"&lt;="&amp;$F$2)</f>
        <v>6071777.62260004</v>
      </c>
      <c r="F6" s="10" t="n">
        <f aca="false">SUMIFS(נתונים_שטוחים!AB6:AM6,נתונים_שטוחים!$AB$3:$AM$3,"&lt;="&amp;$F$2)</f>
        <v>4231396.26</v>
      </c>
      <c r="G6" s="10" t="n">
        <f aca="false">SUMIFS(נתונים_שטוחים!AN6:AY6,נתונים_שטוחים!$AN$3:$AY$3,"&lt;="&amp;$F$2)</f>
        <v>0</v>
      </c>
      <c r="H6" s="11" t="n">
        <f aca="false">IFERROR(G6/F6-1,"-")</f>
        <v>-1</v>
      </c>
      <c r="I6" s="10" t="n">
        <f aca="false">G6-F6</f>
        <v>-4231396.26</v>
      </c>
    </row>
    <row r="7" customFormat="false" ht="15" hidden="false" customHeight="true" outlineLevel="0" collapsed="false">
      <c r="A7" s="7" t="n">
        <f aca="false">נתונים_שטוחים!A7</f>
        <v>2</v>
      </c>
      <c r="B7" s="8" t="str">
        <f aca="false">נתונים_שטוחים!B7</f>
        <v>BE</v>
      </c>
      <c r="C7" s="9" t="str">
        <f aca="false">נתונים_שטוחים!C7</f>
        <v>ISR</v>
      </c>
      <c r="D7" s="10" t="n">
        <f aca="false">SUMIFS(נתונים_שטוחים!D7:O7,נתונים_שטוחים!$D$3:$O$3,"&lt;="&amp;$F$2)</f>
        <v>1089803.806</v>
      </c>
      <c r="E7" s="10" t="n">
        <f aca="false">SUMIFS(נתונים_שטוחים!P7:AA7,נתונים_שטוחים!$P$3:$AA$3,"&lt;="&amp;$F$2)</f>
        <v>828689.86</v>
      </c>
      <c r="F7" s="10" t="n">
        <f aca="false">SUMIFS(נתונים_שטוחים!AB7:AM7,נתונים_שטוחים!$AB$3:$AM$3,"&lt;="&amp;$F$2)</f>
        <v>651059.045</v>
      </c>
      <c r="G7" s="10" t="n">
        <f aca="false">SUMIFS(נתונים_שטוחים!AN7:AY7,נתונים_שטוחים!$AN$3:$AY$3,"&lt;="&amp;$F$2)</f>
        <v>0</v>
      </c>
      <c r="H7" s="11" t="n">
        <f aca="false">IFERROR(G7/F7-1,"-")</f>
        <v>-1</v>
      </c>
      <c r="I7" s="10" t="n">
        <f aca="false">G7-F7</f>
        <v>-651059.045</v>
      </c>
    </row>
    <row r="8" customFormat="false" ht="15" hidden="false" customHeight="true" outlineLevel="0" collapsed="false">
      <c r="A8" s="7" t="n">
        <f aca="false">נתונים_שטוחים!A8</f>
        <v>3</v>
      </c>
      <c r="B8" s="8" t="str">
        <f aca="false">נתונים_שטוחים!B8</f>
        <v>בתי מרקחת</v>
      </c>
      <c r="C8" s="9" t="str">
        <f aca="false">נתונים_שטוחים!C8</f>
        <v>ISR</v>
      </c>
      <c r="D8" s="10" t="n">
        <f aca="false">SUMIFS(נתונים_שטוחים!D8:O8,נתונים_שטוחים!$D$3:$O$3,"&lt;="&amp;$F$2)</f>
        <v>1835959.53</v>
      </c>
      <c r="E8" s="10" t="n">
        <f aca="false">SUMIFS(נתונים_שטוחים!P8:AA8,נתונים_שטוחים!$P$3:$AA$3,"&lt;="&amp;$F$2)</f>
        <v>1941001.5794</v>
      </c>
      <c r="F8" s="10" t="n">
        <f aca="false">SUMIFS(נתונים_שטוחים!AB8:AM8,נתונים_שטוחים!$AB$3:$AM$3,"&lt;="&amp;$F$2)</f>
        <v>1409547.845</v>
      </c>
      <c r="G8" s="10" t="n">
        <f aca="false">SUMIFS(נתונים_שטוחים!AN8:AY8,נתונים_שטוחים!$AN$3:$AY$3,"&lt;="&amp;$F$2)</f>
        <v>0</v>
      </c>
      <c r="H8" s="11" t="n">
        <f aca="false">IFERROR(G8/F8-1,"-")</f>
        <v>-1</v>
      </c>
      <c r="I8" s="10" t="n">
        <f aca="false">G8-F8</f>
        <v>-1409547.845</v>
      </c>
    </row>
    <row r="9" customFormat="false" ht="15" hidden="false" customHeight="true" outlineLevel="0" collapsed="false">
      <c r="A9" s="7" t="n">
        <f aca="false">נתונים_שטוחים!A9</f>
        <v>112</v>
      </c>
      <c r="B9" s="8" t="str">
        <f aca="false">נתונים_שטוחים!B9</f>
        <v>כללית</v>
      </c>
      <c r="C9" s="9" t="str">
        <f aca="false">נתונים_שטוחים!C9</f>
        <v>ISR</v>
      </c>
      <c r="D9" s="10" t="n">
        <f aca="false">SUMIFS(נתונים_שטוחים!D9:O9,נתונים_שטוחים!$D$3:$O$3,"&lt;="&amp;$F$2)</f>
        <v>4118466.1</v>
      </c>
      <c r="E9" s="10" t="n">
        <f aca="false">SUMIFS(נתונים_שטוחים!P9:AA9,נתונים_שטוחים!$P$3:$AA$3,"&lt;="&amp;$F$2)</f>
        <v>3809616.42</v>
      </c>
      <c r="F9" s="10" t="n">
        <f aca="false">SUMIFS(נתונים_שטוחים!AB9:AM9,נתונים_שטוחים!$AB$3:$AM$3,"&lt;="&amp;$F$2)</f>
        <v>2727663.25</v>
      </c>
      <c r="G9" s="10" t="n">
        <f aca="false">SUMIFS(נתונים_שטוחים!AN9:AY9,נתונים_שטוחים!$AN$3:$AY$3,"&lt;="&amp;$F$2)</f>
        <v>0</v>
      </c>
      <c r="H9" s="11" t="n">
        <f aca="false">IFERROR(G9/F9-1,"-")</f>
        <v>-1</v>
      </c>
      <c r="I9" s="10" t="n">
        <f aca="false">G9-F9</f>
        <v>-2727663.25</v>
      </c>
    </row>
    <row r="10" customFormat="false" ht="15" hidden="false" customHeight="true" outlineLevel="0" collapsed="false">
      <c r="A10" s="7" t="n">
        <f aca="false">נתונים_שטוחים!A10</f>
        <v>113</v>
      </c>
      <c r="B10" s="8" t="str">
        <f aca="false">נתונים_שטוחים!B10</f>
        <v>מאוחדת</v>
      </c>
      <c r="C10" s="9" t="str">
        <f aca="false">נתונים_שטוחים!C10</f>
        <v>ISR</v>
      </c>
      <c r="D10" s="10" t="n">
        <f aca="false">SUMIFS(נתונים_שטוחים!D10:O10,נתונים_שטוחים!$D$3:$O$3,"&lt;="&amp;$F$2)</f>
        <v>797978.25</v>
      </c>
      <c r="E10" s="10" t="n">
        <f aca="false">SUMIFS(נתונים_שטוחים!P10:AA10,נתונים_שטוחים!$P$3:$AA$3,"&lt;="&amp;$F$2)</f>
        <v>892626.19</v>
      </c>
      <c r="F10" s="10" t="n">
        <f aca="false">SUMIFS(נתונים_שטוחים!AB10:AM10,נתונים_שטוחים!$AB$3:$AM$3,"&lt;="&amp;$F$2)</f>
        <v>520254.741</v>
      </c>
      <c r="G10" s="10" t="n">
        <f aca="false">SUMIFS(נתונים_שטוחים!AN10:AY10,נתונים_שטוחים!$AN$3:$AY$3,"&lt;="&amp;$F$2)</f>
        <v>0</v>
      </c>
      <c r="H10" s="11" t="n">
        <f aca="false">IFERROR(G10/F10-1,"-")</f>
        <v>-1</v>
      </c>
      <c r="I10" s="10" t="n">
        <f aca="false">G10-F10</f>
        <v>-520254.741</v>
      </c>
    </row>
    <row r="11" customFormat="false" ht="15" hidden="false" customHeight="true" outlineLevel="0" collapsed="false">
      <c r="A11" s="7" t="n">
        <f aca="false">נתונים_שטוחים!A11</f>
        <v>4</v>
      </c>
      <c r="B11" s="8" t="str">
        <f aca="false">נתונים_שטוחים!B11</f>
        <v>מכבי</v>
      </c>
      <c r="C11" s="9" t="str">
        <f aca="false">נתונים_שטוחים!C11</f>
        <v>ISR</v>
      </c>
      <c r="D11" s="10" t="n">
        <f aca="false">SUMIFS(נתונים_שטוחים!D11:O11,נתונים_שטוחים!$D$3:$O$3,"&lt;="&amp;$F$2)</f>
        <v>0</v>
      </c>
      <c r="E11" s="10" t="n">
        <f aca="false">SUMIFS(נתונים_שטוחים!P11:AA11,נתונים_שטוחים!$P$3:$AA$3,"&lt;="&amp;$F$2)</f>
        <v>0</v>
      </c>
      <c r="F11" s="10" t="n">
        <f aca="false">SUMIFS(נתונים_שטוחים!AB11:AM11,נתונים_שטוחים!$AB$3:$AM$3,"&lt;="&amp;$F$2)</f>
        <v>0</v>
      </c>
      <c r="G11" s="10" t="n">
        <f aca="false">SUMIFS(נתונים_שטוחים!AN11:AY11,נתונים_שטוחים!$AN$3:$AY$3,"&lt;="&amp;$F$2)</f>
        <v>0</v>
      </c>
      <c r="H11" s="11" t="str">
        <f aca="false">IFERROR(G11/F11-1,"-")</f>
        <v>-</v>
      </c>
      <c r="I11" s="10" t="n">
        <f aca="false">G11-F11</f>
        <v>0</v>
      </c>
    </row>
    <row r="12" customFormat="false" ht="15" hidden="false" customHeight="true" outlineLevel="0" collapsed="false">
      <c r="A12" s="7" t="n">
        <f aca="false">נתונים_שטוחים!A12</f>
        <v>102</v>
      </c>
      <c r="B12" s="8" t="str">
        <f aca="false">נתונים_שטוחים!B12</f>
        <v>מכוני אורטופדיה</v>
      </c>
      <c r="C12" s="9" t="str">
        <f aca="false">נתונים_שטוחים!C12</f>
        <v>ISR</v>
      </c>
      <c r="D12" s="10" t="n">
        <f aca="false">SUMIFS(נתונים_שטוחים!D12:O12,נתונים_שטוחים!$D$3:$O$3,"&lt;="&amp;$F$2)</f>
        <v>901019.25</v>
      </c>
      <c r="E12" s="10" t="n">
        <f aca="false">SUMIFS(נתונים_שטוחים!P12:AA12,נתונים_שטוחים!$P$3:$AA$3,"&lt;="&amp;$F$2)</f>
        <v>854818.94</v>
      </c>
      <c r="F12" s="10" t="n">
        <f aca="false">SUMIFS(נתונים_שטוחים!AB12:AM12,נתונים_שטוחים!$AB$3:$AM$3,"&lt;="&amp;$F$2)</f>
        <v>678114.16</v>
      </c>
      <c r="G12" s="10" t="n">
        <f aca="false">SUMIFS(נתונים_שטוחים!AN12:AY12,נתונים_שטוחים!$AN$3:$AY$3,"&lt;="&amp;$F$2)</f>
        <v>0</v>
      </c>
      <c r="H12" s="11" t="n">
        <f aca="false">IFERROR(G12/F12-1,"-")</f>
        <v>-1</v>
      </c>
      <c r="I12" s="10" t="n">
        <f aca="false">G12-F12</f>
        <v>-678114.16</v>
      </c>
    </row>
    <row r="13" customFormat="false" ht="15" hidden="false" customHeight="true" outlineLevel="0" collapsed="false">
      <c r="A13" s="7" t="n">
        <f aca="false">נתונים_שטוחים!A13</f>
        <v>101</v>
      </c>
      <c r="B13" s="8" t="str">
        <f aca="false">נתונים_שטוחים!B13</f>
        <v>לקוחות מפעל</v>
      </c>
      <c r="C13" s="9" t="str">
        <f aca="false">נתונים_שטוחים!C13</f>
        <v>ISR</v>
      </c>
      <c r="D13" s="10" t="n">
        <f aca="false">SUMIFS(נתונים_שטוחים!D13:O13,נתונים_שטוחים!$D$3:$O$3,"&lt;="&amp;$F$2)</f>
        <v>187203.67</v>
      </c>
      <c r="E13" s="10" t="n">
        <f aca="false">SUMIFS(נתונים_שטוחים!P13:AA13,נתונים_שטוחים!$P$3:$AA$3,"&lt;="&amp;$F$2)</f>
        <v>185250.51</v>
      </c>
      <c r="F13" s="10" t="n">
        <f aca="false">SUMIFS(נתונים_שטוחים!AB13:AM13,נתונים_שטוחים!$AB$3:$AM$3,"&lt;="&amp;$F$2)</f>
        <v>79418.59</v>
      </c>
      <c r="G13" s="10" t="n">
        <f aca="false">SUMIFS(נתונים_שטוחים!AN13:AY13,נתונים_שטוחים!$AN$3:$AY$3,"&lt;="&amp;$F$2)</f>
        <v>0</v>
      </c>
      <c r="H13" s="11" t="n">
        <f aca="false">IFERROR(G13/F13-1,"-")</f>
        <v>-1</v>
      </c>
      <c r="I13" s="10" t="n">
        <f aca="false">G13-F13</f>
        <v>-79418.59</v>
      </c>
    </row>
    <row r="14" customFormat="false" ht="15" hidden="false" customHeight="true" outlineLevel="0" collapsed="false">
      <c r="A14" s="7" t="n">
        <f aca="false">נתונים_שטוחים!A14</f>
        <v>109</v>
      </c>
      <c r="B14" s="8" t="str">
        <f aca="false">נתונים_שטוחים!B14</f>
        <v>חנויות פרטיות</v>
      </c>
      <c r="C14" s="9" t="str">
        <f aca="false">נתונים_שטוחים!C14</f>
        <v>ISR</v>
      </c>
      <c r="D14" s="10" t="n">
        <f aca="false">SUMIFS(נתונים_שטוחים!D14:O14,נתונים_שטוחים!$D$3:$O$3,"&lt;="&amp;$F$2)</f>
        <v>92204.35</v>
      </c>
      <c r="E14" s="10" t="n">
        <f aca="false">SUMIFS(נתונים_שטוחים!P14:AA14,נתונים_שטוחים!$P$3:$AA$3,"&lt;="&amp;$F$2)</f>
        <v>57359.72</v>
      </c>
      <c r="F14" s="10" t="n">
        <f aca="false">SUMIFS(נתונים_שטוחים!AB14:AM14,נתונים_שטוחים!$AB$3:$AM$3,"&lt;="&amp;$F$2)</f>
        <v>45013.96</v>
      </c>
      <c r="G14" s="10" t="n">
        <f aca="false">SUMIFS(נתונים_שטוחים!AN14:AY14,נתונים_שטוחים!$AN$3:$AY$3,"&lt;="&amp;$F$2)</f>
        <v>0</v>
      </c>
      <c r="H14" s="11" t="n">
        <f aca="false">IFERROR(G14/F14-1,"-")</f>
        <v>-1</v>
      </c>
      <c r="I14" s="10" t="n">
        <f aca="false">G14-F14</f>
        <v>-45013.96</v>
      </c>
    </row>
    <row r="15" customFormat="false" ht="15" hidden="false" customHeight="true" outlineLevel="0" collapsed="false">
      <c r="A15" s="7" t="n">
        <f aca="false">נתונים_שטוחים!A15</f>
        <v>105</v>
      </c>
      <c r="B15" s="8" t="str">
        <f aca="false">נתונים_שטוחים!B15</f>
        <v>מכוני פדיקור</v>
      </c>
      <c r="C15" s="9" t="str">
        <f aca="false">נתונים_שטוחים!C15</f>
        <v>ISR</v>
      </c>
      <c r="D15" s="10" t="n">
        <f aca="false">SUMIFS(נתונים_שטוחים!D15:O15,נתונים_שטוחים!$D$3:$O$3,"&lt;="&amp;$F$2)</f>
        <v>3230.5</v>
      </c>
      <c r="E15" s="10" t="n">
        <f aca="false">SUMIFS(נתונים_שטוחים!P15:AA15,נתונים_שטוחים!$P$3:$AA$3,"&lt;="&amp;$F$2)</f>
        <v>4145.68</v>
      </c>
      <c r="F15" s="10" t="n">
        <f aca="false">SUMIFS(נתונים_שטוחים!AB15:AM15,נתונים_שטוחים!$AB$3:$AM$3,"&lt;="&amp;$F$2)</f>
        <v>4305.02</v>
      </c>
      <c r="G15" s="10" t="n">
        <f aca="false">SUMIFS(נתונים_שטוחים!AN15:AY15,נתונים_שטוחים!$AN$3:$AY$3,"&lt;="&amp;$F$2)</f>
        <v>0</v>
      </c>
      <c r="H15" s="11" t="n">
        <f aca="false">IFERROR(G15/F15-1,"-")</f>
        <v>-1</v>
      </c>
      <c r="I15" s="10" t="n">
        <f aca="false">G15-F15</f>
        <v>-4305.02</v>
      </c>
    </row>
    <row r="16" customFormat="false" ht="15" hidden="false" customHeight="true" outlineLevel="0" collapsed="false">
      <c r="A16" s="7" t="n">
        <f aca="false">נתונים_שטוחים!A16</f>
        <v>104</v>
      </c>
      <c r="B16" s="8" t="str">
        <f aca="false">נתונים_שטוחים!B16</f>
        <v>חנויות נעליים</v>
      </c>
      <c r="C16" s="9" t="str">
        <f aca="false">נתונים_שטוחים!C16</f>
        <v>ISR</v>
      </c>
      <c r="D16" s="10" t="n">
        <f aca="false">SUMIFS(נתונים_שטוחים!D16:O16,נתונים_שטוחים!$D$3:$O$3,"&lt;="&amp;$F$2)</f>
        <v>1583.18</v>
      </c>
      <c r="E16" s="10" t="n">
        <f aca="false">SUMIFS(נתונים_שטוחים!P16:AA16,נתונים_שטוחים!$P$3:$AA$3,"&lt;="&amp;$F$2)</f>
        <v>514.2</v>
      </c>
      <c r="F16" s="10" t="n">
        <f aca="false">SUMIFS(נתונים_שטוחים!AB16:AM16,נתונים_שטוחים!$AB$3:$AM$3,"&lt;="&amp;$F$2)</f>
        <v>1896.82</v>
      </c>
      <c r="G16" s="10" t="n">
        <f aca="false">SUMIFS(נתונים_שטוחים!AN16:AY16,נתונים_שטוחים!$AN$3:$AY$3,"&lt;="&amp;$F$2)</f>
        <v>0</v>
      </c>
      <c r="H16" s="11" t="n">
        <f aca="false">IFERROR(G16/F16-1,"-")</f>
        <v>-1</v>
      </c>
      <c r="I16" s="10" t="n">
        <f aca="false">G16-F16</f>
        <v>-1896.82</v>
      </c>
    </row>
    <row r="17" customFormat="false" ht="15" hidden="false" customHeight="true" outlineLevel="0" collapsed="false">
      <c r="A17" s="7" t="n">
        <f aca="false">נתונים_שטוחים!A17</f>
        <v>106</v>
      </c>
      <c r="B17" s="8" t="str">
        <f aca="false">נתונים_שטוחים!B17</f>
        <v>בתי חולים ושרות</v>
      </c>
      <c r="C17" s="9" t="str">
        <f aca="false">נתונים_שטוחים!C17</f>
        <v>ISR</v>
      </c>
      <c r="D17" s="10" t="n">
        <f aca="false">SUMIFS(נתונים_שטוחים!D17:O17,נתונים_שטוחים!$D$3:$O$3,"&lt;="&amp;$F$2)</f>
        <v>9577.5</v>
      </c>
      <c r="E17" s="10" t="n">
        <f aca="false">SUMIFS(נתונים_שטוחים!P17:AA17,נתונים_שטוחים!$P$3:$AA$3,"&lt;="&amp;$F$2)</f>
        <v>13532.23</v>
      </c>
      <c r="F17" s="10" t="n">
        <f aca="false">SUMIFS(נתונים_שטוחים!AB17:AM17,נתונים_שטוחים!$AB$3:$AM$3,"&lt;="&amp;$F$2)</f>
        <v>14953.48</v>
      </c>
      <c r="G17" s="10" t="n">
        <f aca="false">SUMIFS(נתונים_שטוחים!AN17:AY17,נתונים_שטוחים!$AN$3:$AY$3,"&lt;="&amp;$F$2)</f>
        <v>0</v>
      </c>
      <c r="H17" s="11" t="n">
        <f aca="false">IFERROR(G17/F17-1,"-")</f>
        <v>-1</v>
      </c>
      <c r="I17" s="10" t="n">
        <f aca="false">G17-F17</f>
        <v>-14953.48</v>
      </c>
    </row>
    <row r="18" customFormat="false" ht="15" hidden="false" customHeight="true" outlineLevel="0" collapsed="false">
      <c r="A18" s="7" t="n">
        <f aca="false">נתונים_שטוחים!A18</f>
        <v>103</v>
      </c>
      <c r="B18" s="8" t="str">
        <f aca="false">נתונים_שטוחים!B18</f>
        <v>מכוני פיזיותרפיה</v>
      </c>
      <c r="C18" s="9" t="str">
        <f aca="false">נתונים_שטוחים!C18</f>
        <v>ISR</v>
      </c>
      <c r="D18" s="10" t="n">
        <f aca="false">SUMIFS(נתונים_שטוחים!D18:O18,נתונים_שטוחים!$D$3:$O$3,"&lt;="&amp;$F$2)</f>
        <v>72915.81</v>
      </c>
      <c r="E18" s="10" t="n">
        <f aca="false">SUMIFS(נתונים_שטוחים!P18:AA18,נתונים_שטוחים!$P$3:$AA$3,"&lt;="&amp;$F$2)</f>
        <v>94701.6</v>
      </c>
      <c r="F18" s="10" t="n">
        <f aca="false">SUMIFS(נתונים_שטוחים!AB18:AM18,נתונים_שטוחים!$AB$3:$AM$3,"&lt;="&amp;$F$2)</f>
        <v>118677.26</v>
      </c>
      <c r="G18" s="10" t="n">
        <f aca="false">SUMIFS(נתונים_שטוחים!AN18:AY18,נתונים_שטוחים!$AN$3:$AY$3,"&lt;="&amp;$F$2)</f>
        <v>0</v>
      </c>
      <c r="H18" s="11" t="n">
        <f aca="false">IFERROR(G18/F18-1,"-")</f>
        <v>-1</v>
      </c>
      <c r="I18" s="10" t="n">
        <f aca="false">G18-F18</f>
        <v>-118677.26</v>
      </c>
    </row>
    <row r="19" customFormat="false" ht="15" hidden="false" customHeight="true" outlineLevel="0" collapsed="false">
      <c r="A19" s="12"/>
      <c r="B19" s="13" t="str">
        <f aca="false">'1'!B17</f>
        <v>סה"כ ישראל ללא אונליין</v>
      </c>
      <c r="C19" s="14"/>
      <c r="D19" s="15" t="n">
        <f aca="false">SUM(D5:D18)</f>
        <v>16644964.924</v>
      </c>
      <c r="E19" s="15" t="n">
        <f aca="false">SUM(E5:E18)</f>
        <v>16462691.402</v>
      </c>
      <c r="F19" s="15" t="n">
        <f aca="false">SUM(F5:F18)</f>
        <v>11811070.981</v>
      </c>
      <c r="G19" s="15" t="n">
        <f aca="false">SUM(G5:G18)</f>
        <v>0</v>
      </c>
      <c r="H19" s="16" t="n">
        <f aca="false">IFERROR(G19/F19-1,"-")</f>
        <v>-1</v>
      </c>
      <c r="I19" s="15" t="n">
        <f aca="false">G19-F19</f>
        <v>-11811070.981</v>
      </c>
    </row>
    <row r="20" customFormat="false" ht="15" hidden="false" customHeight="true" outlineLevel="0" collapsed="false">
      <c r="A20" s="7" t="n">
        <f aca="false">נתונים_שטוחים!A19</f>
        <v>114</v>
      </c>
      <c r="B20" s="8" t="str">
        <f aca="false">נתונים_שטוחים!B19</f>
        <v>לקוחות אינטרנט</v>
      </c>
      <c r="C20" s="9" t="str">
        <f aca="false">נתונים_שטוחים!C19</f>
        <v>ISR</v>
      </c>
      <c r="D20" s="10" t="n">
        <f aca="false">SUMIFS(נתונים_שטוחים!D19:O19,נתונים_שטוחים!$D$3:$O$3,"&lt;="&amp;$F$2)</f>
        <v>683558.5</v>
      </c>
      <c r="E20" s="10" t="n">
        <f aca="false">SUMIFS(נתונים_שטוחים!P19:AA19,נתונים_שטוחים!$P$3:$AA$3,"&lt;="&amp;$F$2)</f>
        <v>1656258.29</v>
      </c>
      <c r="F20" s="10" t="n">
        <f aca="false">SUMIFS(נתונים_שטוחים!AB19:AM19,נתונים_שטוחים!$AB$3:$AM$3,"&lt;="&amp;$F$2)</f>
        <v>3368003.31000003</v>
      </c>
      <c r="G20" s="10" t="n">
        <f aca="false">SUMIFS(נתונים_שטוחים!AN19:AY19,נתונים_שטוחים!$AN$3:$AY$3,"&lt;="&amp;$F$2)</f>
        <v>0</v>
      </c>
      <c r="H20" s="11" t="n">
        <f aca="false">IFERROR(G20/F20-1,"-")</f>
        <v>-1</v>
      </c>
      <c r="I20" s="10" t="n">
        <f aca="false">G20-F20</f>
        <v>-3368003.31000003</v>
      </c>
    </row>
    <row r="21" customFormat="false" ht="15" hidden="false" customHeight="true" outlineLevel="0" collapsed="false">
      <c r="A21" s="7" t="n">
        <f aca="false">נתונים_שטוחים!A20</f>
        <v>115</v>
      </c>
      <c r="B21" s="8" t="str">
        <f aca="false">נתונים_שטוחים!B20</f>
        <v>סופר פארם מרקט פלייס</v>
      </c>
      <c r="C21" s="9" t="str">
        <f aca="false">נתונים_שטוחים!C20</f>
        <v>ISR</v>
      </c>
      <c r="D21" s="10" t="n">
        <f aca="false">SUMIFS(נתונים_שטוחים!D20:O20,נתונים_שטוחים!$D$3:$O$3,"&lt;="&amp;$F$2)</f>
        <v>35758.89</v>
      </c>
      <c r="E21" s="10" t="n">
        <f aca="false">SUMIFS(נתונים_שטוחים!P20:AA20,נתונים_שטוחים!$P$3:$AA$3,"&lt;="&amp;$F$2)</f>
        <v>27325.74</v>
      </c>
      <c r="F21" s="10" t="n">
        <f aca="false">SUMIFS(נתונים_שטוחים!AB20:AM20,נתונים_שטוחים!$AB$3:$AM$3,"&lt;="&amp;$F$2)</f>
        <v>13580.48</v>
      </c>
      <c r="G21" s="10" t="n">
        <f aca="false">SUMIFS(נתונים_שטוחים!AN20:AY20,נתונים_שטוחים!$AN$3:$AY$3,"&lt;="&amp;$F$2)</f>
        <v>0</v>
      </c>
      <c r="H21" s="11" t="n">
        <f aca="false">IFERROR(G21/F21-1,"-")</f>
        <v>-1</v>
      </c>
      <c r="I21" s="10" t="n">
        <f aca="false">G21-F21</f>
        <v>-13580.48</v>
      </c>
    </row>
    <row r="22" customFormat="false" ht="15" hidden="false" customHeight="true" outlineLevel="0" collapsed="false">
      <c r="A22" s="17"/>
      <c r="B22" s="18" t="str">
        <f aca="false">'1'!B20</f>
        <v>סה"כ ישראל</v>
      </c>
      <c r="C22" s="19"/>
      <c r="D22" s="20" t="n">
        <f aca="false">D19+D20+D21</f>
        <v>17364282.314</v>
      </c>
      <c r="E22" s="20" t="n">
        <f aca="false">E19+E20+E21</f>
        <v>18146275.432</v>
      </c>
      <c r="F22" s="20" t="n">
        <f aca="false">F19+F20+F21</f>
        <v>15192654.771</v>
      </c>
      <c r="G22" s="20" t="n">
        <f aca="false">G19+G20+G21</f>
        <v>0</v>
      </c>
      <c r="H22" s="21" t="n">
        <f aca="false">IFERROR(G22/F22-1,"-")</f>
        <v>-1</v>
      </c>
      <c r="I22" s="20" t="n">
        <f aca="false">G22-F22</f>
        <v>-15192654.771</v>
      </c>
    </row>
    <row r="23" customFormat="false" ht="15" hidden="false" customHeight="true" outlineLevel="0" collapsed="false">
      <c r="A23" s="7" t="n">
        <f aca="false">נתונים_שטוחים!A21</f>
        <v>301</v>
      </c>
      <c r="B23" s="8" t="str">
        <f aca="false">נתונים_שטוחים!B21</f>
        <v>AMAZON</v>
      </c>
      <c r="C23" s="22" t="str">
        <f aca="false">נתונים_שטוחים!C21</f>
        <v>USA</v>
      </c>
      <c r="D23" s="10" t="n">
        <f aca="false">SUMIFS(נתונים_שטוחים!D21:O21,נתונים_שטוחים!$D$3:$O$3,"&lt;="&amp;$F$2)</f>
        <v>3501494.53</v>
      </c>
      <c r="E23" s="10" t="n">
        <f aca="false">SUMIFS(נתונים_שטוחים!P21:AA21,נתונים_שטוחים!$P$3:$AA$3,"&lt;="&amp;$F$2)</f>
        <v>2705391.22</v>
      </c>
      <c r="F23" s="10" t="n">
        <f aca="false">SUMIFS(נתונים_שטוחים!AB21:AM21,נתונים_שטוחים!$AB$3:$AM$3,"&lt;="&amp;$F$2)</f>
        <v>1879662.74</v>
      </c>
      <c r="G23" s="10" t="n">
        <f aca="false">SUMIFS(נתונים_שטוחים!AN21:AY21,נתונים_שטוחים!$AN$3:$AY$3,"&lt;="&amp;$F$2)</f>
        <v>0</v>
      </c>
      <c r="H23" s="11" t="n">
        <f aca="false">IFERROR(G23/F23-1,"-")</f>
        <v>-1</v>
      </c>
      <c r="I23" s="10" t="n">
        <f aca="false">G23-F23</f>
        <v>-1879662.74</v>
      </c>
    </row>
    <row r="24" customFormat="false" ht="15" hidden="false" customHeight="true" outlineLevel="0" collapsed="false">
      <c r="A24" s="7" t="n">
        <f aca="false">נתונים_שטוחים!A22</f>
        <v>202</v>
      </c>
      <c r="B24" s="8" t="str">
        <f aca="false">נתונים_שטוחים!B22</f>
        <v>SUPER PHARM POLAND</v>
      </c>
      <c r="C24" s="22" t="str">
        <f aca="false">נתונים_שטוחים!C22</f>
        <v>POLAND</v>
      </c>
      <c r="D24" s="10" t="n">
        <f aca="false">SUMIFS(נתונים_שטוחים!D22:O22,נתונים_שטוחים!$D$3:$O$3,"&lt;="&amp;$F$2)</f>
        <v>879383.45</v>
      </c>
      <c r="E24" s="10" t="n">
        <f aca="false">SUMIFS(נתונים_שטוחים!P22:AA22,נתונים_שטוחים!$P$3:$AA$3,"&lt;="&amp;$F$2)</f>
        <v>902537.64</v>
      </c>
      <c r="F24" s="10" t="n">
        <f aca="false">SUMIFS(נתונים_שטוחים!AB22:AM22,נתונים_שטוחים!$AB$3:$AM$3,"&lt;="&amp;$F$2)</f>
        <v>474182.59</v>
      </c>
      <c r="G24" s="10" t="n">
        <f aca="false">SUMIFS(נתונים_שטוחים!AN22:AY22,נתונים_שטוחים!$AN$3:$AY$3,"&lt;="&amp;$F$2)</f>
        <v>0</v>
      </c>
      <c r="H24" s="11" t="n">
        <f aca="false">IFERROR(G24/F24-1,"-")</f>
        <v>-1</v>
      </c>
      <c r="I24" s="10" t="n">
        <f aca="false">G24-F24</f>
        <v>-474182.59</v>
      </c>
    </row>
    <row r="25" customFormat="false" ht="15" hidden="false" customHeight="true" outlineLevel="0" collapsed="false">
      <c r="A25" s="7" t="n">
        <f aca="false">נתונים_שטוחים!A23</f>
        <v>203</v>
      </c>
      <c r="B25" s="8" t="str">
        <f aca="false">נתונים_שטוחים!B23</f>
        <v>ORTHO- PARTNER AG.</v>
      </c>
      <c r="C25" s="22" t="str">
        <f aca="false">נתונים_שטוחים!C23</f>
        <v>SWITZERLAND</v>
      </c>
      <c r="D25" s="10" t="n">
        <f aca="false">SUMIFS(נתונים_שטוחים!D23:O23,נתונים_שטוחים!$D$3:$O$3,"&lt;="&amp;$F$2)</f>
        <v>633752.75</v>
      </c>
      <c r="E25" s="10" t="n">
        <f aca="false">SUMIFS(נתונים_שטוחים!P23:AA23,נתונים_שטוחים!$P$3:$AA$3,"&lt;="&amp;$F$2)</f>
        <v>405920.85</v>
      </c>
      <c r="F25" s="10" t="n">
        <f aca="false">SUMIFS(נתונים_שטוחים!AB23:AM23,נתונים_שטוחים!$AB$3:$AM$3,"&lt;="&amp;$F$2)</f>
        <v>344263.09</v>
      </c>
      <c r="G25" s="10" t="n">
        <f aca="false">SUMIFS(נתונים_שטוחים!AN23:AY23,נתונים_שטוחים!$AN$3:$AY$3,"&lt;="&amp;$F$2)</f>
        <v>0</v>
      </c>
      <c r="H25" s="11" t="n">
        <f aca="false">IFERROR(G25/F25-1,"-")</f>
        <v>-1</v>
      </c>
      <c r="I25" s="10" t="n">
        <f aca="false">G25-F25</f>
        <v>-344263.09</v>
      </c>
    </row>
    <row r="26" customFormat="false" ht="15" hidden="false" customHeight="true" outlineLevel="0" collapsed="false">
      <c r="A26" s="7" t="n">
        <f aca="false">נתונים_שטוחים!A24</f>
        <v>204</v>
      </c>
      <c r="B26" s="8" t="str">
        <f aca="false">נתונים_שטוחים!B24</f>
        <v>SANAFLEX ANATOMIC</v>
      </c>
      <c r="C26" s="22" t="str">
        <f aca="false">נתונים_שטוחים!C24</f>
        <v>GREECE</v>
      </c>
      <c r="D26" s="10" t="n">
        <f aca="false">SUMIFS(נתונים_שטוחים!D24:O24,נתונים_שטוחים!$D$3:$O$3,"&lt;="&amp;$F$2)</f>
        <v>489809</v>
      </c>
      <c r="E26" s="10" t="n">
        <f aca="false">SUMIFS(נתונים_שטוחים!P24:AA24,נתונים_שטוחים!$P$3:$AA$3,"&lt;="&amp;$F$2)</f>
        <v>414072.64</v>
      </c>
      <c r="F26" s="10" t="n">
        <f aca="false">SUMIFS(נתונים_שטוחים!AB24:AM24,נתונים_שטוחים!$AB$3:$AM$3,"&lt;="&amp;$F$2)</f>
        <v>358276.36</v>
      </c>
      <c r="G26" s="10" t="n">
        <f aca="false">SUMIFS(נתונים_שטוחים!AN24:AY24,נתונים_שטוחים!$AN$3:$AY$3,"&lt;="&amp;$F$2)</f>
        <v>0</v>
      </c>
      <c r="H26" s="11" t="n">
        <f aca="false">IFERROR(G26/F26-1,"-")</f>
        <v>-1</v>
      </c>
      <c r="I26" s="10" t="n">
        <f aca="false">G26-F26</f>
        <v>-358276.36</v>
      </c>
    </row>
    <row r="27" customFormat="false" ht="15" hidden="false" customHeight="true" outlineLevel="0" collapsed="false">
      <c r="A27" s="7" t="n">
        <f aca="false">נתונים_שטוחים!A25</f>
        <v>205</v>
      </c>
      <c r="B27" s="8" t="str">
        <f aca="false">נתונים_שטוחים!B25</f>
        <v>HEALTH CARE PROD. GMBH</v>
      </c>
      <c r="C27" s="22" t="str">
        <f aca="false">נתונים_שטוחים!C25</f>
        <v>GERMANY</v>
      </c>
      <c r="D27" s="10" t="n">
        <f aca="false">SUMIFS(נתונים_שטוחים!D25:O25,נתונים_שטוחים!$D$3:$O$3,"&lt;="&amp;$F$2)</f>
        <v>128758.9</v>
      </c>
      <c r="E27" s="10" t="n">
        <f aca="false">SUMIFS(נתונים_שטוחים!P25:AA25,נתונים_שטוחים!$P$3:$AA$3,"&lt;="&amp;$F$2)</f>
        <v>122339</v>
      </c>
      <c r="F27" s="10" t="n">
        <f aca="false">SUMIFS(נתונים_שטוחים!AB25:AM25,נתונים_שטוחים!$AB$3:$AM$3,"&lt;="&amp;$F$2)</f>
        <v>111290.53</v>
      </c>
      <c r="G27" s="10" t="n">
        <f aca="false">SUMIFS(נתונים_שטוחים!AN25:AY25,נתונים_שטוחים!$AN$3:$AY$3,"&lt;="&amp;$F$2)</f>
        <v>0</v>
      </c>
      <c r="H27" s="11" t="n">
        <f aca="false">IFERROR(G27/F27-1,"-")</f>
        <v>-1</v>
      </c>
      <c r="I27" s="10" t="n">
        <f aca="false">G27-F27</f>
        <v>-111290.53</v>
      </c>
    </row>
    <row r="28" customFormat="false" ht="15" hidden="false" customHeight="true" outlineLevel="0" collapsed="false">
      <c r="A28" s="7" t="n">
        <f aca="false">נתונים_שטוחים!A26</f>
        <v>206</v>
      </c>
      <c r="B28" s="8" t="str">
        <f aca="false">נתונים_שטוחים!B26</f>
        <v>ORTHOMED  LTD</v>
      </c>
      <c r="C28" s="22" t="str">
        <f aca="false">נתונים_שטוחים!C26</f>
        <v>BULGARIA</v>
      </c>
      <c r="D28" s="10" t="n">
        <f aca="false">SUMIFS(נתונים_שטוחים!D26:O26,נתונים_שטוחים!$D$3:$O$3,"&lt;="&amp;$F$2)</f>
        <v>160712.5</v>
      </c>
      <c r="E28" s="10" t="n">
        <f aca="false">SUMIFS(נתונים_שטוחים!P26:AA26,נתונים_שטוחים!$P$3:$AA$3,"&lt;="&amp;$F$2)</f>
        <v>52899.82</v>
      </c>
      <c r="F28" s="10" t="n">
        <f aca="false">SUMIFS(נתונים_שטוחים!AB26:AM26,נתונים_שטוחים!$AB$3:$AM$3,"&lt;="&amp;$F$2)</f>
        <v>0</v>
      </c>
      <c r="G28" s="10" t="n">
        <f aca="false">SUMIFS(נתונים_שטוחים!AN26:AY26,נתונים_שטוחים!$AN$3:$AY$3,"&lt;="&amp;$F$2)</f>
        <v>0</v>
      </c>
      <c r="H28" s="11" t="str">
        <f aca="false">IFERROR(G28/F28-1,"-")</f>
        <v>-</v>
      </c>
      <c r="I28" s="10" t="n">
        <f aca="false">G28-F28</f>
        <v>0</v>
      </c>
    </row>
    <row r="29" customFormat="false" ht="15" hidden="false" customHeight="true" outlineLevel="0" collapsed="false">
      <c r="A29" s="7" t="n">
        <f aca="false">נתונים_שטוחים!A27</f>
        <v>207</v>
      </c>
      <c r="B29" s="8" t="str">
        <f aca="false">נתונים_שטוחים!B27</f>
        <v>SALUS</v>
      </c>
      <c r="C29" s="22" t="str">
        <f aca="false">נתונים_שטוחים!C27</f>
        <v>HUNGARY</v>
      </c>
      <c r="D29" s="10" t="n">
        <f aca="false">SUMIFS(נתונים_שטוחים!D27:O27,נתונים_שטוחים!$D$3:$O$3,"&lt;="&amp;$F$2)</f>
        <v>471280.16</v>
      </c>
      <c r="E29" s="10" t="n">
        <f aca="false">SUMIFS(נתונים_שטוחים!P27:AA27,נתונים_שטוחים!$P$3:$AA$3,"&lt;="&amp;$F$2)</f>
        <v>319558.55</v>
      </c>
      <c r="F29" s="10" t="n">
        <f aca="false">SUMIFS(נתונים_שטוחים!AB27:AM27,נתונים_שטוחים!$AB$3:$AM$3,"&lt;="&amp;$F$2)</f>
        <v>365555.25</v>
      </c>
      <c r="G29" s="10" t="n">
        <f aca="false">SUMIFS(נתונים_שטוחים!AN27:AY27,נתונים_שטוחים!$AN$3:$AY$3,"&lt;="&amp;$F$2)</f>
        <v>0</v>
      </c>
      <c r="H29" s="11" t="n">
        <f aca="false">IFERROR(G29/F29-1,"-")</f>
        <v>-1</v>
      </c>
      <c r="I29" s="10" t="n">
        <f aca="false">G29-F29</f>
        <v>-365555.25</v>
      </c>
    </row>
    <row r="30" customFormat="false" ht="15" hidden="false" customHeight="true" outlineLevel="0" collapsed="false">
      <c r="A30" s="7" t="n">
        <f aca="false">נתונים_שטוחים!A28</f>
        <v>216</v>
      </c>
      <c r="B30" s="8" t="str">
        <f aca="false">נתונים_שטוחים!B28</f>
        <v>MAX KONNARIS LTD</v>
      </c>
      <c r="C30" s="22" t="str">
        <f aca="false">נתונים_שטוחים!C28</f>
        <v>CYPRUS</v>
      </c>
      <c r="D30" s="10" t="n">
        <f aca="false">SUMIFS(נתונים_שטוחים!D28:O28,נתונים_שטוחים!$D$3:$O$3,"&lt;="&amp;$F$2)</f>
        <v>162967.91</v>
      </c>
      <c r="E30" s="10" t="n">
        <f aca="false">SUMIFS(נתונים_שטוחים!P28:AA28,נתונים_שטוחים!$P$3:$AA$3,"&lt;="&amp;$F$2)</f>
        <v>86855.65</v>
      </c>
      <c r="F30" s="10" t="n">
        <f aca="false">SUMIFS(נתונים_שטוחים!AB28:AM28,נתונים_שטוחים!$AB$3:$AM$3,"&lt;="&amp;$F$2)</f>
        <v>60694.01</v>
      </c>
      <c r="G30" s="10" t="n">
        <f aca="false">SUMIFS(נתונים_שטוחים!AN28:AY28,נתונים_שטוחים!$AN$3:$AY$3,"&lt;="&amp;$F$2)</f>
        <v>0</v>
      </c>
      <c r="H30" s="11" t="n">
        <f aca="false">IFERROR(G30/F30-1,"-")</f>
        <v>-1</v>
      </c>
      <c r="I30" s="10" t="n">
        <f aca="false">G30-F30</f>
        <v>-60694.01</v>
      </c>
    </row>
    <row r="31" customFormat="false" ht="15" hidden="false" customHeight="true" outlineLevel="0" collapsed="false">
      <c r="A31" s="7" t="n">
        <f aca="false">נתונים_שטוחים!A29</f>
        <v>208</v>
      </c>
      <c r="B31" s="8" t="str">
        <f aca="false">נתונים_שטוחים!B29</f>
        <v>MEDIPAL COMPANY</v>
      </c>
      <c r="C31" s="22" t="str">
        <f aca="false">נתונים_שטוחים!C29</f>
        <v>NABLUS</v>
      </c>
      <c r="D31" s="10" t="n">
        <f aca="false">SUMIFS(נתונים_שטוחים!D29:O29,נתונים_שטוחים!$D$3:$O$3,"&lt;="&amp;$F$2)</f>
        <v>370614.64</v>
      </c>
      <c r="E31" s="10" t="n">
        <f aca="false">SUMIFS(נתונים_שטוחים!P29:AA29,נתונים_שטוחים!$P$3:$AA$3,"&lt;="&amp;$F$2)</f>
        <v>256772.1</v>
      </c>
      <c r="F31" s="10" t="n">
        <f aca="false">SUMIFS(נתונים_שטוחים!AB29:AM29,נתונים_שטוחים!$AB$3:$AM$3,"&lt;="&amp;$F$2)</f>
        <v>0</v>
      </c>
      <c r="G31" s="10" t="n">
        <f aca="false">SUMIFS(נתונים_שטוחים!AN29:AY29,נתונים_שטוחים!$AN$3:$AY$3,"&lt;="&amp;$F$2)</f>
        <v>0</v>
      </c>
      <c r="H31" s="11" t="str">
        <f aca="false">IFERROR(G31/F31-1,"-")</f>
        <v>-</v>
      </c>
      <c r="I31" s="10" t="n">
        <f aca="false">G31-F31</f>
        <v>0</v>
      </c>
    </row>
    <row r="32" customFormat="false" ht="15" hidden="false" customHeight="true" outlineLevel="0" collapsed="false">
      <c r="A32" s="7" t="n">
        <f aca="false">נתונים_שטוחים!A30</f>
        <v>209</v>
      </c>
      <c r="B32" s="8" t="str">
        <f aca="false">נתונים_שטוחים!B30</f>
        <v>ORTOPROFIL PROD</v>
      </c>
      <c r="C32" s="22" t="str">
        <f aca="false">נתונים_שטוחים!C30</f>
        <v>ROMANIA</v>
      </c>
      <c r="D32" s="10" t="n">
        <f aca="false">SUMIFS(נתונים_שטוחים!D30:O30,נתונים_שטוחים!$D$3:$O$3,"&lt;="&amp;$F$2)</f>
        <v>348874.04</v>
      </c>
      <c r="E32" s="10" t="n">
        <f aca="false">SUMIFS(נתונים_שטוחים!P30:AA30,נתונים_שטוחים!$P$3:$AA$3,"&lt;="&amp;$F$2)</f>
        <v>405953.63</v>
      </c>
      <c r="F32" s="10" t="n">
        <f aca="false">SUMIFS(נתונים_שטוחים!AB30:AM30,נתונים_שטוחים!$AB$3:$AM$3,"&lt;="&amp;$F$2)</f>
        <v>300835.11</v>
      </c>
      <c r="G32" s="10" t="n">
        <f aca="false">SUMIFS(נתונים_שטוחים!AN30:AY30,נתונים_שטוחים!$AN$3:$AY$3,"&lt;="&amp;$F$2)</f>
        <v>0</v>
      </c>
      <c r="H32" s="11" t="n">
        <f aca="false">IFERROR(G32/F32-1,"-")</f>
        <v>-1</v>
      </c>
      <c r="I32" s="10" t="n">
        <f aca="false">G32-F32</f>
        <v>-300835.11</v>
      </c>
    </row>
    <row r="33" customFormat="false" ht="15" hidden="false" customHeight="true" outlineLevel="0" collapsed="false">
      <c r="A33" s="7" t="n">
        <f aca="false">נתונים_שטוחים!A31</f>
        <v>210</v>
      </c>
      <c r="B33" s="8" t="str">
        <f aca="false">נתונים_שטוחים!B31</f>
        <v>OY. EA. AB.</v>
      </c>
      <c r="C33" s="22" t="str">
        <f aca="false">נתונים_שטוחים!C31</f>
        <v>FINLAND</v>
      </c>
      <c r="D33" s="10" t="n">
        <f aca="false">SUMIFS(נתונים_שטוחים!D31:O31,נתונים_שטוחים!$D$3:$O$3,"&lt;="&amp;$F$2)</f>
        <v>107690.85</v>
      </c>
      <c r="E33" s="10" t="n">
        <f aca="false">SUMIFS(נתונים_שטוחים!P31:AA31,נתונים_שטוחים!$P$3:$AA$3,"&lt;="&amp;$F$2)</f>
        <v>64554.59</v>
      </c>
      <c r="F33" s="10" t="n">
        <f aca="false">SUMIFS(נתונים_שטוחים!AB31:AM31,נתונים_שטוחים!$AB$3:$AM$3,"&lt;="&amp;$F$2)</f>
        <v>43116.44</v>
      </c>
      <c r="G33" s="10" t="n">
        <f aca="false">SUMIFS(נתונים_שטוחים!AN31:AY31,נתונים_שטוחים!$AN$3:$AY$3,"&lt;="&amp;$F$2)</f>
        <v>0</v>
      </c>
      <c r="H33" s="11" t="n">
        <f aca="false">IFERROR(G33/F33-1,"-")</f>
        <v>-1</v>
      </c>
      <c r="I33" s="10" t="n">
        <f aca="false">G33-F33</f>
        <v>-43116.44</v>
      </c>
    </row>
    <row r="34" customFormat="false" ht="15" hidden="false" customHeight="true" outlineLevel="0" collapsed="false">
      <c r="A34" s="7" t="n">
        <f aca="false">נתונים_שטוחים!A32</f>
        <v>201</v>
      </c>
      <c r="B34" s="8" t="str">
        <f aca="false">נתונים_שטוחים!B32</f>
        <v>SEVEN GEAR</v>
      </c>
      <c r="C34" s="22" t="str">
        <f aca="false">נתונים_שטוחים!C32</f>
        <v>FINLAND</v>
      </c>
      <c r="D34" s="10" t="n">
        <f aca="false">SUMIFS(נתונים_שטוחים!D32:O32,נתונים_שטוחים!$D$3:$O$3,"&lt;="&amp;$F$2)</f>
        <v>41028.36</v>
      </c>
      <c r="E34" s="10" t="n">
        <f aca="false">SUMIFS(נתונים_שטוחים!P32:AA32,נתונים_שטוחים!$P$3:$AA$3,"&lt;="&amp;$F$2)</f>
        <v>60908.2</v>
      </c>
      <c r="F34" s="10" t="n">
        <f aca="false">SUMIFS(נתונים_שטוחים!AB32:AM32,נתונים_שטוחים!$AB$3:$AM$3,"&lt;="&amp;$F$2)</f>
        <v>39400.13</v>
      </c>
      <c r="G34" s="10" t="n">
        <f aca="false">SUMIFS(נתונים_שטוחים!AN32:AY32,נתונים_שטוחים!$AN$3:$AY$3,"&lt;="&amp;$F$2)</f>
        <v>0</v>
      </c>
      <c r="H34" s="11" t="n">
        <f aca="false">IFERROR(G34/F34-1,"-")</f>
        <v>-1</v>
      </c>
      <c r="I34" s="10" t="n">
        <f aca="false">G34-F34</f>
        <v>-39400.13</v>
      </c>
    </row>
    <row r="35" customFormat="false" ht="15" hidden="false" customHeight="true" outlineLevel="0" collapsed="false">
      <c r="A35" s="7" t="n">
        <f aca="false">נתונים_שטוחים!A33</f>
        <v>211</v>
      </c>
      <c r="B35" s="8" t="str">
        <f aca="false">נתונים_שטוחים!B33</f>
        <v>PHARMAG LACHMAIR GES. MBH</v>
      </c>
      <c r="C35" s="22" t="str">
        <f aca="false">נתונים_שטוחים!C33</f>
        <v>AUSTRIA</v>
      </c>
      <c r="D35" s="10" t="n">
        <f aca="false">SUMIFS(נתונים_שטוחים!D33:O33,נתונים_שטוחים!$D$3:$O$3,"&lt;="&amp;$F$2)</f>
        <v>31722.98</v>
      </c>
      <c r="E35" s="10" t="n">
        <f aca="false">SUMIFS(נתונים_שטוחים!P33:AA33,נתונים_שטוחים!$P$3:$AA$3,"&lt;="&amp;$F$2)</f>
        <v>81786.57</v>
      </c>
      <c r="F35" s="10" t="n">
        <f aca="false">SUMIFS(נתונים_שטוחים!AB33:AM33,נתונים_שטוחים!$AB$3:$AM$3,"&lt;="&amp;$F$2)</f>
        <v>10037.15</v>
      </c>
      <c r="G35" s="10" t="n">
        <f aca="false">SUMIFS(נתונים_שטוחים!AN33:AY33,נתונים_שטוחים!$AN$3:$AY$3,"&lt;="&amp;$F$2)</f>
        <v>0</v>
      </c>
      <c r="H35" s="11" t="n">
        <f aca="false">IFERROR(G35/F35-1,"-")</f>
        <v>-1</v>
      </c>
      <c r="I35" s="10" t="n">
        <f aca="false">G35-F35</f>
        <v>-10037.15</v>
      </c>
    </row>
    <row r="36" customFormat="false" ht="15" hidden="false" customHeight="true" outlineLevel="0" collapsed="false">
      <c r="A36" s="7" t="n">
        <f aca="false">נתונים_שטוחים!A34</f>
        <v>304</v>
      </c>
      <c r="B36" s="8" t="str">
        <f aca="false">נתונים_שטוחים!B34</f>
        <v>REMEDICARE B.V.</v>
      </c>
      <c r="C36" s="23" t="str">
        <f aca="false">נתונים_שטוחים!C34</f>
        <v>HOLLAND</v>
      </c>
      <c r="D36" s="10" t="n">
        <f aca="false">SUMIFS(נתונים_שטוחים!D34:O34,נתונים_שטוחים!$D$3:$O$3,"&lt;="&amp;$F$2)</f>
        <v>0</v>
      </c>
      <c r="E36" s="10" t="n">
        <f aca="false">SUMIFS(נתונים_שטוחים!P34:AA34,נתונים_שטוחים!$P$3:$AA$3,"&lt;="&amp;$F$2)</f>
        <v>0</v>
      </c>
      <c r="F36" s="10" t="n">
        <f aca="false">SUMIFS(נתונים_שטוחים!AB34:AM34,נתונים_שטוחים!$AB$3:$AM$3,"&lt;="&amp;$F$2)</f>
        <v>0</v>
      </c>
      <c r="G36" s="10" t="n">
        <f aca="false">SUMIFS(נתונים_שטוחים!AN34:AY34,נתונים_שטוחים!$AN$3:$AY$3,"&lt;="&amp;$F$2)</f>
        <v>0</v>
      </c>
      <c r="H36" s="11" t="str">
        <f aca="false">IFERROR(G36/F36-1,"-")</f>
        <v>-</v>
      </c>
      <c r="I36" s="10" t="n">
        <f aca="false">G36-F36</f>
        <v>0</v>
      </c>
    </row>
    <row r="37" customFormat="false" ht="15" hidden="false" customHeight="true" outlineLevel="0" collapsed="false">
      <c r="A37" s="7" t="n">
        <f aca="false">נתונים_שטוחים!A35</f>
        <v>213</v>
      </c>
      <c r="B37" s="8" t="str">
        <f aca="false">נתונים_שטוחים!B35</f>
        <v>E.F.M.O.</v>
      </c>
      <c r="C37" s="22" t="str">
        <f aca="false">נתונים_שטוחים!C35</f>
        <v>SPAIN</v>
      </c>
      <c r="D37" s="10" t="n">
        <f aca="false">SUMIFS(נתונים_שטוחים!D35:O35,נתונים_שטוחים!$D$3:$O$3,"&lt;="&amp;$F$2)</f>
        <v>35826.78</v>
      </c>
      <c r="E37" s="10" t="n">
        <f aca="false">SUMIFS(נתונים_שטוחים!P35:AA35,נתונים_שטוחים!$P$3:$AA$3,"&lt;="&amp;$F$2)</f>
        <v>39713.57</v>
      </c>
      <c r="F37" s="10" t="n">
        <f aca="false">SUMIFS(נתונים_שטוחים!AB35:AM35,נתונים_שטוחים!$AB$3:$AM$3,"&lt;="&amp;$F$2)</f>
        <v>37142.71</v>
      </c>
      <c r="G37" s="10" t="n">
        <f aca="false">SUMIFS(נתונים_שטוחים!AN35:AY35,נתונים_שטוחים!$AN$3:$AY$3,"&lt;="&amp;$F$2)</f>
        <v>0</v>
      </c>
      <c r="H37" s="11" t="n">
        <f aca="false">IFERROR(G37/F37-1,"-")</f>
        <v>-1</v>
      </c>
      <c r="I37" s="10" t="n">
        <f aca="false">G37-F37</f>
        <v>-37142.71</v>
      </c>
    </row>
    <row r="38" customFormat="false" ht="15" hidden="false" customHeight="true" outlineLevel="0" collapsed="false">
      <c r="A38" s="7" t="n">
        <f aca="false">נתונים_שטוחים!A36</f>
        <v>214</v>
      </c>
      <c r="B38" s="8" t="str">
        <f aca="false">נתונים_שטוחים!B36</f>
        <v>ALFRED GERA</v>
      </c>
      <c r="C38" s="22" t="str">
        <f aca="false">נתונים_שטוחים!C36</f>
        <v>MALTA</v>
      </c>
      <c r="D38" s="10" t="n">
        <f aca="false">SUMIFS(נתונים_שטוחים!D36:O36,נתונים_שטוחים!$D$3:$O$3,"&lt;="&amp;$F$2)</f>
        <v>59175.03</v>
      </c>
      <c r="E38" s="10" t="n">
        <f aca="false">SUMIFS(נתונים_שטוחים!P36:AA36,נתונים_שטוחים!$P$3:$AA$3,"&lt;="&amp;$F$2)</f>
        <v>53863.18</v>
      </c>
      <c r="F38" s="10" t="n">
        <f aca="false">SUMIFS(נתונים_שטוחים!AB36:AM36,נתונים_שטוחים!$AB$3:$AM$3,"&lt;="&amp;$F$2)</f>
        <v>26105.72</v>
      </c>
      <c r="G38" s="10" t="n">
        <f aca="false">SUMIFS(נתונים_שטוחים!AN36:AY36,נתונים_שטוחים!$AN$3:$AY$3,"&lt;="&amp;$F$2)</f>
        <v>0</v>
      </c>
      <c r="H38" s="11" t="n">
        <f aca="false">IFERROR(G38/F38-1,"-")</f>
        <v>-1</v>
      </c>
      <c r="I38" s="10" t="n">
        <f aca="false">G38-F38</f>
        <v>-26105.72</v>
      </c>
    </row>
    <row r="39" customFormat="false" ht="15" hidden="false" customHeight="true" outlineLevel="0" collapsed="false">
      <c r="A39" s="7" t="n">
        <f aca="false">נתונים_שטוחים!A37</f>
        <v>212</v>
      </c>
      <c r="B39" s="8" t="str">
        <f aca="false">נתונים_שטוחים!B37</f>
        <v>QUADRIFOGLIO MEDICAL</v>
      </c>
      <c r="C39" s="23" t="str">
        <f aca="false">נתונים_שטוחים!C37</f>
        <v>ROMANIA</v>
      </c>
      <c r="D39" s="10" t="n">
        <f aca="false">SUMIFS(נתונים_שטוחים!D37:O37,נתונים_שטוחים!$D$3:$O$3,"&lt;="&amp;$F$2)</f>
        <v>41531.96</v>
      </c>
      <c r="E39" s="10" t="n">
        <f aca="false">SUMIFS(נתונים_שטוחים!P37:AA37,נתונים_שטוחים!$P$3:$AA$3,"&lt;="&amp;$F$2)</f>
        <v>0</v>
      </c>
      <c r="F39" s="10" t="n">
        <f aca="false">SUMIFS(נתונים_שטוחים!AB37:AM37,נתונים_שטוחים!$AB$3:$AM$3,"&lt;="&amp;$F$2)</f>
        <v>0</v>
      </c>
      <c r="G39" s="10" t="n">
        <f aca="false">SUMIFS(נתונים_שטוחים!AN37:AY37,נתונים_שטוחים!$AN$3:$AY$3,"&lt;="&amp;$F$2)</f>
        <v>0</v>
      </c>
      <c r="H39" s="11" t="str">
        <f aca="false">IFERROR(G39/F39-1,"-")</f>
        <v>-</v>
      </c>
      <c r="I39" s="10" t="n">
        <f aca="false">G39-F39</f>
        <v>0</v>
      </c>
    </row>
    <row r="40" customFormat="false" ht="15" hidden="false" customHeight="true" outlineLevel="0" collapsed="false">
      <c r="A40" s="7" t="n">
        <f aca="false">נתונים_שטוחים!A38</f>
        <v>215</v>
      </c>
      <c r="B40" s="8" t="str">
        <f aca="false">נתונים_שטוחים!B38</f>
        <v>YOUNG IN HEALTHCARE CO.,</v>
      </c>
      <c r="C40" s="22" t="str">
        <f aca="false">נתונים_שטוחים!C38</f>
        <v>KOREA</v>
      </c>
      <c r="D40" s="10" t="n">
        <f aca="false">SUMIFS(נתונים_שטוחים!D38:O38,נתונים_שטוחים!$D$3:$O$3,"&lt;="&amp;$F$2)</f>
        <v>22310.96</v>
      </c>
      <c r="E40" s="10" t="n">
        <f aca="false">SUMIFS(נתונים_שטוחים!P38:AA38,נתונים_שטוחים!$P$3:$AA$3,"&lt;="&amp;$F$2)</f>
        <v>0</v>
      </c>
      <c r="F40" s="10" t="n">
        <f aca="false">SUMIFS(נתונים_שטוחים!AB38:AM38,נתונים_שטוחים!$AB$3:$AM$3,"&lt;="&amp;$F$2)</f>
        <v>0</v>
      </c>
      <c r="G40" s="10" t="n">
        <f aca="false">SUMIFS(נתונים_שטוחים!AN38:AY38,נתונים_שטוחים!$AN$3:$AY$3,"&lt;="&amp;$F$2)</f>
        <v>0</v>
      </c>
      <c r="H40" s="11" t="str">
        <f aca="false">IFERROR(G40/F40-1,"-")</f>
        <v>-</v>
      </c>
      <c r="I40" s="10" t="n">
        <f aca="false">G40-F40</f>
        <v>0</v>
      </c>
    </row>
    <row r="41" customFormat="false" ht="15" hidden="false" customHeight="true" outlineLevel="0" collapsed="false">
      <c r="A41" s="7" t="n">
        <f aca="false">נתונים_שטוחים!A39</f>
        <v>217</v>
      </c>
      <c r="B41" s="8" t="str">
        <f aca="false">נתונים_שטוחים!B39</f>
        <v>HANS</v>
      </c>
      <c r="C41" s="22" t="str">
        <f aca="false">נתונים_שטוחים!C39</f>
        <v>USA</v>
      </c>
      <c r="D41" s="10" t="n">
        <f aca="false">SUMIFS(נתונים_שטוחים!D39:O39,נתונים_שטוחים!$D$3:$O$3,"&lt;="&amp;$F$2)</f>
        <v>161574.82</v>
      </c>
      <c r="E41" s="10" t="n">
        <f aca="false">SUMIFS(נתונים_שטוחים!P39:AA39,נתונים_שטוחים!$P$3:$AA$3,"&lt;="&amp;$F$2)</f>
        <v>248.59</v>
      </c>
      <c r="F41" s="10" t="n">
        <f aca="false">SUMIFS(נתונים_שטוחים!AB39:AM39,נתונים_שטוחים!$AB$3:$AM$3,"&lt;="&amp;$F$2)</f>
        <v>0</v>
      </c>
      <c r="G41" s="10" t="n">
        <f aca="false">SUMIFS(נתונים_שטוחים!AN39:AY39,נתונים_שטוחים!$AN$3:$AY$3,"&lt;="&amp;$F$2)</f>
        <v>0</v>
      </c>
      <c r="H41" s="11" t="str">
        <f aca="false">IFERROR(G41/F41-1,"-")</f>
        <v>-</v>
      </c>
      <c r="I41" s="10" t="n">
        <f aca="false">G41-F41</f>
        <v>0</v>
      </c>
    </row>
    <row r="42" customFormat="false" ht="15" hidden="false" customHeight="true" outlineLevel="0" collapsed="false">
      <c r="A42" s="7" t="n">
        <f aca="false">נתונים_שטוחים!A40</f>
        <v>303</v>
      </c>
      <c r="B42" s="8" t="str">
        <f aca="false">נתונים_שטוחים!B40</f>
        <v>NEW DISTRIBUTORS</v>
      </c>
      <c r="C42" s="22" t="str">
        <f aca="false">נתונים_שטוחים!C40</f>
        <v>Other </v>
      </c>
      <c r="D42" s="10" t="n">
        <f aca="false">SUMIFS(נתונים_שטוחים!D40:O40,נתונים_שטוחים!$D$3:$O$3,"&lt;="&amp;$F$2)</f>
        <v>0</v>
      </c>
      <c r="E42" s="10" t="n">
        <f aca="false">SUMIFS(נתונים_שטוחים!P40:AA40,נתונים_שטוחים!$P$3:$AA$3,"&lt;="&amp;$F$2)</f>
        <v>0</v>
      </c>
      <c r="F42" s="10" t="n">
        <f aca="false">SUMIFS(נתונים_שטוחים!AB40:AM40,נתונים_שטוחים!$AB$3:$AM$3,"&lt;="&amp;$F$2)</f>
        <v>0</v>
      </c>
      <c r="G42" s="10" t="n">
        <f aca="false">SUMIFS(נתונים_שטוחים!AN40:AY40,נתונים_שטוחים!$AN$3:$AY$3,"&lt;="&amp;$F$2)</f>
        <v>0</v>
      </c>
      <c r="H42" s="11" t="str">
        <f aca="false">IFERROR(G42/F42-1,"-")</f>
        <v>-</v>
      </c>
      <c r="I42" s="10" t="n">
        <f aca="false">G42-F42</f>
        <v>0</v>
      </c>
    </row>
    <row r="43" customFormat="false" ht="15" hidden="false" customHeight="true" outlineLevel="0" collapsed="false">
      <c r="A43" s="7" t="n">
        <f aca="false">נתונים_שטוחים!A41</f>
        <v>305</v>
      </c>
      <c r="B43" s="8" t="str">
        <f aca="false">נתונים_שטוחים!B41</f>
        <v>BAKU</v>
      </c>
      <c r="C43" s="22" t="str">
        <f aca="false">נתונים_שטוחים!C41</f>
        <v>AZERBAIJAN</v>
      </c>
      <c r="D43" s="10" t="n">
        <f aca="false">SUMIFS(נתונים_שטוחים!D41:O41,נתונים_שטוחים!$D$3:$O$3,"&lt;="&amp;$F$2)</f>
        <v>0</v>
      </c>
      <c r="E43" s="10" t="n">
        <f aca="false">SUMIFS(נתונים_שטוחים!P41:AA41,נתונים_שטוחים!$P$3:$AA$3,"&lt;="&amp;$F$2)</f>
        <v>0</v>
      </c>
      <c r="F43" s="10" t="n">
        <f aca="false">SUMIFS(נתונים_שטוחים!AB41:AM41,נתונים_שטוחים!$AB$3:$AM$3,"&lt;="&amp;$F$2)</f>
        <v>0</v>
      </c>
      <c r="G43" s="10" t="n">
        <f aca="false">SUMIFS(נתונים_שטוחים!AN41:AY41,נתונים_שטוחים!$AN$3:$AY$3,"&lt;="&amp;$F$2)</f>
        <v>0</v>
      </c>
      <c r="H43" s="11" t="str">
        <f aca="false">IFERROR(G43/F43-1,"-")</f>
        <v>-</v>
      </c>
      <c r="I43" s="10" t="n">
        <f aca="false">G43-F43</f>
        <v>0</v>
      </c>
    </row>
    <row r="44" customFormat="false" ht="15" hidden="false" customHeight="true" outlineLevel="0" collapsed="false">
      <c r="A44" s="7" t="n">
        <f aca="false">נתונים_שטוחים!A42</f>
        <v>302</v>
      </c>
      <c r="B44" s="8" t="str">
        <f aca="false">נתונים_שטוחים!B42</f>
        <v>MEXICO</v>
      </c>
      <c r="C44" s="22" t="str">
        <f aca="false">נתונים_שטוחים!C42</f>
        <v>MEXICO</v>
      </c>
      <c r="D44" s="10" t="n">
        <f aca="false">SUMIFS(נתונים_שטוחים!D42:O42,נתונים_שטוחים!$D$3:$O$3,"&lt;="&amp;$F$2)</f>
        <v>0</v>
      </c>
      <c r="E44" s="10" t="n">
        <f aca="false">SUMIFS(נתונים_שטוחים!P42:AA42,נתונים_שטוחים!$P$3:$AA$3,"&lt;="&amp;$F$2)</f>
        <v>0</v>
      </c>
      <c r="F44" s="10" t="n">
        <f aca="false">SUMIFS(נתונים_שטוחים!AB42:AM42,נתונים_שטוחים!$AB$3:$AM$3,"&lt;="&amp;$F$2)</f>
        <v>0</v>
      </c>
      <c r="G44" s="10" t="n">
        <f aca="false">SUMIFS(נתונים_שטוחים!AN42:AY42,נתונים_שטוחים!$AN$3:$AY$3,"&lt;="&amp;$F$2)</f>
        <v>0</v>
      </c>
      <c r="H44" s="11" t="str">
        <f aca="false">IFERROR(G44/F44-1,"-")</f>
        <v>-</v>
      </c>
      <c r="I44" s="10" t="n">
        <f aca="false">G44-F44</f>
        <v>0</v>
      </c>
    </row>
    <row r="45" customFormat="false" ht="15" hidden="false" customHeight="true" outlineLevel="0" collapsed="false">
      <c r="A45" s="24"/>
      <c r="B45" s="25" t="str">
        <f aca="false">'1'!B43</f>
        <v>סה"כ חו"ל</v>
      </c>
      <c r="C45" s="26"/>
      <c r="D45" s="27" t="n">
        <f aca="false">SUM(D23:D44)</f>
        <v>7648509.62</v>
      </c>
      <c r="E45" s="27" t="n">
        <f aca="false">SUM(E23:E44)</f>
        <v>5973375.8</v>
      </c>
      <c r="F45" s="27" t="n">
        <f aca="false">SUM(F23:F44)</f>
        <v>4050561.83</v>
      </c>
      <c r="G45" s="27" t="n">
        <f aca="false">SUM(G23:G44)</f>
        <v>0</v>
      </c>
      <c r="H45" s="28" t="n">
        <f aca="false">IFERROR(G45/F45-1,"-")</f>
        <v>-1</v>
      </c>
      <c r="I45" s="27" t="n">
        <f aca="false">G45-F45</f>
        <v>-4050561.83</v>
      </c>
    </row>
    <row r="46" customFormat="false" ht="15" hidden="false" customHeight="true" outlineLevel="0" collapsed="false">
      <c r="A46" s="29"/>
      <c r="B46" s="30" t="str">
        <f aca="false">'1'!B44</f>
        <v>סה"כ מכירות </v>
      </c>
      <c r="C46" s="31"/>
      <c r="D46" s="32" t="n">
        <f aca="false">D45+D22</f>
        <v>25012791.934</v>
      </c>
      <c r="E46" s="32" t="n">
        <f aca="false">E45+E22</f>
        <v>24119651.232</v>
      </c>
      <c r="F46" s="32" t="n">
        <f aca="false">F45+F22</f>
        <v>19243216.601</v>
      </c>
      <c r="G46" s="32" t="n">
        <f aca="false">G45+G22</f>
        <v>0</v>
      </c>
      <c r="H46" s="33" t="n">
        <f aca="false">IFERROR(G46/F46-1,"-")</f>
        <v>-1</v>
      </c>
      <c r="I46" s="32" t="n">
        <f aca="false">G46-F46</f>
        <v>-19243216.601</v>
      </c>
    </row>
  </sheetData>
  <dataValidations count="1">
    <dataValidation allowBlank="false" error="בחר חודש מהרשימה" errorStyle="stop" operator="between" prompt="בחר חודש (ינואר עד דצמבר)" showDropDown="false" showErrorMessage="true" showInputMessage="false" sqref="D2" type="list">
      <formula1>"ינואר,פברואר,מרץ,אפריל,מאי,יוני,יולי,אוגוסט,ספטמבר,אוקטובר,נובמבר,דצמבר"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5" hidden="false" customHeight="true" outlineLevel="0" collapsed="false">
      <c r="A1" s="1" t="s">
        <v>15</v>
      </c>
    </row>
    <row r="2" customFormat="false" ht="15" hidden="false" customHeight="true" outlineLevel="0" collapsed="false">
      <c r="B2" s="1" t="s">
        <v>16</v>
      </c>
      <c r="D2" s="2" t="s">
        <v>17</v>
      </c>
      <c r="E2" s="1" t="s">
        <v>18</v>
      </c>
      <c r="F2" s="1" t="n">
        <f aca="false">VALUE(MID($D$2,2,1))</f>
        <v>4</v>
      </c>
      <c r="G2" s="1" t="s">
        <v>4</v>
      </c>
      <c r="H2" s="1" t="s">
        <v>5</v>
      </c>
    </row>
    <row r="4" customFormat="false" ht="15" hidden="false" customHeight="true" outlineLevel="0" collapsed="false">
      <c r="A4" s="3" t="s">
        <v>6</v>
      </c>
      <c r="B4" s="4" t="s">
        <v>7</v>
      </c>
      <c r="C4" s="4" t="s">
        <v>8</v>
      </c>
      <c r="D4" s="4" t="s">
        <v>19</v>
      </c>
      <c r="E4" s="4" t="s">
        <v>20</v>
      </c>
      <c r="F4" s="4" t="s">
        <v>21</v>
      </c>
      <c r="G4" s="4" t="s">
        <v>22</v>
      </c>
      <c r="H4" s="5" t="s">
        <v>13</v>
      </c>
      <c r="I4" s="6" t="s">
        <v>14</v>
      </c>
    </row>
    <row r="5" customFormat="false" ht="15" hidden="false" customHeight="true" outlineLevel="0" collapsed="false">
      <c r="A5" s="7" t="n">
        <f aca="false">נתונים_שטוחים!A5</f>
        <v>111</v>
      </c>
      <c r="B5" s="8" t="str">
        <f aca="false">נתונים_שטוחים!B5</f>
        <v>סופר פארם לייף</v>
      </c>
      <c r="C5" s="9" t="str">
        <f aca="false">נתונים_שטוחים!C5</f>
        <v>ISR</v>
      </c>
      <c r="D5" s="10" t="n">
        <f aca="false">SUMIFS(נתונים_שטוחים!D5:O5,נתונים_שטוחים!$D$4:$O$4,$F$2)</f>
        <v>501891.94</v>
      </c>
      <c r="E5" s="10" t="n">
        <f aca="false">SUMIFS(נתונים_שטוחים!P5:AA5,נתונים_שטוחים!$P$4:$AA$4,$F$2)</f>
        <v>397235.16</v>
      </c>
      <c r="F5" s="10" t="n">
        <f aca="false">SUMIFS(נתונים_שטוחים!AB5:AM5,נתונים_שטוחים!$AB$4:$AM$4,$F$2)</f>
        <v>20995.2</v>
      </c>
      <c r="G5" s="10" t="n">
        <f aca="false">SUMIFS(נתונים_שטוחים!AN5:AY5,נתונים_שטוחים!$AN$4:$AY$4,$F$2)</f>
        <v>0</v>
      </c>
      <c r="H5" s="11" t="n">
        <f aca="false">IFERROR(G5/F5-1,"-")</f>
        <v>-1</v>
      </c>
      <c r="I5" s="10" t="n">
        <f aca="false">G5-F5</f>
        <v>-20995.2</v>
      </c>
    </row>
    <row r="6" customFormat="false" ht="15" hidden="false" customHeight="true" outlineLevel="0" collapsed="false">
      <c r="A6" s="7" t="n">
        <f aca="false">נתונים_שטוחים!A6</f>
        <v>1</v>
      </c>
      <c r="B6" s="8" t="str">
        <f aca="false">נתונים_שטוחים!B6</f>
        <v>סופרפארם</v>
      </c>
      <c r="C6" s="9" t="str">
        <f aca="false">נתונים_שטוחים!C6</f>
        <v>ISR</v>
      </c>
      <c r="D6" s="10" t="n">
        <f aca="false">SUMIFS(נתונים_שטוחים!D6:O6,נתונים_שטוחים!$D$4:$O$4,$F$2)</f>
        <v>1256467.849</v>
      </c>
      <c r="E6" s="10" t="n">
        <f aca="false">SUMIFS(נתונים_שטוחים!P6:AA6,נתונים_שטוחים!$P$4:$AA$4,$F$2)</f>
        <v>1377947.48</v>
      </c>
      <c r="F6" s="10" t="n">
        <f aca="false">SUMIFS(נתונים_שטוחים!AB6:AM6,נתונים_שטוחים!$AB$4:$AM$4,$F$2)</f>
        <v>0</v>
      </c>
      <c r="G6" s="10" t="n">
        <f aca="false">SUMIFS(נתונים_שטוחים!AN6:AY6,נתונים_שטוחים!$AN$4:$AY$4,$F$2)</f>
        <v>0</v>
      </c>
      <c r="H6" s="11" t="str">
        <f aca="false">IFERROR(G6/F6-1,"-")</f>
        <v>-</v>
      </c>
      <c r="I6" s="10" t="n">
        <f aca="false">G6-F6</f>
        <v>0</v>
      </c>
    </row>
    <row r="7" customFormat="false" ht="15" hidden="false" customHeight="true" outlineLevel="0" collapsed="false">
      <c r="A7" s="7" t="n">
        <f aca="false">נתונים_שטוחים!A7</f>
        <v>2</v>
      </c>
      <c r="B7" s="8" t="str">
        <f aca="false">נתונים_שטוחים!B7</f>
        <v>BE</v>
      </c>
      <c r="C7" s="9" t="str">
        <f aca="false">נתונים_שטוחים!C7</f>
        <v>ISR</v>
      </c>
      <c r="D7" s="10" t="n">
        <f aca="false">SUMIFS(נתונים_שטוחים!D7:O7,נתונים_שטוחים!$D$4:$O$4,$F$2)</f>
        <v>249549.937</v>
      </c>
      <c r="E7" s="10" t="n">
        <f aca="false">SUMIFS(נתונים_שטוחים!P7:AA7,נתונים_שטוחים!$P$4:$AA$4,$F$2)</f>
        <v>208571.09</v>
      </c>
      <c r="F7" s="10" t="n">
        <f aca="false">SUMIFS(נתונים_שטוחים!AB7:AM7,נתונים_שטוחים!$AB$4:$AM$4,$F$2)</f>
        <v>0</v>
      </c>
      <c r="G7" s="10" t="n">
        <f aca="false">SUMIFS(נתונים_שטוחים!AN7:AY7,נתונים_שטוחים!$AN$4:$AY$4,$F$2)</f>
        <v>0</v>
      </c>
      <c r="H7" s="11" t="str">
        <f aca="false">IFERROR(G7/F7-1,"-")</f>
        <v>-</v>
      </c>
      <c r="I7" s="10" t="n">
        <f aca="false">G7-F7</f>
        <v>0</v>
      </c>
    </row>
    <row r="8" customFormat="false" ht="15" hidden="false" customHeight="true" outlineLevel="0" collapsed="false">
      <c r="A8" s="7" t="n">
        <f aca="false">נתונים_שטוחים!A8</f>
        <v>3</v>
      </c>
      <c r="B8" s="8" t="str">
        <f aca="false">נתונים_שטוחים!B8</f>
        <v>בתי מרקחת</v>
      </c>
      <c r="C8" s="9" t="str">
        <f aca="false">נתונים_שטוחים!C8</f>
        <v>ISR</v>
      </c>
      <c r="D8" s="10" t="n">
        <f aca="false">SUMIFS(נתונים_שטוחים!D8:O8,נתונים_שטוחים!$D$4:$O$4,$F$2)</f>
        <v>423029.488</v>
      </c>
      <c r="E8" s="10" t="n">
        <f aca="false">SUMIFS(נתונים_שטוחים!P8:AA8,נתונים_שטוחים!$P$4:$AA$4,$F$2)</f>
        <v>462437.99</v>
      </c>
      <c r="F8" s="10" t="n">
        <f aca="false">SUMIFS(נתונים_שטוחים!AB8:AM8,נתונים_שטוחים!$AB$4:$AM$4,$F$2)</f>
        <v>0</v>
      </c>
      <c r="G8" s="10" t="n">
        <f aca="false">SUMIFS(נתונים_שטוחים!AN8:AY8,נתונים_שטוחים!$AN$4:$AY$4,$F$2)</f>
        <v>0</v>
      </c>
      <c r="H8" s="11" t="str">
        <f aca="false">IFERROR(G8/F8-1,"-")</f>
        <v>-</v>
      </c>
      <c r="I8" s="10" t="n">
        <f aca="false">G8-F8</f>
        <v>0</v>
      </c>
    </row>
    <row r="9" customFormat="false" ht="15" hidden="false" customHeight="true" outlineLevel="0" collapsed="false">
      <c r="A9" s="7" t="n">
        <f aca="false">נתונים_שטוחים!A9</f>
        <v>112</v>
      </c>
      <c r="B9" s="8" t="str">
        <f aca="false">נתונים_שטוחים!B9</f>
        <v>כללית</v>
      </c>
      <c r="C9" s="9" t="str">
        <f aca="false">נתונים_שטוחים!C9</f>
        <v>ISR</v>
      </c>
      <c r="D9" s="10" t="n">
        <f aca="false">SUMIFS(נתונים_שטוחים!D9:O9,נתונים_שטוחים!$D$4:$O$4,$F$2)</f>
        <v>988830.3</v>
      </c>
      <c r="E9" s="10" t="n">
        <f aca="false">SUMIFS(נתונים_שטוחים!P9:AA9,נתונים_שטוחים!$P$4:$AA$4,$F$2)</f>
        <v>860724.67</v>
      </c>
      <c r="F9" s="10" t="n">
        <f aca="false">SUMIFS(נתונים_שטוחים!AB9:AM9,נתונים_שטוחים!$AB$4:$AM$4,$F$2)</f>
        <v>0</v>
      </c>
      <c r="G9" s="10" t="n">
        <f aca="false">SUMIFS(נתונים_שטוחים!AN9:AY9,נתונים_שטוחים!$AN$4:$AY$4,$F$2)</f>
        <v>0</v>
      </c>
      <c r="H9" s="11" t="str">
        <f aca="false">IFERROR(G9/F9-1,"-")</f>
        <v>-</v>
      </c>
      <c r="I9" s="10" t="n">
        <f aca="false">G9-F9</f>
        <v>0</v>
      </c>
    </row>
    <row r="10" customFormat="false" ht="15" hidden="false" customHeight="true" outlineLevel="0" collapsed="false">
      <c r="A10" s="7" t="n">
        <f aca="false">נתונים_שטוחים!A10</f>
        <v>113</v>
      </c>
      <c r="B10" s="8" t="str">
        <f aca="false">נתונים_שטוחים!B10</f>
        <v>מאוחדת</v>
      </c>
      <c r="C10" s="9" t="str">
        <f aca="false">נתונים_שטוחים!C10</f>
        <v>ISR</v>
      </c>
      <c r="D10" s="10" t="n">
        <f aca="false">SUMIFS(נתונים_שטוחים!D10:O10,נתונים_שטוחים!$D$4:$O$4,$F$2)</f>
        <v>175743.18</v>
      </c>
      <c r="E10" s="10" t="n">
        <f aca="false">SUMIFS(נתונים_שטוחים!P10:AA10,נתונים_שטוחים!$P$4:$AA$4,$F$2)</f>
        <v>198828.06</v>
      </c>
      <c r="F10" s="10" t="n">
        <f aca="false">SUMIFS(נתונים_שטוחים!AB10:AM10,נתונים_שטוחים!$AB$4:$AM$4,$F$2)</f>
        <v>0</v>
      </c>
      <c r="G10" s="10" t="n">
        <f aca="false">SUMIFS(נתונים_שטוחים!AN10:AY10,נתונים_שטוחים!$AN$4:$AY$4,$F$2)</f>
        <v>0</v>
      </c>
      <c r="H10" s="11" t="str">
        <f aca="false">IFERROR(G10/F10-1,"-")</f>
        <v>-</v>
      </c>
      <c r="I10" s="10" t="n">
        <f aca="false">G10-F10</f>
        <v>0</v>
      </c>
    </row>
    <row r="11" customFormat="false" ht="15" hidden="false" customHeight="true" outlineLevel="0" collapsed="false">
      <c r="A11" s="7" t="n">
        <f aca="false">נתונים_שטוחים!A11</f>
        <v>4</v>
      </c>
      <c r="B11" s="8" t="str">
        <f aca="false">נתונים_שטוחים!B11</f>
        <v>מכבי</v>
      </c>
      <c r="C11" s="9" t="str">
        <f aca="false">נתונים_שטוחים!C11</f>
        <v>ISR</v>
      </c>
      <c r="D11" s="10" t="n">
        <f aca="false">SUMIFS(נתונים_שטוחים!D11:O11,נתונים_שטוחים!$D$4:$O$4,$F$2)</f>
        <v>0</v>
      </c>
      <c r="E11" s="10" t="n">
        <f aca="false">SUMIFS(נתונים_שטוחים!P11:AA11,נתונים_שטוחים!$P$4:$AA$4,$F$2)</f>
        <v>0</v>
      </c>
      <c r="F11" s="10" t="n">
        <f aca="false">SUMIFS(נתונים_שטוחים!AB11:AM11,נתונים_שטוחים!$AB$4:$AM$4,$F$2)</f>
        <v>0</v>
      </c>
      <c r="G11" s="10" t="n">
        <f aca="false">SUMIFS(נתונים_שטוחים!AN11:AY11,נתונים_שטוחים!$AN$4:$AY$4,$F$2)</f>
        <v>0</v>
      </c>
      <c r="H11" s="11" t="str">
        <f aca="false">IFERROR(G11/F11-1,"-")</f>
        <v>-</v>
      </c>
      <c r="I11" s="10" t="n">
        <f aca="false">G11-F11</f>
        <v>0</v>
      </c>
    </row>
    <row r="12" customFormat="false" ht="15" hidden="false" customHeight="true" outlineLevel="0" collapsed="false">
      <c r="A12" s="7" t="n">
        <f aca="false">נתונים_שטוחים!A12</f>
        <v>102</v>
      </c>
      <c r="B12" s="8" t="str">
        <f aca="false">נתונים_שטוחים!B12</f>
        <v>מכוני אורטופדיה</v>
      </c>
      <c r="C12" s="9" t="str">
        <f aca="false">נתונים_שטוחים!C12</f>
        <v>ISR</v>
      </c>
      <c r="D12" s="10" t="n">
        <f aca="false">SUMIFS(נתונים_שטוחים!D12:O12,נתונים_שטוחים!$D$4:$O$4,$F$2)</f>
        <v>184800.08</v>
      </c>
      <c r="E12" s="10" t="n">
        <f aca="false">SUMIFS(נתונים_שטוחים!P12:AA12,נתונים_שטוחים!$P$4:$AA$4,$F$2)</f>
        <v>223581.68</v>
      </c>
      <c r="F12" s="10" t="n">
        <f aca="false">SUMIFS(נתונים_שטוחים!AB12:AM12,נתונים_שטוחים!$AB$4:$AM$4,$F$2)</f>
        <v>0</v>
      </c>
      <c r="G12" s="10" t="n">
        <f aca="false">SUMIFS(נתונים_שטוחים!AN12:AY12,נתונים_שטוחים!$AN$4:$AY$4,$F$2)</f>
        <v>0</v>
      </c>
      <c r="H12" s="11" t="str">
        <f aca="false">IFERROR(G12/F12-1,"-")</f>
        <v>-</v>
      </c>
      <c r="I12" s="10" t="n">
        <f aca="false">G12-F12</f>
        <v>0</v>
      </c>
    </row>
    <row r="13" customFormat="false" ht="15" hidden="false" customHeight="true" outlineLevel="0" collapsed="false">
      <c r="A13" s="7" t="n">
        <f aca="false">נתונים_שטוחים!A13</f>
        <v>101</v>
      </c>
      <c r="B13" s="8" t="str">
        <f aca="false">נתונים_שטוחים!B13</f>
        <v>לקוחות מפעל</v>
      </c>
      <c r="C13" s="9" t="str">
        <f aca="false">נתונים_שטוחים!C13</f>
        <v>ISR</v>
      </c>
      <c r="D13" s="10" t="n">
        <f aca="false">SUMIFS(נתונים_שטוחים!D13:O13,נתונים_שטוחים!$D$4:$O$4,$F$2)</f>
        <v>38609.45</v>
      </c>
      <c r="E13" s="10" t="n">
        <f aca="false">SUMIFS(נתונים_שטוחים!P13:AA13,נתונים_שטוחים!$P$4:$AA$4,$F$2)</f>
        <v>48810.03</v>
      </c>
      <c r="F13" s="10" t="n">
        <f aca="false">SUMIFS(נתונים_שטוחים!AB13:AM13,נתונים_שטוחים!$AB$4:$AM$4,$F$2)</f>
        <v>0</v>
      </c>
      <c r="G13" s="10" t="n">
        <f aca="false">SUMIFS(נתונים_שטוחים!AN13:AY13,נתונים_שטוחים!$AN$4:$AY$4,$F$2)</f>
        <v>0</v>
      </c>
      <c r="H13" s="11" t="str">
        <f aca="false">IFERROR(G13/F13-1,"-")</f>
        <v>-</v>
      </c>
      <c r="I13" s="10" t="n">
        <f aca="false">G13-F13</f>
        <v>0</v>
      </c>
    </row>
    <row r="14" customFormat="false" ht="15" hidden="false" customHeight="true" outlineLevel="0" collapsed="false">
      <c r="A14" s="7" t="n">
        <f aca="false">נתונים_שטוחים!A14</f>
        <v>109</v>
      </c>
      <c r="B14" s="8" t="str">
        <f aca="false">נתונים_שטוחים!B14</f>
        <v>חנויות פרטיות</v>
      </c>
      <c r="C14" s="9" t="str">
        <f aca="false">נתונים_שטוחים!C14</f>
        <v>ISR</v>
      </c>
      <c r="D14" s="10" t="n">
        <f aca="false">SUMIFS(נתונים_שטוחים!D14:O14,נתונים_שטוחים!$D$4:$O$4,$F$2)</f>
        <v>39179.29</v>
      </c>
      <c r="E14" s="10" t="n">
        <f aca="false">SUMIFS(נתונים_שטוחים!P14:AA14,נתונים_שטוחים!$P$4:$AA$4,$F$2)</f>
        <v>11043.34</v>
      </c>
      <c r="F14" s="10" t="n">
        <f aca="false">SUMIFS(נתונים_שטוחים!AB14:AM14,נתונים_שטוחים!$AB$4:$AM$4,$F$2)</f>
        <v>0</v>
      </c>
      <c r="G14" s="10" t="n">
        <f aca="false">SUMIFS(נתונים_שטוחים!AN14:AY14,נתונים_שטוחים!$AN$4:$AY$4,$F$2)</f>
        <v>0</v>
      </c>
      <c r="H14" s="11" t="str">
        <f aca="false">IFERROR(G14/F14-1,"-")</f>
        <v>-</v>
      </c>
      <c r="I14" s="10" t="n">
        <f aca="false">G14-F14</f>
        <v>0</v>
      </c>
    </row>
    <row r="15" customFormat="false" ht="15" hidden="false" customHeight="true" outlineLevel="0" collapsed="false">
      <c r="A15" s="7" t="n">
        <f aca="false">נתונים_שטוחים!A15</f>
        <v>105</v>
      </c>
      <c r="B15" s="8" t="str">
        <f aca="false">נתונים_שטוחים!B15</f>
        <v>מכוני פדיקור</v>
      </c>
      <c r="C15" s="9" t="str">
        <f aca="false">נתונים_שטוחים!C15</f>
        <v>ISR</v>
      </c>
      <c r="D15" s="10" t="n">
        <f aca="false">SUMIFS(נתונים_שטוחים!D15:O15,נתונים_שטוחים!$D$4:$O$4,$F$2)</f>
        <v>850.4</v>
      </c>
      <c r="E15" s="10" t="n">
        <f aca="false">SUMIFS(נתונים_שטוחים!P15:AA15,נתונים_שטוחים!$P$4:$AA$4,$F$2)</f>
        <v>1168.54</v>
      </c>
      <c r="F15" s="10" t="n">
        <f aca="false">SUMIFS(נתונים_שטוחים!AB15:AM15,נתונים_שטוחים!$AB$4:$AM$4,$F$2)</f>
        <v>0</v>
      </c>
      <c r="G15" s="10" t="n">
        <f aca="false">SUMIFS(נתונים_שטוחים!AN15:AY15,נתונים_שטוחים!$AN$4:$AY$4,$F$2)</f>
        <v>0</v>
      </c>
      <c r="H15" s="11" t="str">
        <f aca="false">IFERROR(G15/F15-1,"-")</f>
        <v>-</v>
      </c>
      <c r="I15" s="10" t="n">
        <f aca="false">G15-F15</f>
        <v>0</v>
      </c>
    </row>
    <row r="16" customFormat="false" ht="15" hidden="false" customHeight="true" outlineLevel="0" collapsed="false">
      <c r="A16" s="7" t="n">
        <f aca="false">נתונים_שטוחים!A16</f>
        <v>104</v>
      </c>
      <c r="B16" s="8" t="str">
        <f aca="false">נתונים_שטוחים!B16</f>
        <v>חנויות נעליים</v>
      </c>
      <c r="C16" s="9" t="str">
        <f aca="false">נתונים_שטוחים!C16</f>
        <v>ISR</v>
      </c>
      <c r="D16" s="10" t="n">
        <f aca="false">SUMIFS(נתונים_שטוחים!D16:O16,נתונים_שטוחים!$D$4:$O$4,$F$2)</f>
        <v>-14.28</v>
      </c>
      <c r="E16" s="10" t="n">
        <f aca="false">SUMIFS(נתונים_שטוחים!P16:AA16,נתונים_שטוחים!$P$4:$AA$4,$F$2)</f>
        <v>514.2</v>
      </c>
      <c r="F16" s="10" t="n">
        <f aca="false">SUMIFS(נתונים_שטוחים!AB16:AM16,נתונים_שטוחים!$AB$4:$AM$4,$F$2)</f>
        <v>0</v>
      </c>
      <c r="G16" s="10" t="n">
        <f aca="false">SUMIFS(נתונים_שטוחים!AN16:AY16,נתונים_שטוחים!$AN$4:$AY$4,$F$2)</f>
        <v>0</v>
      </c>
      <c r="H16" s="11" t="str">
        <f aca="false">IFERROR(G16/F16-1,"-")</f>
        <v>-</v>
      </c>
      <c r="I16" s="10" t="n">
        <f aca="false">G16-F16</f>
        <v>0</v>
      </c>
    </row>
    <row r="17" customFormat="false" ht="15" hidden="false" customHeight="true" outlineLevel="0" collapsed="false">
      <c r="A17" s="7" t="n">
        <f aca="false">נתונים_שטוחים!A17</f>
        <v>106</v>
      </c>
      <c r="B17" s="8" t="str">
        <f aca="false">נתונים_שטוחים!B17</f>
        <v>בתי חולים ושרות</v>
      </c>
      <c r="C17" s="9" t="str">
        <f aca="false">נתונים_שטוחים!C17</f>
        <v>ISR</v>
      </c>
      <c r="D17" s="10" t="n">
        <f aca="false">SUMIFS(נתונים_שטוחים!D17:O17,נתונים_שטוחים!$D$4:$O$4,$F$2)</f>
        <v>3722.65</v>
      </c>
      <c r="E17" s="10" t="n">
        <f aca="false">SUMIFS(נתונים_שטוחים!P17:AA17,נתונים_שטוחים!$P$4:$AA$4,$F$2)</f>
        <v>1813.57</v>
      </c>
      <c r="F17" s="10" t="n">
        <f aca="false">SUMIFS(נתונים_שטוחים!AB17:AM17,נתונים_שטוחים!$AB$4:$AM$4,$F$2)</f>
        <v>0</v>
      </c>
      <c r="G17" s="10" t="n">
        <f aca="false">SUMIFS(נתונים_שטוחים!AN17:AY17,נתונים_שטוחים!$AN$4:$AY$4,$F$2)</f>
        <v>0</v>
      </c>
      <c r="H17" s="11" t="str">
        <f aca="false">IFERROR(G17/F17-1,"-")</f>
        <v>-</v>
      </c>
      <c r="I17" s="10" t="n">
        <f aca="false">G17-F17</f>
        <v>0</v>
      </c>
    </row>
    <row r="18" customFormat="false" ht="15" hidden="false" customHeight="true" outlineLevel="0" collapsed="false">
      <c r="A18" s="7" t="n">
        <f aca="false">נתונים_שטוחים!A18</f>
        <v>103</v>
      </c>
      <c r="B18" s="8" t="str">
        <f aca="false">נתונים_שטוחים!B18</f>
        <v>מכוני פיזיותרפיה</v>
      </c>
      <c r="C18" s="9" t="str">
        <f aca="false">נתונים_שטוחים!C18</f>
        <v>ISR</v>
      </c>
      <c r="D18" s="10" t="n">
        <f aca="false">SUMIFS(נתונים_שטוחים!D18:O18,נתונים_שטוחים!$D$4:$O$4,$F$2)</f>
        <v>11626.65</v>
      </c>
      <c r="E18" s="10" t="n">
        <f aca="false">SUMIFS(נתונים_שטוחים!P18:AA18,נתונים_שטוחים!$P$4:$AA$4,$F$2)</f>
        <v>17330.93</v>
      </c>
      <c r="F18" s="10" t="n">
        <f aca="false">SUMIFS(נתונים_שטוחים!AB18:AM18,נתונים_שטוחים!$AB$4:$AM$4,$F$2)</f>
        <v>0</v>
      </c>
      <c r="G18" s="10" t="n">
        <f aca="false">SUMIFS(נתונים_שטוחים!AN18:AY18,נתונים_שטוחים!$AN$4:$AY$4,$F$2)</f>
        <v>0</v>
      </c>
      <c r="H18" s="11" t="str">
        <f aca="false">IFERROR(G18/F18-1,"-")</f>
        <v>-</v>
      </c>
      <c r="I18" s="10" t="n">
        <f aca="false">G18-F18</f>
        <v>0</v>
      </c>
    </row>
    <row r="19" customFormat="false" ht="15" hidden="false" customHeight="true" outlineLevel="0" collapsed="false">
      <c r="A19" s="12"/>
      <c r="B19" s="13" t="str">
        <f aca="false">'1'!B17</f>
        <v>סה"כ ישראל ללא אונליין</v>
      </c>
      <c r="C19" s="14"/>
      <c r="D19" s="15" t="n">
        <f aca="false">SUM(D5:D18)</f>
        <v>3874286.934</v>
      </c>
      <c r="E19" s="15" t="n">
        <f aca="false">SUM(E5:E18)</f>
        <v>3810006.74</v>
      </c>
      <c r="F19" s="15" t="n">
        <f aca="false">SUM(F5:F18)</f>
        <v>20995.2</v>
      </c>
      <c r="G19" s="15" t="n">
        <f aca="false">SUM(G5:G18)</f>
        <v>0</v>
      </c>
      <c r="H19" s="16" t="n">
        <f aca="false">IFERROR(G19/F19-1,"-")</f>
        <v>-1</v>
      </c>
      <c r="I19" s="15" t="n">
        <f aca="false">G19-F19</f>
        <v>-20995.2</v>
      </c>
    </row>
    <row r="20" customFormat="false" ht="15" hidden="false" customHeight="true" outlineLevel="0" collapsed="false">
      <c r="A20" s="7" t="n">
        <f aca="false">נתונים_שטוחים!A19</f>
        <v>114</v>
      </c>
      <c r="B20" s="8" t="str">
        <f aca="false">נתונים_שטוחים!B19</f>
        <v>לקוחות אינטרנט</v>
      </c>
      <c r="C20" s="9" t="str">
        <f aca="false">נתונים_שטוחים!C19</f>
        <v>ISR</v>
      </c>
      <c r="D20" s="10" t="n">
        <f aca="false">SUMIFS(נתונים_שטוחים!D19:O19,נתונים_שטוחים!$D$4:$O$4,$F$2)</f>
        <v>253937.589999999</v>
      </c>
      <c r="E20" s="10" t="n">
        <f aca="false">SUMIFS(נתונים_שטוחים!P19:AA19,נתונים_שטוחים!$P$4:$AA$4,$F$2)</f>
        <v>599115.08</v>
      </c>
      <c r="F20" s="10" t="n">
        <f aca="false">SUMIFS(נתונים_שטוחים!AB19:AM19,נתונים_שטוחים!$AB$4:$AM$4,$F$2)</f>
        <v>0</v>
      </c>
      <c r="G20" s="10" t="n">
        <f aca="false">SUMIFS(נתונים_שטוחים!AN19:AY19,נתונים_שטוחים!$AN$4:$AY$4,$F$2)</f>
        <v>0</v>
      </c>
      <c r="H20" s="11" t="str">
        <f aca="false">IFERROR(G20/F20-1,"-")</f>
        <v>-</v>
      </c>
      <c r="I20" s="10" t="n">
        <f aca="false">G20-F20</f>
        <v>0</v>
      </c>
    </row>
    <row r="21" customFormat="false" ht="15" hidden="false" customHeight="true" outlineLevel="0" collapsed="false">
      <c r="A21" s="7" t="n">
        <f aca="false">נתונים_שטוחים!A20</f>
        <v>115</v>
      </c>
      <c r="B21" s="8" t="str">
        <f aca="false">נתונים_שטוחים!B20</f>
        <v>סופר פארם מרקט פלייס</v>
      </c>
      <c r="C21" s="9" t="str">
        <f aca="false">נתונים_שטוחים!C20</f>
        <v>ISR</v>
      </c>
      <c r="D21" s="10" t="n">
        <f aca="false">SUMIFS(נתונים_שטוחים!D20:O20,נתונים_שטוחים!$D$4:$O$4,$F$2)</f>
        <v>10454.96</v>
      </c>
      <c r="E21" s="10" t="n">
        <f aca="false">SUMIFS(נתונים_שטוחים!P20:AA20,נתונים_שטוחים!$P$4:$AA$4,$F$2)</f>
        <v>4382.6</v>
      </c>
      <c r="F21" s="10" t="n">
        <f aca="false">SUMIFS(נתונים_שטוחים!AB20:AM20,נתונים_שטוחים!$AB$4:$AM$4,$F$2)</f>
        <v>0</v>
      </c>
      <c r="G21" s="10" t="n">
        <f aca="false">SUMIFS(נתונים_שטוחים!AN20:AY20,נתונים_שטוחים!$AN$4:$AY$4,$F$2)</f>
        <v>0</v>
      </c>
      <c r="H21" s="11" t="str">
        <f aca="false">IFERROR(G21/F21-1,"-")</f>
        <v>-</v>
      </c>
      <c r="I21" s="10" t="n">
        <f aca="false">G21-F21</f>
        <v>0</v>
      </c>
    </row>
    <row r="22" customFormat="false" ht="15" hidden="false" customHeight="true" outlineLevel="0" collapsed="false">
      <c r="A22" s="17"/>
      <c r="B22" s="18" t="str">
        <f aca="false">'1'!B20</f>
        <v>סה"כ ישראל</v>
      </c>
      <c r="C22" s="19"/>
      <c r="D22" s="20" t="n">
        <f aca="false">D19+D20+D21</f>
        <v>4138679.484</v>
      </c>
      <c r="E22" s="20" t="n">
        <f aca="false">E19+E20+E21</f>
        <v>4413504.42</v>
      </c>
      <c r="F22" s="20" t="n">
        <f aca="false">F19+F20+F21</f>
        <v>20995.2</v>
      </c>
      <c r="G22" s="20" t="n">
        <f aca="false">G19+G20+G21</f>
        <v>0</v>
      </c>
      <c r="H22" s="21" t="n">
        <f aca="false">IFERROR(G22/F22-1,"-")</f>
        <v>-1</v>
      </c>
      <c r="I22" s="20" t="n">
        <f aca="false">G22-F22</f>
        <v>-20995.2</v>
      </c>
    </row>
    <row r="23" customFormat="false" ht="15" hidden="false" customHeight="true" outlineLevel="0" collapsed="false">
      <c r="A23" s="7" t="n">
        <f aca="false">נתונים_שטוחים!A21</f>
        <v>301</v>
      </c>
      <c r="B23" s="8" t="str">
        <f aca="false">נתונים_שטוחים!B21</f>
        <v>AMAZON</v>
      </c>
      <c r="C23" s="22" t="str">
        <f aca="false">נתונים_שטוחים!C21</f>
        <v>USA</v>
      </c>
      <c r="D23" s="10" t="n">
        <f aca="false">SUMIFS(נתונים_שטוחים!D21:O21,נתונים_שטוחים!$D$4:$O$4,$F$2)</f>
        <v>594913.85</v>
      </c>
      <c r="E23" s="10" t="n">
        <f aca="false">SUMIFS(נתונים_שטוחים!P21:AA21,נתונים_שטוחים!$P$4:$AA$4,$F$2)</f>
        <v>676973.71</v>
      </c>
      <c r="F23" s="10" t="n">
        <f aca="false">SUMIFS(נתונים_שטוחים!AB21:AM21,נתונים_שטוחים!$AB$4:$AM$4,$F$2)</f>
        <v>0</v>
      </c>
      <c r="G23" s="10" t="n">
        <f aca="false">SUMIFS(נתונים_שטוחים!AN21:AY21,נתונים_שטוחים!$AN$4:$AY$4,$F$2)</f>
        <v>0</v>
      </c>
      <c r="H23" s="11" t="str">
        <f aca="false">IFERROR(G23/F23-1,"-")</f>
        <v>-</v>
      </c>
      <c r="I23" s="10" t="n">
        <f aca="false">G23-F23</f>
        <v>0</v>
      </c>
    </row>
    <row r="24" customFormat="false" ht="15" hidden="false" customHeight="true" outlineLevel="0" collapsed="false">
      <c r="A24" s="7" t="n">
        <f aca="false">נתונים_שטוחים!A22</f>
        <v>202</v>
      </c>
      <c r="B24" s="8" t="str">
        <f aca="false">נתונים_שטוחים!B22</f>
        <v>SUPER PHARM POLAND</v>
      </c>
      <c r="C24" s="22" t="str">
        <f aca="false">נתונים_שטוחים!C22</f>
        <v>POLAND</v>
      </c>
      <c r="D24" s="10" t="n">
        <f aca="false">SUMIFS(נתונים_שטוחים!D22:O22,נתונים_שטוחים!$D$4:$O$4,$F$2)</f>
        <v>137974.18</v>
      </c>
      <c r="E24" s="10" t="n">
        <f aca="false">SUMIFS(נתונים_שטוחים!P22:AA22,נתונים_שטוחים!$P$4:$AA$4,$F$2)</f>
        <v>284867.18</v>
      </c>
      <c r="F24" s="10" t="n">
        <f aca="false">SUMIFS(נתונים_שטוחים!AB22:AM22,נתונים_שטוחים!$AB$4:$AM$4,$F$2)</f>
        <v>0</v>
      </c>
      <c r="G24" s="10" t="n">
        <f aca="false">SUMIFS(נתונים_שטוחים!AN22:AY22,נתונים_שטוחים!$AN$4:$AY$4,$F$2)</f>
        <v>0</v>
      </c>
      <c r="H24" s="11" t="str">
        <f aca="false">IFERROR(G24/F24-1,"-")</f>
        <v>-</v>
      </c>
      <c r="I24" s="10" t="n">
        <f aca="false">G24-F24</f>
        <v>0</v>
      </c>
    </row>
    <row r="25" customFormat="false" ht="15" hidden="false" customHeight="true" outlineLevel="0" collapsed="false">
      <c r="A25" s="7" t="n">
        <f aca="false">נתונים_שטוחים!A23</f>
        <v>203</v>
      </c>
      <c r="B25" s="8" t="str">
        <f aca="false">נתונים_שטוחים!B23</f>
        <v>ORTHO- PARTNER AG.</v>
      </c>
      <c r="C25" s="22" t="str">
        <f aca="false">נתונים_שטוחים!C23</f>
        <v>SWITZERLAND</v>
      </c>
      <c r="D25" s="10" t="n">
        <f aca="false">SUMIFS(נתונים_שטוחים!D23:O23,נתונים_שטוחים!$D$4:$O$4,$F$2)</f>
        <v>220830.5</v>
      </c>
      <c r="E25" s="10" t="n">
        <f aca="false">SUMIFS(נתונים_שטוחים!P23:AA23,נתונים_שטוחים!$P$4:$AA$4,$F$2)</f>
        <v>54650.07</v>
      </c>
      <c r="F25" s="10" t="n">
        <f aca="false">SUMIFS(נתונים_שטוחים!AB23:AM23,נתונים_שטוחים!$AB$4:$AM$4,$F$2)</f>
        <v>0</v>
      </c>
      <c r="G25" s="10" t="n">
        <f aca="false">SUMIFS(נתונים_שטוחים!AN23:AY23,נתונים_שטוחים!$AN$4:$AY$4,$F$2)</f>
        <v>0</v>
      </c>
      <c r="H25" s="11" t="str">
        <f aca="false">IFERROR(G25/F25-1,"-")</f>
        <v>-</v>
      </c>
      <c r="I25" s="10" t="n">
        <f aca="false">G25-F25</f>
        <v>0</v>
      </c>
    </row>
    <row r="26" customFormat="false" ht="15" hidden="false" customHeight="true" outlineLevel="0" collapsed="false">
      <c r="A26" s="7" t="n">
        <f aca="false">נתונים_שטוחים!A24</f>
        <v>204</v>
      </c>
      <c r="B26" s="8" t="str">
        <f aca="false">נתונים_שטוחים!B24</f>
        <v>SANAFLEX ANATOMIC</v>
      </c>
      <c r="C26" s="22" t="str">
        <f aca="false">נתונים_שטוחים!C24</f>
        <v>GREECE</v>
      </c>
      <c r="D26" s="10" t="n">
        <f aca="false">SUMIFS(נתונים_שטוחים!D24:O24,נתונים_שטוחים!$D$4:$O$4,$F$2)</f>
        <v>167224.53</v>
      </c>
      <c r="E26" s="10" t="n">
        <f aca="false">SUMIFS(נתונים_שטוחים!P24:AA24,נתונים_שטוחים!$P$4:$AA$4,$F$2)</f>
        <v>83397.79</v>
      </c>
      <c r="F26" s="10" t="n">
        <f aca="false">SUMIFS(נתונים_שטוחים!AB24:AM24,נתונים_שטוחים!$AB$4:$AM$4,$F$2)</f>
        <v>0</v>
      </c>
      <c r="G26" s="10" t="n">
        <f aca="false">SUMIFS(נתונים_שטוחים!AN24:AY24,נתונים_שטוחים!$AN$4:$AY$4,$F$2)</f>
        <v>0</v>
      </c>
      <c r="H26" s="11" t="str">
        <f aca="false">IFERROR(G26/F26-1,"-")</f>
        <v>-</v>
      </c>
      <c r="I26" s="10" t="n">
        <f aca="false">G26-F26</f>
        <v>0</v>
      </c>
    </row>
    <row r="27" customFormat="false" ht="15" hidden="false" customHeight="true" outlineLevel="0" collapsed="false">
      <c r="A27" s="7" t="n">
        <f aca="false">נתונים_שטוחים!A25</f>
        <v>205</v>
      </c>
      <c r="B27" s="8" t="str">
        <f aca="false">נתונים_שטוחים!B25</f>
        <v>HEALTH CARE PROD. GMBH</v>
      </c>
      <c r="C27" s="22" t="str">
        <f aca="false">נתונים_שטוחים!C25</f>
        <v>GERMANY</v>
      </c>
      <c r="D27" s="10" t="n">
        <f aca="false">SUMIFS(נתונים_שטוחים!D25:O25,נתונים_שטוחים!$D$4:$O$4,$F$2)</f>
        <v>17813.97</v>
      </c>
      <c r="E27" s="10" t="n">
        <f aca="false">SUMIFS(נתונים_שטוחים!P25:AA25,נתונים_שטוחים!$P$4:$AA$4,$F$2)</f>
        <v>31158.35</v>
      </c>
      <c r="F27" s="10" t="n">
        <f aca="false">SUMIFS(נתונים_שטוחים!AB25:AM25,נתונים_שטוחים!$AB$4:$AM$4,$F$2)</f>
        <v>0</v>
      </c>
      <c r="G27" s="10" t="n">
        <f aca="false">SUMIFS(נתונים_שטוחים!AN25:AY25,נתונים_שטוחים!$AN$4:$AY$4,$F$2)</f>
        <v>0</v>
      </c>
      <c r="H27" s="11" t="str">
        <f aca="false">IFERROR(G27/F27-1,"-")</f>
        <v>-</v>
      </c>
      <c r="I27" s="10" t="n">
        <f aca="false">G27-F27</f>
        <v>0</v>
      </c>
    </row>
    <row r="28" customFormat="false" ht="15" hidden="false" customHeight="true" outlineLevel="0" collapsed="false">
      <c r="A28" s="7" t="n">
        <f aca="false">נתונים_שטוחים!A26</f>
        <v>206</v>
      </c>
      <c r="B28" s="8" t="str">
        <f aca="false">נתונים_שטוחים!B26</f>
        <v>ORTHOMED  LTD</v>
      </c>
      <c r="C28" s="22" t="str">
        <f aca="false">נתונים_שטוחים!C26</f>
        <v>BULGARIA</v>
      </c>
      <c r="D28" s="10" t="n">
        <f aca="false">SUMIFS(נתונים_שטוחים!D26:O26,נתונים_שטוחים!$D$4:$O$4,$F$2)</f>
        <v>44572.45</v>
      </c>
      <c r="E28" s="10" t="n">
        <f aca="false">SUMIFS(נתונים_שטוחים!P26:AA26,נתונים_שטוחים!$P$4:$AA$4,$F$2)</f>
        <v>0</v>
      </c>
      <c r="F28" s="10" t="n">
        <f aca="false">SUMIFS(נתונים_שטוחים!AB26:AM26,נתונים_שטוחים!$AB$4:$AM$4,$F$2)</f>
        <v>0</v>
      </c>
      <c r="G28" s="10" t="n">
        <f aca="false">SUMIFS(נתונים_שטוחים!AN26:AY26,נתונים_שטוחים!$AN$4:$AY$4,$F$2)</f>
        <v>0</v>
      </c>
      <c r="H28" s="11" t="str">
        <f aca="false">IFERROR(G28/F28-1,"-")</f>
        <v>-</v>
      </c>
      <c r="I28" s="10" t="n">
        <f aca="false">G28-F28</f>
        <v>0</v>
      </c>
    </row>
    <row r="29" customFormat="false" ht="15" hidden="false" customHeight="true" outlineLevel="0" collapsed="false">
      <c r="A29" s="7" t="n">
        <f aca="false">נתונים_שטוחים!A27</f>
        <v>207</v>
      </c>
      <c r="B29" s="8" t="str">
        <f aca="false">נתונים_שטוחים!B27</f>
        <v>SALUS</v>
      </c>
      <c r="C29" s="22" t="str">
        <f aca="false">נתונים_שטוחים!C27</f>
        <v>HUNGARY</v>
      </c>
      <c r="D29" s="10" t="n">
        <f aca="false">SUMIFS(נתונים_שטוחים!D27:O27,נתונים_שטוחים!$D$4:$O$4,$F$2)</f>
        <v>222074.04</v>
      </c>
      <c r="E29" s="10" t="n">
        <f aca="false">SUMIFS(נתונים_שטוחים!P27:AA27,נתונים_שטוחים!$P$4:$AA$4,$F$2)</f>
        <v>146752.62</v>
      </c>
      <c r="F29" s="10" t="n">
        <f aca="false">SUMIFS(נתונים_שטוחים!AB27:AM27,נתונים_שטוחים!$AB$4:$AM$4,$F$2)</f>
        <v>0</v>
      </c>
      <c r="G29" s="10" t="n">
        <f aca="false">SUMIFS(נתונים_שטוחים!AN27:AY27,נתונים_שטוחים!$AN$4:$AY$4,$F$2)</f>
        <v>0</v>
      </c>
      <c r="H29" s="11" t="str">
        <f aca="false">IFERROR(G29/F29-1,"-")</f>
        <v>-</v>
      </c>
      <c r="I29" s="10" t="n">
        <f aca="false">G29-F29</f>
        <v>0</v>
      </c>
    </row>
    <row r="30" customFormat="false" ht="15" hidden="false" customHeight="true" outlineLevel="0" collapsed="false">
      <c r="A30" s="7" t="n">
        <f aca="false">נתונים_שטוחים!A28</f>
        <v>216</v>
      </c>
      <c r="B30" s="8" t="str">
        <f aca="false">נתונים_שטוחים!B28</f>
        <v>MAX KONNARIS LTD</v>
      </c>
      <c r="C30" s="22" t="str">
        <f aca="false">נתונים_שטוחים!C28</f>
        <v>CYPRUS</v>
      </c>
      <c r="D30" s="10" t="n">
        <f aca="false">SUMIFS(נתונים_שטוחים!D28:O28,נתונים_שטוחים!$D$4:$O$4,$F$2)</f>
        <v>20724.08</v>
      </c>
      <c r="E30" s="10" t="n">
        <f aca="false">SUMIFS(נתונים_שטוחים!P28:AA28,נתונים_שטוחים!$P$4:$AA$4,$F$2)</f>
        <v>20604.23</v>
      </c>
      <c r="F30" s="10" t="n">
        <f aca="false">SUMIFS(נתונים_שטוחים!AB28:AM28,נתונים_שטוחים!$AB$4:$AM$4,$F$2)</f>
        <v>0</v>
      </c>
      <c r="G30" s="10" t="n">
        <f aca="false">SUMIFS(נתונים_שטוחים!AN28:AY28,נתונים_שטוחים!$AN$4:$AY$4,$F$2)</f>
        <v>0</v>
      </c>
      <c r="H30" s="11" t="str">
        <f aca="false">IFERROR(G30/F30-1,"-")</f>
        <v>-</v>
      </c>
      <c r="I30" s="10" t="n">
        <f aca="false">G30-F30</f>
        <v>0</v>
      </c>
    </row>
    <row r="31" customFormat="false" ht="15" hidden="false" customHeight="true" outlineLevel="0" collapsed="false">
      <c r="A31" s="7" t="n">
        <f aca="false">נתונים_שטוחים!A29</f>
        <v>208</v>
      </c>
      <c r="B31" s="8" t="str">
        <f aca="false">נתונים_שטוחים!B29</f>
        <v>MEDIPAL COMPANY</v>
      </c>
      <c r="C31" s="22" t="str">
        <f aca="false">נתונים_שטוחים!C29</f>
        <v>NABLUS</v>
      </c>
      <c r="D31" s="10" t="n">
        <f aca="false">SUMIFS(נתונים_שטוחים!D29:O29,נתונים_שטוחים!$D$4:$O$4,$F$2)</f>
        <v>198800.83</v>
      </c>
      <c r="E31" s="10" t="n">
        <f aca="false">SUMIFS(נתונים_שטוחים!P29:AA29,נתונים_שטוחים!$P$4:$AA$4,$F$2)</f>
        <v>256771.88</v>
      </c>
      <c r="F31" s="10" t="n">
        <f aca="false">SUMIFS(נתונים_שטוחים!AB29:AM29,נתונים_שטוחים!$AB$4:$AM$4,$F$2)</f>
        <v>0</v>
      </c>
      <c r="G31" s="10" t="n">
        <f aca="false">SUMIFS(נתונים_שטוחים!AN29:AY29,נתונים_שטוחים!$AN$4:$AY$4,$F$2)</f>
        <v>0</v>
      </c>
      <c r="H31" s="11" t="str">
        <f aca="false">IFERROR(G31/F31-1,"-")</f>
        <v>-</v>
      </c>
      <c r="I31" s="10" t="n">
        <f aca="false">G31-F31</f>
        <v>0</v>
      </c>
    </row>
    <row r="32" customFormat="false" ht="15" hidden="false" customHeight="true" outlineLevel="0" collapsed="false">
      <c r="A32" s="7" t="n">
        <f aca="false">נתונים_שטוחים!A30</f>
        <v>209</v>
      </c>
      <c r="B32" s="8" t="str">
        <f aca="false">נתונים_שטוחים!B30</f>
        <v>ORTOPROFIL PROD</v>
      </c>
      <c r="C32" s="22" t="str">
        <f aca="false">נתונים_שטוחים!C30</f>
        <v>ROMANIA</v>
      </c>
      <c r="D32" s="10" t="n">
        <f aca="false">SUMIFS(נתונים_שטוחים!D30:O30,נתונים_שטוחים!$D$4:$O$4,$F$2)</f>
        <v>62633.86</v>
      </c>
      <c r="E32" s="10" t="n">
        <f aca="false">SUMIFS(נתונים_שטוחים!P30:AA30,נתונים_שטוחים!$P$4:$AA$4,$F$2)</f>
        <v>106882.54</v>
      </c>
      <c r="F32" s="10" t="n">
        <f aca="false">SUMIFS(נתונים_שטוחים!AB30:AM30,נתונים_שטוחים!$AB$4:$AM$4,$F$2)</f>
        <v>0</v>
      </c>
      <c r="G32" s="10" t="n">
        <f aca="false">SUMIFS(נתונים_שטוחים!AN30:AY30,נתונים_שטוחים!$AN$4:$AY$4,$F$2)</f>
        <v>0</v>
      </c>
      <c r="H32" s="11" t="str">
        <f aca="false">IFERROR(G32/F32-1,"-")</f>
        <v>-</v>
      </c>
      <c r="I32" s="10" t="n">
        <f aca="false">G32-F32</f>
        <v>0</v>
      </c>
    </row>
    <row r="33" customFormat="false" ht="15" hidden="false" customHeight="true" outlineLevel="0" collapsed="false">
      <c r="A33" s="7" t="n">
        <f aca="false">נתונים_שטוחים!A31</f>
        <v>210</v>
      </c>
      <c r="B33" s="8" t="str">
        <f aca="false">נתונים_שטוחים!B31</f>
        <v>OY. EA. AB.</v>
      </c>
      <c r="C33" s="22" t="str">
        <f aca="false">נתונים_שטוחים!C31</f>
        <v>FINLAND</v>
      </c>
      <c r="D33" s="10" t="n">
        <f aca="false">SUMIFS(נתונים_שטוחים!D31:O31,נתונים_שטוחים!$D$4:$O$4,$F$2)</f>
        <v>3920.16</v>
      </c>
      <c r="E33" s="10" t="n">
        <f aca="false">SUMIFS(נתונים_שטוחים!P31:AA31,נתונים_שטוחים!$P$4:$AA$4,$F$2)</f>
        <v>32544.41</v>
      </c>
      <c r="F33" s="10" t="n">
        <f aca="false">SUMIFS(נתונים_שטוחים!AB31:AM31,נתונים_שטוחים!$AB$4:$AM$4,$F$2)</f>
        <v>0</v>
      </c>
      <c r="G33" s="10" t="n">
        <f aca="false">SUMIFS(נתונים_שטוחים!AN31:AY31,נתונים_שטוחים!$AN$4:$AY$4,$F$2)</f>
        <v>0</v>
      </c>
      <c r="H33" s="11" t="str">
        <f aca="false">IFERROR(G33/F33-1,"-")</f>
        <v>-</v>
      </c>
      <c r="I33" s="10" t="n">
        <f aca="false">G33-F33</f>
        <v>0</v>
      </c>
    </row>
    <row r="34" customFormat="false" ht="15" hidden="false" customHeight="true" outlineLevel="0" collapsed="false">
      <c r="A34" s="7" t="n">
        <f aca="false">נתונים_שטוחים!A32</f>
        <v>201</v>
      </c>
      <c r="B34" s="8" t="str">
        <f aca="false">נתונים_שטוחים!B32</f>
        <v>SEVEN GEAR</v>
      </c>
      <c r="C34" s="22" t="str">
        <f aca="false">נתונים_שטוחים!C32</f>
        <v>FINLAND</v>
      </c>
      <c r="D34" s="10" t="n">
        <f aca="false">SUMIFS(נתונים_שטוחים!D32:O32,נתונים_שטוחים!$D$4:$O$4,$F$2)</f>
        <v>0</v>
      </c>
      <c r="E34" s="10" t="n">
        <f aca="false">SUMIFS(נתונים_שטוחים!P32:AA32,נתונים_שטוחים!$P$4:$AA$4,$F$2)</f>
        <v>22174.9</v>
      </c>
      <c r="F34" s="10" t="n">
        <f aca="false">SUMIFS(נתונים_שטוחים!AB32:AM32,נתונים_שטוחים!$AB$4:$AM$4,$F$2)</f>
        <v>0</v>
      </c>
      <c r="G34" s="10" t="n">
        <f aca="false">SUMIFS(נתונים_שטוחים!AN32:AY32,נתונים_שטוחים!$AN$4:$AY$4,$F$2)</f>
        <v>0</v>
      </c>
      <c r="H34" s="11" t="str">
        <f aca="false">IFERROR(G34/F34-1,"-")</f>
        <v>-</v>
      </c>
      <c r="I34" s="10" t="n">
        <f aca="false">G34-F34</f>
        <v>0</v>
      </c>
    </row>
    <row r="35" customFormat="false" ht="15" hidden="false" customHeight="true" outlineLevel="0" collapsed="false">
      <c r="A35" s="7" t="n">
        <f aca="false">נתונים_שטוחים!A33</f>
        <v>211</v>
      </c>
      <c r="B35" s="8" t="str">
        <f aca="false">נתונים_שטוחים!B33</f>
        <v>PHARMAG LACHMAIR GES. MBH</v>
      </c>
      <c r="C35" s="22" t="str">
        <f aca="false">נתונים_שטוחים!C33</f>
        <v>AUSTRIA</v>
      </c>
      <c r="D35" s="10" t="n">
        <f aca="false">SUMIFS(נתונים_שטוחים!D33:O33,נתונים_שטוחים!$D$4:$O$4,$F$2)</f>
        <v>0</v>
      </c>
      <c r="E35" s="10" t="n">
        <f aca="false">SUMIFS(נתונים_שטוחים!P33:AA33,נתונים_שטוחים!$P$4:$AA$4,$F$2)</f>
        <v>0</v>
      </c>
      <c r="F35" s="10" t="n">
        <f aca="false">SUMIFS(נתונים_שטוחים!AB33:AM33,נתונים_שטוחים!$AB$4:$AM$4,$F$2)</f>
        <v>0</v>
      </c>
      <c r="G35" s="10" t="n">
        <f aca="false">SUMIFS(נתונים_שטוחים!AN33:AY33,נתונים_שטוחים!$AN$4:$AY$4,$F$2)</f>
        <v>0</v>
      </c>
      <c r="H35" s="11" t="str">
        <f aca="false">IFERROR(G35/F35-1,"-")</f>
        <v>-</v>
      </c>
      <c r="I35" s="10" t="n">
        <f aca="false">G35-F35</f>
        <v>0</v>
      </c>
    </row>
    <row r="36" customFormat="false" ht="15" hidden="false" customHeight="true" outlineLevel="0" collapsed="false">
      <c r="A36" s="7" t="n">
        <f aca="false">נתונים_שטוחים!A34</f>
        <v>304</v>
      </c>
      <c r="B36" s="8" t="str">
        <f aca="false">נתונים_שטוחים!B34</f>
        <v>REMEDICARE B.V.</v>
      </c>
      <c r="C36" s="23" t="str">
        <f aca="false">נתונים_שטוחים!C34</f>
        <v>HOLLAND</v>
      </c>
      <c r="D36" s="10" t="n">
        <f aca="false">SUMIFS(נתונים_שטוחים!D34:O34,נתונים_שטוחים!$D$4:$O$4,$F$2)</f>
        <v>0</v>
      </c>
      <c r="E36" s="10" t="n">
        <f aca="false">SUMIFS(נתונים_שטוחים!P34:AA34,נתונים_שטוחים!$P$4:$AA$4,$F$2)</f>
        <v>0</v>
      </c>
      <c r="F36" s="10" t="n">
        <f aca="false">SUMIFS(נתונים_שטוחים!AB34:AM34,נתונים_שטוחים!$AB$4:$AM$4,$F$2)</f>
        <v>0</v>
      </c>
      <c r="G36" s="10" t="n">
        <f aca="false">SUMIFS(נתונים_שטוחים!AN34:AY34,נתונים_שטוחים!$AN$4:$AY$4,$F$2)</f>
        <v>0</v>
      </c>
      <c r="H36" s="11" t="str">
        <f aca="false">IFERROR(G36/F36-1,"-")</f>
        <v>-</v>
      </c>
      <c r="I36" s="10" t="n">
        <f aca="false">G36-F36</f>
        <v>0</v>
      </c>
    </row>
    <row r="37" customFormat="false" ht="15" hidden="false" customHeight="true" outlineLevel="0" collapsed="false">
      <c r="A37" s="7" t="n">
        <f aca="false">נתונים_שטוחים!A35</f>
        <v>213</v>
      </c>
      <c r="B37" s="8" t="str">
        <f aca="false">נתונים_שטוחים!B35</f>
        <v>E.F.M.O.</v>
      </c>
      <c r="C37" s="22" t="str">
        <f aca="false">נתונים_שטוחים!C35</f>
        <v>SPAIN</v>
      </c>
      <c r="D37" s="10" t="n">
        <f aca="false">SUMIFS(נתונים_שטוחים!D35:O35,נתונים_שטוחים!$D$4:$O$4,$F$2)</f>
        <v>0</v>
      </c>
      <c r="E37" s="10" t="n">
        <f aca="false">SUMIFS(נתונים_שטוחים!P35:AA35,נתונים_שטוחים!$P$4:$AA$4,$F$2)</f>
        <v>0</v>
      </c>
      <c r="F37" s="10" t="n">
        <f aca="false">SUMIFS(נתונים_שטוחים!AB35:AM35,נתונים_שטוחים!$AB$4:$AM$4,$F$2)</f>
        <v>0</v>
      </c>
      <c r="G37" s="10" t="n">
        <f aca="false">SUMIFS(נתונים_שטוחים!AN35:AY35,נתונים_שטוחים!$AN$4:$AY$4,$F$2)</f>
        <v>0</v>
      </c>
      <c r="H37" s="11" t="str">
        <f aca="false">IFERROR(G37/F37-1,"-")</f>
        <v>-</v>
      </c>
      <c r="I37" s="10" t="n">
        <f aca="false">G37-F37</f>
        <v>0</v>
      </c>
    </row>
    <row r="38" customFormat="false" ht="15" hidden="false" customHeight="true" outlineLevel="0" collapsed="false">
      <c r="A38" s="7" t="n">
        <f aca="false">נתונים_שטוחים!A36</f>
        <v>214</v>
      </c>
      <c r="B38" s="8" t="str">
        <f aca="false">נתונים_שטוחים!B36</f>
        <v>ALFRED GERA</v>
      </c>
      <c r="C38" s="22" t="str">
        <f aca="false">נתונים_שטוחים!C36</f>
        <v>MALTA</v>
      </c>
      <c r="D38" s="10" t="n">
        <f aca="false">SUMIFS(נתונים_שטוחים!D36:O36,נתונים_שטוחים!$D$4:$O$4,$F$2)</f>
        <v>0</v>
      </c>
      <c r="E38" s="10" t="n">
        <f aca="false">SUMIFS(נתונים_שטוחים!P36:AA36,נתונים_שטוחים!$P$4:$AA$4,$F$2)</f>
        <v>23331.65</v>
      </c>
      <c r="F38" s="10" t="n">
        <f aca="false">SUMIFS(נתונים_שטוחים!AB36:AM36,נתונים_שטוחים!$AB$4:$AM$4,$F$2)</f>
        <v>0</v>
      </c>
      <c r="G38" s="10" t="n">
        <f aca="false">SUMIFS(נתונים_שטוחים!AN36:AY36,נתונים_שטוחים!$AN$4:$AY$4,$F$2)</f>
        <v>0</v>
      </c>
      <c r="H38" s="11" t="str">
        <f aca="false">IFERROR(G38/F38-1,"-")</f>
        <v>-</v>
      </c>
      <c r="I38" s="10" t="n">
        <f aca="false">G38-F38</f>
        <v>0</v>
      </c>
    </row>
    <row r="39" customFormat="false" ht="15" hidden="false" customHeight="true" outlineLevel="0" collapsed="false">
      <c r="A39" s="7" t="n">
        <f aca="false">נתונים_שטוחים!A37</f>
        <v>212</v>
      </c>
      <c r="B39" s="8" t="str">
        <f aca="false">נתונים_שטוחים!B37</f>
        <v>QUADRIFOGLIO MEDICAL</v>
      </c>
      <c r="C39" s="23" t="str">
        <f aca="false">נתונים_שטוחים!C37</f>
        <v>ROMANIA</v>
      </c>
      <c r="D39" s="10" t="n">
        <f aca="false">SUMIFS(נתונים_שטוחים!D37:O37,נתונים_שטוחים!$D$4:$O$4,$F$2)</f>
        <v>0</v>
      </c>
      <c r="E39" s="10" t="n">
        <f aca="false">SUMIFS(נתונים_שטוחים!P37:AA37,נתונים_שטוחים!$P$4:$AA$4,$F$2)</f>
        <v>0</v>
      </c>
      <c r="F39" s="10" t="n">
        <f aca="false">SUMIFS(נתונים_שטוחים!AB37:AM37,נתונים_שטוחים!$AB$4:$AM$4,$F$2)</f>
        <v>0</v>
      </c>
      <c r="G39" s="10" t="n">
        <f aca="false">SUMIFS(נתונים_שטוחים!AN37:AY37,נתונים_שטוחים!$AN$4:$AY$4,$F$2)</f>
        <v>0</v>
      </c>
      <c r="H39" s="11" t="str">
        <f aca="false">IFERROR(G39/F39-1,"-")</f>
        <v>-</v>
      </c>
      <c r="I39" s="10" t="n">
        <f aca="false">G39-F39</f>
        <v>0</v>
      </c>
    </row>
    <row r="40" customFormat="false" ht="15" hidden="false" customHeight="true" outlineLevel="0" collapsed="false">
      <c r="A40" s="7" t="n">
        <f aca="false">נתונים_שטוחים!A38</f>
        <v>215</v>
      </c>
      <c r="B40" s="8" t="str">
        <f aca="false">נתונים_שטוחים!B38</f>
        <v>YOUNG IN HEALTHCARE CO.,</v>
      </c>
      <c r="C40" s="22" t="str">
        <f aca="false">נתונים_שטוחים!C38</f>
        <v>KOREA</v>
      </c>
      <c r="D40" s="10" t="n">
        <f aca="false">SUMIFS(נתונים_שטוחים!D38:O38,נתונים_שטוחים!$D$4:$O$4,$F$2)</f>
        <v>0</v>
      </c>
      <c r="E40" s="10" t="n">
        <f aca="false">SUMIFS(נתונים_שטוחים!P38:AA38,נתונים_שטוחים!$P$4:$AA$4,$F$2)</f>
        <v>0</v>
      </c>
      <c r="F40" s="10" t="n">
        <f aca="false">SUMIFS(נתונים_שטוחים!AB38:AM38,נתונים_שטוחים!$AB$4:$AM$4,$F$2)</f>
        <v>0</v>
      </c>
      <c r="G40" s="10" t="n">
        <f aca="false">SUMIFS(נתונים_שטוחים!AN38:AY38,נתונים_שטוחים!$AN$4:$AY$4,$F$2)</f>
        <v>0</v>
      </c>
      <c r="H40" s="11" t="str">
        <f aca="false">IFERROR(G40/F40-1,"-")</f>
        <v>-</v>
      </c>
      <c r="I40" s="10" t="n">
        <f aca="false">G40-F40</f>
        <v>0</v>
      </c>
    </row>
    <row r="41" customFormat="false" ht="15" hidden="false" customHeight="true" outlineLevel="0" collapsed="false">
      <c r="A41" s="7" t="n">
        <f aca="false">נתונים_שטוחים!A39</f>
        <v>217</v>
      </c>
      <c r="B41" s="8" t="str">
        <f aca="false">נתונים_שטוחים!B39</f>
        <v>HANS</v>
      </c>
      <c r="C41" s="22" t="str">
        <f aca="false">נתונים_שטוחים!C39</f>
        <v>USA</v>
      </c>
      <c r="D41" s="10" t="n">
        <f aca="false">SUMIFS(נתונים_שטוחים!D39:O39,נתונים_שטוחים!$D$4:$O$4,$F$2)</f>
        <v>161576.19</v>
      </c>
      <c r="E41" s="10" t="n">
        <f aca="false">SUMIFS(נתונים_שטוחים!P39:AA39,נתונים_שטוחים!$P$4:$AA$4,$F$2)</f>
        <v>0</v>
      </c>
      <c r="F41" s="10" t="n">
        <f aca="false">SUMIFS(נתונים_שטוחים!AB39:AM39,נתונים_שטוחים!$AB$4:$AM$4,$F$2)</f>
        <v>0</v>
      </c>
      <c r="G41" s="10" t="n">
        <f aca="false">SUMIFS(נתונים_שטוחים!AN39:AY39,נתונים_שטוחים!$AN$4:$AY$4,$F$2)</f>
        <v>0</v>
      </c>
      <c r="H41" s="11" t="str">
        <f aca="false">IFERROR(G41/F41-1,"-")</f>
        <v>-</v>
      </c>
      <c r="I41" s="10" t="n">
        <f aca="false">G41-F41</f>
        <v>0</v>
      </c>
    </row>
    <row r="42" customFormat="false" ht="15" hidden="false" customHeight="true" outlineLevel="0" collapsed="false">
      <c r="A42" s="7" t="n">
        <f aca="false">נתונים_שטוחים!A40</f>
        <v>303</v>
      </c>
      <c r="B42" s="8" t="str">
        <f aca="false">נתונים_שטוחים!B40</f>
        <v>NEW DISTRIBUTORS</v>
      </c>
      <c r="C42" s="22" t="str">
        <f aca="false">נתונים_שטוחים!C40</f>
        <v>Other </v>
      </c>
      <c r="D42" s="10" t="n">
        <f aca="false">SUMIFS(נתונים_שטוחים!D40:O40,נתונים_שטוחים!$D$4:$O$4,$F$2)</f>
        <v>0</v>
      </c>
      <c r="E42" s="10" t="n">
        <f aca="false">SUMIFS(נתונים_שטוחים!P40:AA40,נתונים_שטוחים!$P$4:$AA$4,$F$2)</f>
        <v>0</v>
      </c>
      <c r="F42" s="10" t="n">
        <f aca="false">SUMIFS(נתונים_שטוחים!AB40:AM40,נתונים_שטוחים!$AB$4:$AM$4,$F$2)</f>
        <v>0</v>
      </c>
      <c r="G42" s="10" t="n">
        <f aca="false">SUMIFS(נתונים_שטוחים!AN40:AY40,נתונים_שטוחים!$AN$4:$AY$4,$F$2)</f>
        <v>0</v>
      </c>
      <c r="H42" s="11" t="str">
        <f aca="false">IFERROR(G42/F42-1,"-")</f>
        <v>-</v>
      </c>
      <c r="I42" s="10" t="n">
        <f aca="false">G42-F42</f>
        <v>0</v>
      </c>
    </row>
    <row r="43" customFormat="false" ht="15" hidden="false" customHeight="true" outlineLevel="0" collapsed="false">
      <c r="A43" s="7" t="n">
        <f aca="false">נתונים_שטוחים!A41</f>
        <v>305</v>
      </c>
      <c r="B43" s="8" t="str">
        <f aca="false">נתונים_שטוחים!B41</f>
        <v>BAKU</v>
      </c>
      <c r="C43" s="22" t="str">
        <f aca="false">נתונים_שטוחים!C41</f>
        <v>AZERBAIJAN</v>
      </c>
      <c r="D43" s="10" t="n">
        <f aca="false">SUMIFS(נתונים_שטוחים!D41:O41,נתונים_שטוחים!$D$4:$O$4,$F$2)</f>
        <v>0</v>
      </c>
      <c r="E43" s="10" t="n">
        <f aca="false">SUMIFS(נתונים_שטוחים!P41:AA41,נתונים_שטוחים!$P$4:$AA$4,$F$2)</f>
        <v>0</v>
      </c>
      <c r="F43" s="10" t="n">
        <f aca="false">SUMIFS(נתונים_שטוחים!AB41:AM41,נתונים_שטוחים!$AB$4:$AM$4,$F$2)</f>
        <v>0</v>
      </c>
      <c r="G43" s="10" t="n">
        <f aca="false">SUMIFS(נתונים_שטוחים!AN41:AY41,נתונים_שטוחים!$AN$4:$AY$4,$F$2)</f>
        <v>0</v>
      </c>
      <c r="H43" s="11" t="str">
        <f aca="false">IFERROR(G43/F43-1,"-")</f>
        <v>-</v>
      </c>
      <c r="I43" s="10" t="n">
        <f aca="false">G43-F43</f>
        <v>0</v>
      </c>
    </row>
    <row r="44" customFormat="false" ht="15" hidden="false" customHeight="true" outlineLevel="0" collapsed="false">
      <c r="A44" s="7" t="n">
        <f aca="false">נתונים_שטוחים!A42</f>
        <v>302</v>
      </c>
      <c r="B44" s="8" t="str">
        <f aca="false">נתונים_שטוחים!B42</f>
        <v>MEXICO</v>
      </c>
      <c r="C44" s="22" t="str">
        <f aca="false">נתונים_שטוחים!C42</f>
        <v>MEXICO</v>
      </c>
      <c r="D44" s="10" t="n">
        <f aca="false">SUMIFS(נתונים_שטוחים!D42:O42,נתונים_שטוחים!$D$4:$O$4,$F$2)</f>
        <v>0</v>
      </c>
      <c r="E44" s="10" t="n">
        <f aca="false">SUMIFS(נתונים_שטוחים!P42:AA42,נתונים_שטוחים!$P$4:$AA$4,$F$2)</f>
        <v>0</v>
      </c>
      <c r="F44" s="10" t="n">
        <f aca="false">SUMIFS(נתונים_שטוחים!AB42:AM42,נתונים_שטוחים!$AB$4:$AM$4,$F$2)</f>
        <v>0</v>
      </c>
      <c r="G44" s="10" t="n">
        <f aca="false">SUMIFS(נתונים_שטוחים!AN42:AY42,נתונים_שטוחים!$AN$4:$AY$4,$F$2)</f>
        <v>0</v>
      </c>
      <c r="H44" s="11" t="str">
        <f aca="false">IFERROR(G44/F44-1,"-")</f>
        <v>-</v>
      </c>
      <c r="I44" s="10" t="n">
        <f aca="false">G44-F44</f>
        <v>0</v>
      </c>
    </row>
    <row r="45" customFormat="false" ht="15" hidden="false" customHeight="true" outlineLevel="0" collapsed="false">
      <c r="A45" s="24"/>
      <c r="B45" s="25" t="str">
        <f aca="false">'1'!B43</f>
        <v>סה"כ חו"ל</v>
      </c>
      <c r="C45" s="26"/>
      <c r="D45" s="27" t="n">
        <f aca="false">SUM(D23:D44)</f>
        <v>1853058.64</v>
      </c>
      <c r="E45" s="27" t="n">
        <f aca="false">SUM(E23:E44)</f>
        <v>1740109.33</v>
      </c>
      <c r="F45" s="27" t="n">
        <f aca="false">SUM(F23:F44)</f>
        <v>0</v>
      </c>
      <c r="G45" s="27" t="n">
        <f aca="false">SUM(G23:G44)</f>
        <v>0</v>
      </c>
      <c r="H45" s="28" t="str">
        <f aca="false">IFERROR(G45/F45-1,"-")</f>
        <v>-</v>
      </c>
      <c r="I45" s="27" t="n">
        <f aca="false">G45-F45</f>
        <v>0</v>
      </c>
    </row>
    <row r="46" customFormat="false" ht="15" hidden="false" customHeight="true" outlineLevel="0" collapsed="false">
      <c r="A46" s="29"/>
      <c r="B46" s="30" t="str">
        <f aca="false">'1'!B44</f>
        <v>סה"כ מכירות </v>
      </c>
      <c r="C46" s="31"/>
      <c r="D46" s="32" t="n">
        <f aca="false">D45+D22</f>
        <v>5991738.124</v>
      </c>
      <c r="E46" s="32" t="n">
        <f aca="false">E45+E22</f>
        <v>6153613.75</v>
      </c>
      <c r="F46" s="32" t="n">
        <f aca="false">F45+F22</f>
        <v>20995.2</v>
      </c>
      <c r="G46" s="32" t="n">
        <f aca="false">G45+G22</f>
        <v>0</v>
      </c>
      <c r="H46" s="33" t="n">
        <f aca="false">IFERROR(G46/F46-1,"-")</f>
        <v>-1</v>
      </c>
      <c r="I46" s="32" t="n">
        <f aca="false">G46-F46</f>
        <v>-20995.2</v>
      </c>
    </row>
  </sheetData>
  <dataValidations count="1">
    <dataValidation allowBlank="false" error="בחר רבעון מהרשימה (Q1-Q4)" errorStyle="stop" operator="between" prompt="בחר רבעון" showDropDown="false" showErrorMessage="true" showInputMessage="false" sqref="D2" type="list">
      <formula1>"Q1,Q2,Q3,Q4"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23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-594.08</v>
      </c>
      <c r="E3" s="10" t="n">
        <v>58427.8</v>
      </c>
      <c r="F3" s="10" t="n">
        <v>63104</v>
      </c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452441.08</v>
      </c>
      <c r="E4" s="10" t="n">
        <v>670882.199700005</v>
      </c>
      <c r="F4" s="10" t="n">
        <v>423956.26</v>
      </c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63301.42</v>
      </c>
      <c r="E5" s="10" t="n">
        <v>54489.89</v>
      </c>
      <c r="F5" s="10" t="n">
        <v>67635.75</v>
      </c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164714.584</v>
      </c>
      <c r="E6" s="10" t="n">
        <v>136160.380299998</v>
      </c>
      <c r="F6" s="10" t="n">
        <v>192169.79</v>
      </c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414961</v>
      </c>
      <c r="E7" s="10" t="n">
        <v>326467.5</v>
      </c>
      <c r="F7" s="10" t="n">
        <v>320186.2</v>
      </c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74817.97</v>
      </c>
      <c r="E8" s="10" t="n">
        <v>57834.64</v>
      </c>
      <c r="F8" s="10" t="n">
        <v>60425.14</v>
      </c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91890.1</v>
      </c>
      <c r="E10" s="10" t="n">
        <v>72633.3</v>
      </c>
      <c r="F10" s="10" t="n">
        <v>86618.03</v>
      </c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15878.93</v>
      </c>
      <c r="E11" s="10" t="n">
        <v>16402.68</v>
      </c>
      <c r="F11" s="10" t="n">
        <v>18073.66</v>
      </c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5667.68</v>
      </c>
      <c r="E12" s="10" t="n">
        <v>6025.5</v>
      </c>
      <c r="F12" s="10" t="n">
        <v>5894.68</v>
      </c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0</v>
      </c>
      <c r="E13" s="10" t="n">
        <v>1162.85</v>
      </c>
      <c r="F13" s="10" t="n">
        <v>810.6</v>
      </c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0</v>
      </c>
      <c r="F14" s="10"/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0</v>
      </c>
      <c r="E15" s="10" t="n">
        <v>0</v>
      </c>
      <c r="F15" s="10" t="n">
        <v>2523.6</v>
      </c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4135.49</v>
      </c>
      <c r="E16" s="10" t="n">
        <v>15213.91</v>
      </c>
      <c r="F16" s="10" t="n">
        <v>11467.92</v>
      </c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1287214.174</v>
      </c>
      <c r="E17" s="15" t="n">
        <f aca="false">SUM(E3:E16)</f>
        <v>1415700.65</v>
      </c>
      <c r="F17" s="15" t="n">
        <f aca="false">SUM(F3:F16)</f>
        <v>1252865.63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-1252865.63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42663.04</v>
      </c>
      <c r="E18" s="10" t="n">
        <v>92988.1699999996</v>
      </c>
      <c r="F18" s="10" t="n">
        <v>212354.119999999</v>
      </c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1654.88</v>
      </c>
      <c r="E19" s="10" t="n">
        <v>2032.3</v>
      </c>
      <c r="F19" s="10" t="n">
        <v>1274.4</v>
      </c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1331532.094</v>
      </c>
      <c r="E20" s="20" t="n">
        <f aca="false">E17+E18+E19</f>
        <v>1510721.12</v>
      </c>
      <c r="F20" s="20" t="n">
        <f aca="false">F17+F18+F19</f>
        <v>1466494.15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-1466494.15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391520.95</v>
      </c>
      <c r="E21" s="10" t="n">
        <v>187395.64</v>
      </c>
      <c r="F21" s="10" t="n">
        <v>178026.69</v>
      </c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203.73</v>
      </c>
      <c r="E22" s="10" t="n">
        <v>0</v>
      </c>
      <c r="F22" s="10"/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49158.59</v>
      </c>
      <c r="E23" s="10" t="n">
        <v>18517.61</v>
      </c>
      <c r="F23" s="10" t="n">
        <v>124895.37</v>
      </c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68604.55</v>
      </c>
      <c r="E24" s="10" t="n">
        <v>0</v>
      </c>
      <c r="F24" s="10" t="n">
        <v>67158.97</v>
      </c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15923.68</v>
      </c>
      <c r="E25" s="10" t="n">
        <v>0</v>
      </c>
      <c r="F25" s="10" t="n">
        <v>15774.92</v>
      </c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50777.76</v>
      </c>
      <c r="E26" s="10" t="n">
        <v>0</v>
      </c>
      <c r="F26" s="10"/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249206.12</v>
      </c>
      <c r="E27" s="10" t="n">
        <v>0</v>
      </c>
      <c r="F27" s="10" t="n">
        <v>-1269.06</v>
      </c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0</v>
      </c>
      <c r="E28" s="10" t="n">
        <v>0</v>
      </c>
      <c r="F28" s="10"/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0</v>
      </c>
      <c r="E29" s="10" t="n">
        <v>0</v>
      </c>
      <c r="F29" s="10"/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0</v>
      </c>
      <c r="E30" s="10" t="n">
        <v>0</v>
      </c>
      <c r="F30" s="10" t="n">
        <v>27429.74</v>
      </c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0</v>
      </c>
      <c r="E31" s="10" t="n">
        <v>0</v>
      </c>
      <c r="F31" s="10"/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19897.57</v>
      </c>
      <c r="F32" s="10"/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0</v>
      </c>
      <c r="F33" s="10"/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/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20732.48</v>
      </c>
      <c r="E35" s="10" t="n">
        <v>19111.37</v>
      </c>
      <c r="F35" s="10" t="n">
        <v>18792.66</v>
      </c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0</v>
      </c>
      <c r="F36" s="10"/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/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/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0</v>
      </c>
      <c r="F39" s="10"/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/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846127.86</v>
      </c>
      <c r="E43" s="27" t="n">
        <f aca="false">SUM(E21:E42)</f>
        <v>244922.19</v>
      </c>
      <c r="F43" s="27" t="n">
        <f aca="false">SUM(F21:F42)</f>
        <v>430809.29</v>
      </c>
      <c r="G43" s="27" t="n">
        <f aca="false">SUM(G21:G42)</f>
        <v>0</v>
      </c>
      <c r="H43" s="28" t="n">
        <f aca="false">IF(G43="","-",IFERROR(G43/F43-1,"-"))</f>
        <v>-1</v>
      </c>
      <c r="I43" s="27" t="n">
        <f aca="false">IF(G43="","-",G43-F43)</f>
        <v>-430809.29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2177659.954</v>
      </c>
      <c r="E44" s="32" t="n">
        <f aca="false">E43+E20</f>
        <v>1755643.31</v>
      </c>
      <c r="F44" s="32" t="n">
        <f aca="false">F43+F20</f>
        <v>1897303.44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-1897303.44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92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347582.74</v>
      </c>
      <c r="E3" s="10" t="n">
        <v>233209.9</v>
      </c>
      <c r="F3" s="10" t="n">
        <v>364352.2</v>
      </c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422279.312</v>
      </c>
      <c r="E4" s="10" t="n">
        <v>406825.346200003</v>
      </c>
      <c r="F4" s="10" t="n">
        <v>469684.033</v>
      </c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82457.193</v>
      </c>
      <c r="E5" s="10" t="n">
        <v>65962.26</v>
      </c>
      <c r="F5" s="10" t="n">
        <v>68397.329</v>
      </c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163451.946</v>
      </c>
      <c r="E6" s="10" t="n">
        <v>133409.823800003</v>
      </c>
      <c r="F6" s="10" t="n">
        <v>140722.24</v>
      </c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385135</v>
      </c>
      <c r="E7" s="10" t="n">
        <v>371734.5</v>
      </c>
      <c r="F7" s="10" t="n">
        <v>299047.35</v>
      </c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91523.03</v>
      </c>
      <c r="E8" s="10" t="n">
        <v>82146.14</v>
      </c>
      <c r="F8" s="10" t="n">
        <v>59215.28</v>
      </c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85829.2</v>
      </c>
      <c r="E10" s="10" t="n">
        <v>46378.11</v>
      </c>
      <c r="F10" s="10" t="n">
        <v>81282.23</v>
      </c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11131.68</v>
      </c>
      <c r="E11" s="10" t="n">
        <v>17589.94</v>
      </c>
      <c r="F11" s="10" t="n">
        <v>11368.09</v>
      </c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0</v>
      </c>
      <c r="E12" s="10" t="n">
        <v>4045.81</v>
      </c>
      <c r="F12" s="10" t="n">
        <v>3319.04</v>
      </c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0</v>
      </c>
      <c r="E13" s="10" t="n">
        <v>569.45</v>
      </c>
      <c r="F13" s="10"/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0</v>
      </c>
      <c r="F14" s="10"/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0</v>
      </c>
      <c r="E15" s="10" t="n">
        <v>11067.51</v>
      </c>
      <c r="F15" s="10" t="n">
        <v>947.38</v>
      </c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8592.99</v>
      </c>
      <c r="E16" s="10" t="n">
        <v>12501.56</v>
      </c>
      <c r="F16" s="10" t="n">
        <v>15269.72</v>
      </c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1597983.091</v>
      </c>
      <c r="E17" s="15" t="n">
        <f aca="false">SUM(E3:E16)</f>
        <v>1385440.35000001</v>
      </c>
      <c r="F17" s="15" t="n">
        <f aca="false">SUM(F3:F16)</f>
        <v>1513604.892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-1513604.892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40630.42</v>
      </c>
      <c r="E18" s="10" t="n">
        <v>97231.1799999998</v>
      </c>
      <c r="F18" s="10" t="n">
        <v>236431.199999999</v>
      </c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2455.66</v>
      </c>
      <c r="E19" s="10" t="n">
        <v>3188.82</v>
      </c>
      <c r="F19" s="10" t="n">
        <v>1747</v>
      </c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1641069.171</v>
      </c>
      <c r="E20" s="20" t="n">
        <f aca="false">E17+E18+E19</f>
        <v>1485860.35000001</v>
      </c>
      <c r="F20" s="20" t="n">
        <f aca="false">F17+F18+F19</f>
        <v>1751783.092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-1751783.092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377981.61</v>
      </c>
      <c r="E21" s="10" t="n">
        <v>188313.47</v>
      </c>
      <c r="F21" s="10" t="n">
        <v>194189.2</v>
      </c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255841.44</v>
      </c>
      <c r="E22" s="10" t="n">
        <v>213082.56</v>
      </c>
      <c r="F22" s="10" t="n">
        <v>137198.2</v>
      </c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73976.74</v>
      </c>
      <c r="E23" s="10" t="n">
        <v>35605.91</v>
      </c>
      <c r="F23" s="10" t="n">
        <v>17835.42</v>
      </c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0</v>
      </c>
      <c r="E24" s="10" t="n">
        <v>85563.25</v>
      </c>
      <c r="F24" s="10"/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0</v>
      </c>
      <c r="E25" s="10" t="n">
        <v>16335.18</v>
      </c>
      <c r="F25" s="10"/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0</v>
      </c>
      <c r="E26" s="10" t="n">
        <v>0</v>
      </c>
      <c r="F26" s="10"/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0</v>
      </c>
      <c r="F27" s="10"/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23907.35</v>
      </c>
      <c r="E28" s="10" t="n">
        <v>0</v>
      </c>
      <c r="F28" s="10" t="n">
        <v>42152.31</v>
      </c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0</v>
      </c>
      <c r="E29" s="10" t="n">
        <v>0</v>
      </c>
      <c r="F29" s="10"/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49906.61</v>
      </c>
      <c r="E30" s="10" t="n">
        <v>49474.45</v>
      </c>
      <c r="F30" s="10" t="n">
        <v>24695.01</v>
      </c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0</v>
      </c>
      <c r="E31" s="10" t="n">
        <v>0</v>
      </c>
      <c r="F31" s="10"/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0</v>
      </c>
      <c r="F32" s="10"/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0</v>
      </c>
      <c r="F33" s="10"/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/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19941.82</v>
      </c>
      <c r="E35" s="10" t="n">
        <v>1584.32</v>
      </c>
      <c r="F35" s="10"/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34034.18</v>
      </c>
      <c r="E36" s="10" t="n">
        <v>0</v>
      </c>
      <c r="F36" s="10"/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/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/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0</v>
      </c>
      <c r="F39" s="10"/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/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835589.75</v>
      </c>
      <c r="E43" s="27" t="n">
        <f aca="false">SUM(E21:E42)</f>
        <v>589959.14</v>
      </c>
      <c r="F43" s="27" t="n">
        <f aca="false">SUM(F21:F42)</f>
        <v>416070.14</v>
      </c>
      <c r="G43" s="27" t="n">
        <f aca="false">SUM(G21:G42)</f>
        <v>0</v>
      </c>
      <c r="H43" s="28" t="n">
        <f aca="false">IF(G43="","-",IFERROR(G43/F43-1,"-"))</f>
        <v>-1</v>
      </c>
      <c r="I43" s="27" t="n">
        <f aca="false">IF(G43="","-",G43-F43)</f>
        <v>-416070.14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2476658.921</v>
      </c>
      <c r="E44" s="32" t="n">
        <f aca="false">E43+E20</f>
        <v>2075819.49000001</v>
      </c>
      <c r="F44" s="32" t="n">
        <f aca="false">F43+F20</f>
        <v>2167853.232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-2167853.232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93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0</v>
      </c>
      <c r="E3" s="10" t="n">
        <v>66608.1</v>
      </c>
      <c r="F3" s="10" t="n">
        <v>123280.14</v>
      </c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442108.94</v>
      </c>
      <c r="E4" s="10" t="n">
        <v>437918.572000002</v>
      </c>
      <c r="F4" s="10" t="n">
        <v>418342.47</v>
      </c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98496.489</v>
      </c>
      <c r="E5" s="10" t="n">
        <v>58257.29</v>
      </c>
      <c r="F5" s="10" t="n">
        <v>59847.151</v>
      </c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155174.617</v>
      </c>
      <c r="E6" s="10" t="n">
        <v>153012.03</v>
      </c>
      <c r="F6" s="10" t="n">
        <v>122676.557</v>
      </c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389673.5</v>
      </c>
      <c r="E7" s="10" t="n">
        <v>376182</v>
      </c>
      <c r="F7" s="10" t="n">
        <v>244180.55</v>
      </c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77394.37</v>
      </c>
      <c r="E8" s="10" t="n">
        <v>74502.3</v>
      </c>
      <c r="F8" s="10" t="n">
        <v>55389.04</v>
      </c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87247.96</v>
      </c>
      <c r="E10" s="10" t="n">
        <v>65531.82</v>
      </c>
      <c r="F10" s="10" t="n">
        <v>48951.14</v>
      </c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21528.06</v>
      </c>
      <c r="E11" s="10" t="n">
        <v>21300.79</v>
      </c>
      <c r="F11" s="10" t="n">
        <v>6765.24</v>
      </c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3573.08</v>
      </c>
      <c r="E12" s="10" t="n">
        <v>11352.51</v>
      </c>
      <c r="F12" s="10" t="n">
        <v>3196.2</v>
      </c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0</v>
      </c>
      <c r="E13" s="10" t="n">
        <v>0</v>
      </c>
      <c r="F13" s="10" t="n">
        <v>1106.56</v>
      </c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0</v>
      </c>
      <c r="F14" s="10"/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1275.21</v>
      </c>
      <c r="E15" s="10" t="n">
        <v>0</v>
      </c>
      <c r="F15" s="10"/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7451.5</v>
      </c>
      <c r="E16" s="10" t="n">
        <v>2138.43</v>
      </c>
      <c r="F16" s="10" t="n">
        <v>6672.87</v>
      </c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1283923.726</v>
      </c>
      <c r="E17" s="15" t="n">
        <f aca="false">SUM(E3:E16)</f>
        <v>1266803.842</v>
      </c>
      <c r="F17" s="15" t="n">
        <f aca="false">SUM(F3:F16)</f>
        <v>1090407.918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-1090407.918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45122.89</v>
      </c>
      <c r="E18" s="10" t="n">
        <v>98819.24</v>
      </c>
      <c r="F18" s="10" t="n">
        <v>409497.070000013</v>
      </c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2233.52</v>
      </c>
      <c r="E19" s="10" t="n">
        <v>3577.56</v>
      </c>
      <c r="F19" s="10" t="n">
        <v>2065.63</v>
      </c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1331280.136</v>
      </c>
      <c r="E20" s="20" t="n">
        <f aca="false">E17+E18+E19</f>
        <v>1369200.642</v>
      </c>
      <c r="F20" s="20" t="n">
        <f aca="false">F17+F18+F19</f>
        <v>1501970.61800001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-1501970.61800001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334336.04</v>
      </c>
      <c r="E21" s="10" t="n">
        <v>239973.2</v>
      </c>
      <c r="F21" s="10" t="n">
        <v>213959.66</v>
      </c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0</v>
      </c>
      <c r="E22" s="10" t="n">
        <v>0</v>
      </c>
      <c r="F22" s="10"/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11470.17</v>
      </c>
      <c r="E23" s="10" t="n">
        <v>26449.51</v>
      </c>
      <c r="F23" s="10" t="n">
        <v>6418.64</v>
      </c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84607.51</v>
      </c>
      <c r="E24" s="10" t="n">
        <v>0</v>
      </c>
      <c r="F24" s="10"/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16377.13</v>
      </c>
      <c r="E25" s="10" t="n">
        <v>13664.6</v>
      </c>
      <c r="F25" s="10" t="n">
        <v>29021.19</v>
      </c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0</v>
      </c>
      <c r="E26" s="10" t="n">
        <v>42132.93</v>
      </c>
      <c r="F26" s="10"/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0</v>
      </c>
      <c r="F27" s="10"/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38588.13</v>
      </c>
      <c r="E28" s="10" t="n">
        <v>0</v>
      </c>
      <c r="F28" s="10"/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171813.81</v>
      </c>
      <c r="E29" s="10" t="n">
        <v>0.22</v>
      </c>
      <c r="F29" s="10"/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25514.68</v>
      </c>
      <c r="E30" s="10" t="n">
        <v>43871.72</v>
      </c>
      <c r="F30" s="10"/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0</v>
      </c>
      <c r="E31" s="10" t="n">
        <v>32010.18</v>
      </c>
      <c r="F31" s="10"/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0</v>
      </c>
      <c r="F32" s="10"/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16024.5</v>
      </c>
      <c r="F33" s="10"/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/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-20732.48</v>
      </c>
      <c r="E35" s="10" t="n">
        <v>0</v>
      </c>
      <c r="F35" s="10"/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0</v>
      </c>
      <c r="F36" s="10"/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/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/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0</v>
      </c>
      <c r="F39" s="10"/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/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661974.99</v>
      </c>
      <c r="E43" s="27" t="n">
        <f aca="false">SUM(E21:E42)</f>
        <v>414126.86</v>
      </c>
      <c r="F43" s="27" t="n">
        <f aca="false">SUM(F21:F42)</f>
        <v>249399.49</v>
      </c>
      <c r="G43" s="27" t="n">
        <f aca="false">SUM(G21:G42)</f>
        <v>0</v>
      </c>
      <c r="H43" s="28" t="n">
        <f aca="false">IF(G43="","-",IFERROR(G43/F43-1,"-"))</f>
        <v>-1</v>
      </c>
      <c r="I43" s="27" t="n">
        <f aca="false">IF(G43="","-",G43-F43)</f>
        <v>-249399.49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1993255.126</v>
      </c>
      <c r="E44" s="32" t="n">
        <f aca="false">E43+E20</f>
        <v>1783327.502</v>
      </c>
      <c r="F44" s="32" t="n">
        <f aca="false">F43+F20</f>
        <v>1751370.10800001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-1751370.10800001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94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263037.5</v>
      </c>
      <c r="E3" s="10" t="n">
        <v>336937.6</v>
      </c>
      <c r="F3" s="10" t="n">
        <v>124575.26</v>
      </c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473814.796</v>
      </c>
      <c r="E4" s="10" t="n">
        <v>549545.830000007</v>
      </c>
      <c r="F4" s="10" t="n">
        <v>429718.198</v>
      </c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100846.291</v>
      </c>
      <c r="E5" s="10" t="n">
        <v>75168</v>
      </c>
      <c r="F5" s="10" t="n">
        <v>83501.964</v>
      </c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132554.789</v>
      </c>
      <c r="E6" s="10" t="n">
        <v>173213.55</v>
      </c>
      <c r="F6" s="10" t="n">
        <v>125615.726</v>
      </c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244648</v>
      </c>
      <c r="E7" s="10" t="n">
        <v>263457</v>
      </c>
      <c r="F7" s="10" t="n">
        <v>220778.2</v>
      </c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59971.53</v>
      </c>
      <c r="E8" s="10" t="n">
        <v>62433.13</v>
      </c>
      <c r="F8" s="10" t="n">
        <v>50971.08</v>
      </c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69580.43</v>
      </c>
      <c r="E10" s="10" t="n">
        <v>74555.12</v>
      </c>
      <c r="F10" s="10" t="n">
        <v>88526.04</v>
      </c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14571.76</v>
      </c>
      <c r="E11" s="10" t="n">
        <v>15201.7</v>
      </c>
      <c r="F11" s="10" t="n">
        <v>11923.54</v>
      </c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11309.68</v>
      </c>
      <c r="E12" s="10" t="n">
        <v>4054.42</v>
      </c>
      <c r="F12" s="10" t="n">
        <v>4956.22</v>
      </c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850.4</v>
      </c>
      <c r="E13" s="10" t="n">
        <v>0</v>
      </c>
      <c r="F13" s="10"/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0</v>
      </c>
      <c r="F14" s="10"/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0</v>
      </c>
      <c r="E15" s="10" t="n">
        <v>0</v>
      </c>
      <c r="F15" s="10" t="n">
        <v>847.74</v>
      </c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3314.43</v>
      </c>
      <c r="E16" s="10" t="n">
        <v>5898.37</v>
      </c>
      <c r="F16" s="10" t="n">
        <v>33906.96</v>
      </c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1374499.606</v>
      </c>
      <c r="E17" s="15" t="n">
        <f aca="false">SUM(E3:E16)</f>
        <v>1560464.72000001</v>
      </c>
      <c r="F17" s="15" t="n">
        <f aca="false">SUM(F3:F16)</f>
        <v>1175320.928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-1175320.928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43476.43</v>
      </c>
      <c r="E18" s="10" t="n">
        <v>96447.3100000002</v>
      </c>
      <c r="F18" s="10" t="n">
        <v>544858.410000022</v>
      </c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2046.43</v>
      </c>
      <c r="E19" s="10" t="n">
        <v>2606.4</v>
      </c>
      <c r="F19" s="10" t="n">
        <v>1302.94</v>
      </c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1420022.466</v>
      </c>
      <c r="E20" s="20" t="n">
        <f aca="false">E17+E18+E19</f>
        <v>1659518.43000001</v>
      </c>
      <c r="F20" s="20" t="n">
        <f aca="false">F17+F18+F19</f>
        <v>1721482.27800002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-1721482.27800002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264520.55</v>
      </c>
      <c r="E21" s="10" t="n">
        <v>238431.78</v>
      </c>
      <c r="F21" s="10" t="n">
        <v>214988.69</v>
      </c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184350.47</v>
      </c>
      <c r="E22" s="10" t="n">
        <v>217182.24</v>
      </c>
      <c r="F22" s="10"/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0</v>
      </c>
      <c r="E23" s="10" t="n">
        <v>0</v>
      </c>
      <c r="F23" s="10" t="n">
        <v>123835.02</v>
      </c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0</v>
      </c>
      <c r="E24" s="10" t="n">
        <v>88706.82</v>
      </c>
      <c r="F24" s="10" t="n">
        <v>92404.96</v>
      </c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17556.44</v>
      </c>
      <c r="E25" s="10" t="n">
        <v>11888.32</v>
      </c>
      <c r="F25" s="10"/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0</v>
      </c>
      <c r="E26" s="10" t="n">
        <v>0</v>
      </c>
      <c r="F26" s="10"/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0</v>
      </c>
      <c r="F27" s="10" t="n">
        <v>165356.86</v>
      </c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0</v>
      </c>
      <c r="E28" s="10" t="n">
        <v>35240.62</v>
      </c>
      <c r="F28" s="10"/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0</v>
      </c>
      <c r="E29" s="10" t="n">
        <v>0</v>
      </c>
      <c r="F29" s="10"/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27828.48</v>
      </c>
      <c r="E30" s="10" t="n">
        <v>38170.88</v>
      </c>
      <c r="F30" s="10" t="n">
        <v>60931.15</v>
      </c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49617.59</v>
      </c>
      <c r="E31" s="10" t="n">
        <v>0</v>
      </c>
      <c r="F31" s="10"/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20354.79</v>
      </c>
      <c r="E32" s="10" t="n">
        <v>0</v>
      </c>
      <c r="F32" s="10" t="n">
        <v>17809.5</v>
      </c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0</v>
      </c>
      <c r="F33" s="10"/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/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0</v>
      </c>
      <c r="E35" s="10" t="n">
        <v>0</v>
      </c>
      <c r="F35" s="10"/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0</v>
      </c>
      <c r="F36" s="10"/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41531.96</v>
      </c>
      <c r="E37" s="10" t="n">
        <v>0</v>
      </c>
      <c r="F37" s="10"/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/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0</v>
      </c>
      <c r="F39" s="10"/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/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605760.28</v>
      </c>
      <c r="E43" s="27" t="n">
        <f aca="false">SUM(E21:E42)</f>
        <v>629620.66</v>
      </c>
      <c r="F43" s="27" t="n">
        <f aca="false">SUM(F21:F42)</f>
        <v>675326.18</v>
      </c>
      <c r="G43" s="27" t="n">
        <f aca="false">SUM(G21:G42)</f>
        <v>0</v>
      </c>
      <c r="H43" s="28" t="n">
        <f aca="false">IF(G43="","-",IFERROR(G43/F43-1,"-"))</f>
        <v>-1</v>
      </c>
      <c r="I43" s="27" t="n">
        <f aca="false">IF(G43="","-",G43-F43)</f>
        <v>-675326.18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2025782.746</v>
      </c>
      <c r="E44" s="32" t="n">
        <f aca="false">E43+E20</f>
        <v>2289139.09000001</v>
      </c>
      <c r="F44" s="32" t="n">
        <f aca="false">F43+F20</f>
        <v>2396808.45800002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-2396808.45800002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95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155618.13</v>
      </c>
      <c r="E3" s="10" t="n">
        <v>131634</v>
      </c>
      <c r="F3" s="10"/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560199.913</v>
      </c>
      <c r="E4" s="10" t="n">
        <v>729180.694700011</v>
      </c>
      <c r="F4" s="10" t="n">
        <v>498482.53</v>
      </c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104005.538</v>
      </c>
      <c r="E5" s="10" t="n">
        <v>80577.77</v>
      </c>
      <c r="F5" s="10" t="n">
        <v>81328.338</v>
      </c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211638.805</v>
      </c>
      <c r="E6" s="10" t="n">
        <v>186515.155300001</v>
      </c>
      <c r="F6" s="10" t="n">
        <v>148972.084</v>
      </c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327442</v>
      </c>
      <c r="E7" s="10" t="n">
        <v>307503</v>
      </c>
      <c r="F7" s="10" t="n">
        <v>318846.8</v>
      </c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65998.04</v>
      </c>
      <c r="E8" s="10" t="n">
        <v>88130.8</v>
      </c>
      <c r="F8" s="10" t="n">
        <v>47091.772</v>
      </c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99310.41</v>
      </c>
      <c r="E10" s="10" t="n">
        <v>94846.85</v>
      </c>
      <c r="F10" s="10" t="n">
        <v>102176.91</v>
      </c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16034.44</v>
      </c>
      <c r="E11" s="10" t="n">
        <v>15870.65</v>
      </c>
      <c r="F11" s="10" t="n">
        <v>6343.11</v>
      </c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1188.66</v>
      </c>
      <c r="E12" s="10" t="n">
        <v>5871.12</v>
      </c>
      <c r="F12" s="10" t="n">
        <v>7664.69</v>
      </c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0</v>
      </c>
      <c r="E13" s="10" t="n">
        <v>0</v>
      </c>
      <c r="F13" s="10"/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1597.46</v>
      </c>
      <c r="E14" s="10" t="n">
        <v>0</v>
      </c>
      <c r="F14" s="10" t="n">
        <v>1896.82</v>
      </c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0</v>
      </c>
      <c r="E15" s="10" t="n">
        <v>0</v>
      </c>
      <c r="F15" s="10" t="n">
        <v>3430</v>
      </c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3187.34</v>
      </c>
      <c r="E16" s="10" t="n">
        <v>707.660000000001</v>
      </c>
      <c r="F16" s="10" t="n">
        <v>6150.22</v>
      </c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1546220.736</v>
      </c>
      <c r="E17" s="15" t="n">
        <f aca="false">SUM(E3:E16)</f>
        <v>1640837.70000001</v>
      </c>
      <c r="F17" s="15" t="n">
        <f aca="false">SUM(F3:F16)</f>
        <v>1222383.274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-1222383.274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49304.7</v>
      </c>
      <c r="E18" s="10" t="n">
        <v>99302.9500000002</v>
      </c>
      <c r="F18" s="10" t="n">
        <v>404699.340000001</v>
      </c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2364.29</v>
      </c>
      <c r="E19" s="10" t="n">
        <v>1491.14</v>
      </c>
      <c r="F19" s="10" t="n">
        <v>2347.76</v>
      </c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1597889.726</v>
      </c>
      <c r="E20" s="20" t="n">
        <f aca="false">E17+E18+E19</f>
        <v>1741631.79000001</v>
      </c>
      <c r="F20" s="20" t="n">
        <f aca="false">F17+F18+F19</f>
        <v>1629430.374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-1629430.374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318316.8</v>
      </c>
      <c r="E21" s="10" t="n">
        <v>252540.02</v>
      </c>
      <c r="F21" s="10" t="n">
        <v>224163.96</v>
      </c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0</v>
      </c>
      <c r="E22" s="10" t="n">
        <v>0</v>
      </c>
      <c r="F22" s="10" t="n">
        <v>204882.82</v>
      </c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169505.88</v>
      </c>
      <c r="E23" s="10" t="n">
        <v>1513.3</v>
      </c>
      <c r="F23" s="10" t="n">
        <v>5036.8</v>
      </c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0</v>
      </c>
      <c r="E24" s="10" t="n">
        <v>0</v>
      </c>
      <c r="F24" s="10"/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0</v>
      </c>
      <c r="E25" s="10" t="n">
        <v>0</v>
      </c>
      <c r="F25" s="10" t="n">
        <v>16087.48</v>
      </c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0</v>
      </c>
      <c r="E26" s="10" t="n">
        <v>10766.89</v>
      </c>
      <c r="F26" s="10"/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172805.6</v>
      </c>
      <c r="F27" s="10" t="n">
        <v>-19940.33</v>
      </c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-0.48</v>
      </c>
      <c r="E28" s="10" t="n">
        <v>0</v>
      </c>
      <c r="F28" s="10" t="n">
        <v>18541.7</v>
      </c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0</v>
      </c>
      <c r="E29" s="10" t="n">
        <v>0</v>
      </c>
      <c r="F29" s="10"/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31259.76</v>
      </c>
      <c r="E30" s="10" t="n">
        <v>56732.32</v>
      </c>
      <c r="F30" s="10" t="n">
        <v>33066.23</v>
      </c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0</v>
      </c>
      <c r="E31" s="10" t="n">
        <v>0</v>
      </c>
      <c r="F31" s="10" t="n">
        <v>43116.44</v>
      </c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18835.73</v>
      </c>
      <c r="F32" s="10"/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0</v>
      </c>
      <c r="F33" s="10"/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/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0</v>
      </c>
      <c r="E35" s="10" t="n">
        <v>19017.88</v>
      </c>
      <c r="F35" s="10"/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30531.53</v>
      </c>
      <c r="F36" s="10"/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/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/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248.59</v>
      </c>
      <c r="F39" s="10"/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/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519081.96</v>
      </c>
      <c r="E43" s="27" t="n">
        <f aca="false">SUM(E21:E42)</f>
        <v>562991.86</v>
      </c>
      <c r="F43" s="27" t="n">
        <f aca="false">SUM(F21:F42)</f>
        <v>524955.1</v>
      </c>
      <c r="G43" s="27" t="n">
        <f aca="false">SUM(G21:G42)</f>
        <v>0</v>
      </c>
      <c r="H43" s="28" t="n">
        <f aca="false">IF(G43="","-",IFERROR(G43/F43-1,"-"))</f>
        <v>-1</v>
      </c>
      <c r="I43" s="27" t="n">
        <f aca="false">IF(G43="","-",G43-F43)</f>
        <v>-524955.1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2116971.686</v>
      </c>
      <c r="E44" s="32" t="n">
        <f aca="false">E43+E20</f>
        <v>2304623.65000001</v>
      </c>
      <c r="F44" s="32" t="n">
        <f aca="false">F43+F20</f>
        <v>2154385.474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-2154385.474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96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144633.67</v>
      </c>
      <c r="E3" s="10" t="n">
        <v>0</v>
      </c>
      <c r="F3" s="10" t="n">
        <v>65131.7</v>
      </c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429114.049</v>
      </c>
      <c r="E4" s="10" t="n">
        <v>452295.980000005</v>
      </c>
      <c r="F4" s="10" t="n">
        <v>534754.402</v>
      </c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94683.953</v>
      </c>
      <c r="E5" s="10" t="n">
        <v>87191.65</v>
      </c>
      <c r="F5" s="10" t="n">
        <v>76564.033</v>
      </c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174598.676</v>
      </c>
      <c r="E6" s="10" t="n">
        <v>160476.44</v>
      </c>
      <c r="F6" s="10" t="n">
        <v>188367.581</v>
      </c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315729.5</v>
      </c>
      <c r="E7" s="10" t="n">
        <v>363201.5</v>
      </c>
      <c r="F7" s="10" t="n">
        <v>339371.75</v>
      </c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43688.56</v>
      </c>
      <c r="E8" s="10" t="n">
        <v>62616.16</v>
      </c>
      <c r="F8" s="10" t="n">
        <v>70005.299</v>
      </c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77555.62</v>
      </c>
      <c r="E10" s="10" t="n">
        <v>63999.64</v>
      </c>
      <c r="F10" s="10" t="n">
        <v>67723.22</v>
      </c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13321.91</v>
      </c>
      <c r="E11" s="10" t="n">
        <v>9192.17</v>
      </c>
      <c r="F11" s="10" t="n">
        <v>6761.44</v>
      </c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11738.24</v>
      </c>
      <c r="E12" s="10" t="n">
        <v>4288.26</v>
      </c>
      <c r="F12" s="10" t="n">
        <v>8984.58</v>
      </c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0</v>
      </c>
      <c r="E13" s="10" t="n">
        <v>1244.84</v>
      </c>
      <c r="F13" s="10" t="n">
        <v>1658.99</v>
      </c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0</v>
      </c>
      <c r="F14" s="10"/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4579.64</v>
      </c>
      <c r="E15" s="10" t="n">
        <v>0</v>
      </c>
      <c r="F15" s="10"/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5235.63</v>
      </c>
      <c r="E16" s="10" t="n">
        <v>17697.58</v>
      </c>
      <c r="F16" s="10" t="n">
        <v>15643.41</v>
      </c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1314879.448</v>
      </c>
      <c r="E17" s="15" t="n">
        <f aca="false">SUM(E3:E16)</f>
        <v>1222204.22000001</v>
      </c>
      <c r="F17" s="15" t="n">
        <f aca="false">SUM(F3:F16)</f>
        <v>1374966.405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-1374966.405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52569.54</v>
      </c>
      <c r="E18" s="10" t="n">
        <v>128892.76</v>
      </c>
      <c r="F18" s="10" t="n">
        <v>423398.059999998</v>
      </c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5374.81</v>
      </c>
      <c r="E19" s="10" t="n">
        <v>4432.93</v>
      </c>
      <c r="F19" s="10" t="n">
        <v>1069.29</v>
      </c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1372823.798</v>
      </c>
      <c r="E20" s="20" t="n">
        <f aca="false">E17+E18+E19</f>
        <v>1355529.91000001</v>
      </c>
      <c r="F20" s="20" t="n">
        <f aca="false">F17+F18+F19</f>
        <v>1799433.755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-1799433.755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371311.12</v>
      </c>
      <c r="E21" s="10" t="n">
        <v>68328.76</v>
      </c>
      <c r="F21" s="10" t="n">
        <v>229029.21</v>
      </c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0</v>
      </c>
      <c r="E22" s="10" t="n">
        <v>0</v>
      </c>
      <c r="F22" s="10"/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14810.7</v>
      </c>
      <c r="E23" s="10" t="n">
        <v>0</v>
      </c>
      <c r="F23" s="10" t="n">
        <v>55255.27</v>
      </c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83128.56</v>
      </c>
      <c r="E24" s="10" t="n">
        <v>0</v>
      </c>
      <c r="F24" s="10" t="n">
        <v>147489.2</v>
      </c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14559.92</v>
      </c>
      <c r="E25" s="10" t="n">
        <v>0</v>
      </c>
      <c r="F25" s="10" t="n">
        <v>15795</v>
      </c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65362.29</v>
      </c>
      <c r="E26" s="10" t="n">
        <v>0</v>
      </c>
      <c r="F26" s="10"/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0.33</v>
      </c>
      <c r="F27" s="10"/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37671.79</v>
      </c>
      <c r="E28" s="10" t="n">
        <v>0</v>
      </c>
      <c r="F28" s="10"/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0</v>
      </c>
      <c r="E29" s="10" t="n">
        <v>0</v>
      </c>
      <c r="F29" s="10"/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37331.12</v>
      </c>
      <c r="E30" s="10" t="n">
        <v>53.7</v>
      </c>
      <c r="F30" s="10" t="n">
        <v>57084.96</v>
      </c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0</v>
      </c>
      <c r="E31" s="10" t="n">
        <v>0</v>
      </c>
      <c r="F31" s="10"/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0</v>
      </c>
      <c r="F32" s="10"/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0</v>
      </c>
      <c r="F33" s="10"/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/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0</v>
      </c>
      <c r="E35" s="10" t="n">
        <v>0</v>
      </c>
      <c r="F35" s="10"/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0</v>
      </c>
      <c r="F36" s="10"/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/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22310.96</v>
      </c>
      <c r="E38" s="10" t="n">
        <v>0</v>
      </c>
      <c r="F38" s="10"/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0</v>
      </c>
      <c r="F39" s="10"/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/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646486.46</v>
      </c>
      <c r="E43" s="27" t="n">
        <f aca="false">SUM(E21:E42)</f>
        <v>68382.79</v>
      </c>
      <c r="F43" s="27" t="n">
        <f aca="false">SUM(F21:F42)</f>
        <v>504653.64</v>
      </c>
      <c r="G43" s="27" t="n">
        <f aca="false">SUM(G21:G42)</f>
        <v>0</v>
      </c>
      <c r="H43" s="28" t="n">
        <f aca="false">IF(G43="","-",IFERROR(G43/F43-1,"-"))</f>
        <v>-1</v>
      </c>
      <c r="I43" s="27" t="n">
        <f aca="false">IF(G43="","-",G43-F43)</f>
        <v>-504653.64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2019310.258</v>
      </c>
      <c r="E44" s="32" t="n">
        <f aca="false">E43+E20</f>
        <v>1423912.70000001</v>
      </c>
      <c r="F44" s="32" t="n">
        <f aca="false">F43+F20</f>
        <v>2304087.395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-2304087.395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97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214594.9</v>
      </c>
      <c r="E3" s="10" t="n">
        <v>83088</v>
      </c>
      <c r="F3" s="10" t="n">
        <v>73969</v>
      </c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502006.141</v>
      </c>
      <c r="E4" s="10" t="n">
        <v>486312.520000005</v>
      </c>
      <c r="F4" s="10" t="n">
        <v>453851.216</v>
      </c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95719.442</v>
      </c>
      <c r="E5" s="10" t="n">
        <v>59921.68</v>
      </c>
      <c r="F5" s="10" t="n">
        <v>72470.216</v>
      </c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157377.696</v>
      </c>
      <c r="E6" s="10" t="n">
        <v>221525.16</v>
      </c>
      <c r="F6" s="10" t="n">
        <v>152144.318</v>
      </c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326042</v>
      </c>
      <c r="E7" s="10" t="n">
        <v>329541.7</v>
      </c>
      <c r="F7" s="10" t="n">
        <v>392888.3</v>
      </c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79041.44</v>
      </c>
      <c r="E8" s="10" t="n">
        <v>95914.88</v>
      </c>
      <c r="F8" s="10" t="n">
        <v>49165.266</v>
      </c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76209.32</v>
      </c>
      <c r="E10" s="10" t="n">
        <v>81305.01</v>
      </c>
      <c r="F10" s="10" t="n">
        <v>65635.87</v>
      </c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27532.1</v>
      </c>
      <c r="E11" s="10" t="n">
        <v>10971.32</v>
      </c>
      <c r="F11" s="10" t="n">
        <v>5105.8</v>
      </c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8417.71</v>
      </c>
      <c r="E12" s="10" t="n">
        <v>4990.47</v>
      </c>
      <c r="F12" s="10" t="n">
        <v>3863.17</v>
      </c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679.3</v>
      </c>
      <c r="E13" s="10" t="n">
        <v>0</v>
      </c>
      <c r="F13" s="10" t="n">
        <v>0</v>
      </c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0</v>
      </c>
      <c r="F14" s="10" t="n">
        <v>0</v>
      </c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0</v>
      </c>
      <c r="E15" s="10" t="n">
        <v>651.15</v>
      </c>
      <c r="F15" s="10" t="n">
        <v>478.2</v>
      </c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16671.18</v>
      </c>
      <c r="E16" s="10" t="n">
        <v>7828.72</v>
      </c>
      <c r="F16" s="10" t="n">
        <v>10025.73</v>
      </c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1504291.229</v>
      </c>
      <c r="E17" s="15" t="n">
        <f aca="false">SUM(E3:E16)</f>
        <v>1382050.61000001</v>
      </c>
      <c r="F17" s="15" t="n">
        <f aca="false">SUM(F3:F16)</f>
        <v>1279597.086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-1279597.086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56033.8100000001</v>
      </c>
      <c r="E18" s="10" t="n">
        <v>163496.619999998</v>
      </c>
      <c r="F18" s="10" t="n">
        <v>398018.329999997</v>
      </c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1788.03</v>
      </c>
      <c r="E19" s="10" t="n">
        <v>1318.12</v>
      </c>
      <c r="F19" s="10" t="n">
        <v>1741.74</v>
      </c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1562113.069</v>
      </c>
      <c r="E20" s="20" t="n">
        <f aca="false">E17+E18+E19</f>
        <v>1546865.35</v>
      </c>
      <c r="F20" s="20" t="n">
        <f aca="false">F17+F18+F19</f>
        <v>1679357.156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-1679357.156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316462.25</v>
      </c>
      <c r="E21" s="10" t="n">
        <v>353503.85</v>
      </c>
      <c r="F21" s="10" t="n">
        <v>223994.55</v>
      </c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143527.77</v>
      </c>
      <c r="E22" s="10" t="n">
        <v>187405.66</v>
      </c>
      <c r="F22" s="10" t="n">
        <v>0</v>
      </c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61466.82</v>
      </c>
      <c r="E23" s="10" t="n">
        <v>194396.85</v>
      </c>
      <c r="F23" s="10" t="n">
        <v>0</v>
      </c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90587.54</v>
      </c>
      <c r="E24" s="10" t="n">
        <v>87907.48</v>
      </c>
      <c r="F24" s="10" t="n">
        <v>0</v>
      </c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16222.13</v>
      </c>
      <c r="E25" s="10" t="n">
        <v>30796.16</v>
      </c>
      <c r="F25" s="10" t="n">
        <v>19451.36</v>
      </c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0</v>
      </c>
      <c r="E26" s="10" t="n">
        <v>0</v>
      </c>
      <c r="F26" s="10" t="n">
        <v>0</v>
      </c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0</v>
      </c>
      <c r="F27" s="10" t="n">
        <v>221407.78</v>
      </c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609.99</v>
      </c>
      <c r="E28" s="10" t="n">
        <v>31010.8</v>
      </c>
      <c r="F28" s="10" t="n">
        <v>0</v>
      </c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0</v>
      </c>
      <c r="E29" s="10" t="n">
        <v>0</v>
      </c>
      <c r="F29" s="10" t="n">
        <v>0</v>
      </c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27604.14</v>
      </c>
      <c r="E30" s="10" t="n">
        <v>56344.52</v>
      </c>
      <c r="F30" s="10" t="n">
        <v>41960.14</v>
      </c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0</v>
      </c>
      <c r="E31" s="10" t="n">
        <v>0</v>
      </c>
      <c r="F31" s="10" t="n">
        <v>0</v>
      </c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0</v>
      </c>
      <c r="F32" s="10" t="n">
        <v>0</v>
      </c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15559.58</v>
      </c>
      <c r="F33" s="10" t="n">
        <v>0</v>
      </c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 t="n">
        <v>0</v>
      </c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13897.42</v>
      </c>
      <c r="E35" s="10" t="n">
        <v>0</v>
      </c>
      <c r="F35" s="10" t="n">
        <v>0</v>
      </c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0</v>
      </c>
      <c r="F36" s="10" t="n">
        <v>0</v>
      </c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 t="n">
        <v>0</v>
      </c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 t="n">
        <v>0</v>
      </c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0</v>
      </c>
      <c r="F39" s="10" t="n">
        <v>0</v>
      </c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 t="n">
        <v>0</v>
      </c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670378.06</v>
      </c>
      <c r="E43" s="27" t="n">
        <f aca="false">SUM(E21:E42)</f>
        <v>956924.9</v>
      </c>
      <c r="F43" s="27" t="n">
        <f aca="false">SUM(F21:F42)</f>
        <v>506813.83</v>
      </c>
      <c r="G43" s="27" t="n">
        <f aca="false">SUM(G21:G42)</f>
        <v>0</v>
      </c>
      <c r="H43" s="28" t="n">
        <f aca="false">IF(G43="","-",IFERROR(G43/F43-1,"-"))</f>
        <v>-1</v>
      </c>
      <c r="I43" s="27" t="n">
        <f aca="false">IF(G43="","-",G43-F43)</f>
        <v>-506813.83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2232491.129</v>
      </c>
      <c r="E44" s="32" t="n">
        <f aca="false">E43+E20</f>
        <v>2503790.25</v>
      </c>
      <c r="F44" s="32" t="n">
        <f aca="false">F43+F20</f>
        <v>2186170.986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-2186170.986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98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301190.6</v>
      </c>
      <c r="E3" s="10" t="n">
        <v>243929.1</v>
      </c>
      <c r="F3" s="10" t="n">
        <v>299421.55</v>
      </c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429300.053</v>
      </c>
      <c r="E4" s="10" t="n">
        <v>495074.58</v>
      </c>
      <c r="F4" s="10" t="n">
        <v>588822.689</v>
      </c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96254.067</v>
      </c>
      <c r="E5" s="10" t="n">
        <v>73631.74</v>
      </c>
      <c r="F5" s="10" t="n">
        <v>70518.812</v>
      </c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112372.337</v>
      </c>
      <c r="E6" s="10" t="n">
        <v>179847.32</v>
      </c>
      <c r="F6" s="10" t="n">
        <v>160218.084</v>
      </c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416484</v>
      </c>
      <c r="E7" s="10" t="n">
        <v>273604.4</v>
      </c>
      <c r="F7" s="10" t="n">
        <v>295436</v>
      </c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64245.4</v>
      </c>
      <c r="E8" s="10" t="n">
        <v>81013.09</v>
      </c>
      <c r="F8" s="10" t="n">
        <v>73310.601</v>
      </c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62739.61</v>
      </c>
      <c r="E10" s="10" t="n">
        <v>61998.83</v>
      </c>
      <c r="F10" s="10" t="n">
        <v>76847.55</v>
      </c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18126.58</v>
      </c>
      <c r="E11" s="10" t="n">
        <v>12420.51</v>
      </c>
      <c r="F11" s="10" t="n">
        <v>4321.85</v>
      </c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8063.63</v>
      </c>
      <c r="E12" s="10" t="n">
        <v>1459.42</v>
      </c>
      <c r="F12" s="10" t="n">
        <v>2043.68</v>
      </c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0</v>
      </c>
      <c r="E13" s="10" t="n">
        <v>0</v>
      </c>
      <c r="F13" s="10" t="n">
        <v>728.87</v>
      </c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0</v>
      </c>
      <c r="F14" s="10" t="n">
        <v>0</v>
      </c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0</v>
      </c>
      <c r="E15" s="10" t="n">
        <v>0</v>
      </c>
      <c r="F15" s="10" t="n">
        <v>0</v>
      </c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6797.75</v>
      </c>
      <c r="E16" s="10" t="n">
        <v>5704.97</v>
      </c>
      <c r="F16" s="10" t="n">
        <v>10118.69</v>
      </c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1515574.027</v>
      </c>
      <c r="E17" s="15" t="n">
        <f aca="false">SUM(E3:E16)</f>
        <v>1428683.96</v>
      </c>
      <c r="F17" s="15" t="n">
        <f aca="false">SUM(F3:F16)</f>
        <v>1581788.376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-1581788.376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43626.89</v>
      </c>
      <c r="E18" s="10" t="n">
        <v>136844.33</v>
      </c>
      <c r="F18" s="10" t="n">
        <v>391167.74</v>
      </c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4027.72</v>
      </c>
      <c r="E19" s="10" t="n">
        <v>2497.52</v>
      </c>
      <c r="F19" s="10" t="n">
        <v>1484.7</v>
      </c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1563228.637</v>
      </c>
      <c r="E20" s="20" t="n">
        <f aca="false">E17+E18+E19</f>
        <v>1568025.81</v>
      </c>
      <c r="F20" s="20" t="n">
        <f aca="false">F17+F18+F19</f>
        <v>1974440.816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-1974440.816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273201.5</v>
      </c>
      <c r="E21" s="10" t="n">
        <v>252496.44</v>
      </c>
      <c r="F21" s="10" t="n">
        <v>202592.25</v>
      </c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-2422.68</v>
      </c>
      <c r="E22" s="10" t="n">
        <v>0</v>
      </c>
      <c r="F22" s="10" t="n">
        <v>132101.57</v>
      </c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16110.54</v>
      </c>
      <c r="E23" s="10" t="n">
        <v>64506.58</v>
      </c>
      <c r="F23" s="10" t="n">
        <v>10986.57</v>
      </c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0</v>
      </c>
      <c r="E24" s="10" t="n">
        <v>68497.3</v>
      </c>
      <c r="F24" s="10" t="n">
        <v>0</v>
      </c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19066.6</v>
      </c>
      <c r="E25" s="10" t="n">
        <v>18496.39</v>
      </c>
      <c r="F25" s="10" t="n">
        <v>0</v>
      </c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0</v>
      </c>
      <c r="E26" s="10" t="n">
        <v>0</v>
      </c>
      <c r="F26" s="10" t="n">
        <v>0</v>
      </c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0</v>
      </c>
      <c r="F27" s="10" t="n">
        <v>0</v>
      </c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41467.05</v>
      </c>
      <c r="E28" s="10" t="n">
        <v>0</v>
      </c>
      <c r="F28" s="10" t="n">
        <v>0</v>
      </c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0</v>
      </c>
      <c r="E29" s="10" t="n">
        <v>0</v>
      </c>
      <c r="F29" s="10" t="n">
        <v>0</v>
      </c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21966.81</v>
      </c>
      <c r="E30" s="10" t="n">
        <v>26937.54</v>
      </c>
      <c r="F30" s="10" t="n">
        <v>30237.69</v>
      </c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0</v>
      </c>
      <c r="E31" s="10" t="n">
        <v>0</v>
      </c>
      <c r="F31" s="10" t="n">
        <v>0</v>
      </c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0</v>
      </c>
      <c r="F32" s="10" t="n">
        <v>0</v>
      </c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0</v>
      </c>
      <c r="F33" s="10" t="n">
        <v>10037.15</v>
      </c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 t="n">
        <v>0</v>
      </c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0</v>
      </c>
      <c r="E35" s="10" t="n">
        <v>0</v>
      </c>
      <c r="F35" s="10" t="n">
        <v>18350.05</v>
      </c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25140.85</v>
      </c>
      <c r="E36" s="10" t="n">
        <v>0</v>
      </c>
      <c r="F36" s="10" t="n">
        <v>26105.72</v>
      </c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 t="n">
        <v>0</v>
      </c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 t="n">
        <v>0</v>
      </c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0</v>
      </c>
      <c r="F39" s="10" t="n">
        <v>0</v>
      </c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 t="n">
        <v>0</v>
      </c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394530.67</v>
      </c>
      <c r="E43" s="27" t="n">
        <f aca="false">SUM(E21:E42)</f>
        <v>430934.25</v>
      </c>
      <c r="F43" s="27" t="n">
        <f aca="false">SUM(F21:F42)</f>
        <v>430411</v>
      </c>
      <c r="G43" s="27" t="n">
        <f aca="false">SUM(G21:G42)</f>
        <v>0</v>
      </c>
      <c r="H43" s="28" t="n">
        <f aca="false">IF(G43="","-",IFERROR(G43/F43-1,"-"))</f>
        <v>-1</v>
      </c>
      <c r="I43" s="27" t="n">
        <f aca="false">IF(G43="","-",G43-F43)</f>
        <v>-430411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1957759.307</v>
      </c>
      <c r="E44" s="32" t="n">
        <f aca="false">E43+E20</f>
        <v>1998960.06</v>
      </c>
      <c r="F44" s="32" t="n">
        <f aca="false">F43+F20</f>
        <v>2404851.816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-2404851.816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99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124776.4</v>
      </c>
      <c r="E3" s="10" t="n">
        <v>157587.19</v>
      </c>
      <c r="F3" s="10" t="n">
        <v>193941.5</v>
      </c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514559.045</v>
      </c>
      <c r="E4" s="10" t="n">
        <v>465794.42</v>
      </c>
      <c r="F4" s="10" t="n">
        <v>413784.462</v>
      </c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104489.476</v>
      </c>
      <c r="E5" s="10" t="n">
        <v>64918.49</v>
      </c>
      <c r="F5" s="10" t="n">
        <v>70795.452</v>
      </c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141046.592</v>
      </c>
      <c r="E6" s="10" t="n">
        <v>134403.73</v>
      </c>
      <c r="F6" s="10" t="n">
        <v>178661.465</v>
      </c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309520.8</v>
      </c>
      <c r="E7" s="10" t="n">
        <v>337200.15</v>
      </c>
      <c r="F7" s="10" t="n">
        <v>296928.1</v>
      </c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65554.73</v>
      </c>
      <c r="E8" s="10" t="n">
        <v>89206.99</v>
      </c>
      <c r="F8" s="10" t="n">
        <v>54681.263</v>
      </c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65856.52</v>
      </c>
      <c r="E10" s="10" t="n">
        <v>69988.58</v>
      </c>
      <c r="F10" s="10" t="n">
        <v>60353.17</v>
      </c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10468.76</v>
      </c>
      <c r="E11" s="10" t="n">
        <v>17490.72</v>
      </c>
      <c r="F11" s="10" t="n">
        <v>8755.86</v>
      </c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3066.38</v>
      </c>
      <c r="E12" s="10" t="n">
        <v>4228.87</v>
      </c>
      <c r="F12" s="10" t="n">
        <v>5091.7</v>
      </c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850.4</v>
      </c>
      <c r="E13" s="10" t="n">
        <v>0</v>
      </c>
      <c r="F13" s="10" t="n">
        <v>0</v>
      </c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0</v>
      </c>
      <c r="F14" s="10" t="n">
        <v>0</v>
      </c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0</v>
      </c>
      <c r="E15" s="10" t="n">
        <v>0</v>
      </c>
      <c r="F15" s="10" t="n">
        <v>6726.56</v>
      </c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5902.85</v>
      </c>
      <c r="E16" s="10" t="n">
        <v>9679.47</v>
      </c>
      <c r="F16" s="10" t="n">
        <v>9421.74</v>
      </c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1346091.953</v>
      </c>
      <c r="E17" s="15" t="n">
        <f aca="false">SUM(E3:E16)</f>
        <v>1350498.61</v>
      </c>
      <c r="F17" s="15" t="n">
        <f aca="false">SUM(F3:F16)</f>
        <v>1299141.272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-1299141.272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56193.1900000001</v>
      </c>
      <c r="E18" s="10" t="n">
        <v>143120.649999998</v>
      </c>
      <c r="F18" s="10" t="n">
        <v>347579.04</v>
      </c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3358.59</v>
      </c>
      <c r="E19" s="10" t="n">
        <v>1798.35</v>
      </c>
      <c r="F19" s="10" t="n">
        <v>547.02</v>
      </c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1405643.733</v>
      </c>
      <c r="E20" s="20" t="n">
        <f aca="false">E17+E18+E19</f>
        <v>1495417.61</v>
      </c>
      <c r="F20" s="20" t="n">
        <f aca="false">F17+F18+F19</f>
        <v>1647267.332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-1647267.332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258929.86</v>
      </c>
      <c r="E21" s="10" t="n">
        <v>247434.35</v>
      </c>
      <c r="F21" s="10" t="n">
        <v>198718.53</v>
      </c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159908.54</v>
      </c>
      <c r="E22" s="10" t="n">
        <v>0</v>
      </c>
      <c r="F22" s="10" t="n">
        <v>0</v>
      </c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16422.81</v>
      </c>
      <c r="E23" s="10" t="n">
        <v>10281.02</v>
      </c>
      <c r="F23" s="10" t="n">
        <v>0</v>
      </c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-4343.69</v>
      </c>
      <c r="E24" s="10" t="n">
        <v>0</v>
      </c>
      <c r="F24" s="10" t="n">
        <v>51223.23</v>
      </c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11239.03</v>
      </c>
      <c r="E25" s="10" t="n">
        <v>0</v>
      </c>
      <c r="F25" s="10" t="n">
        <v>15160.58</v>
      </c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0</v>
      </c>
      <c r="E26" s="10" t="n">
        <v>0</v>
      </c>
      <c r="F26" s="10" t="n">
        <v>0</v>
      </c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0</v>
      </c>
      <c r="F27" s="10" t="n">
        <v>0</v>
      </c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0</v>
      </c>
      <c r="E28" s="10" t="n">
        <v>0</v>
      </c>
      <c r="F28" s="10" t="n">
        <v>0</v>
      </c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0</v>
      </c>
      <c r="E29" s="10" t="n">
        <v>0</v>
      </c>
      <c r="F29" s="10" t="n">
        <v>0</v>
      </c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64828.58</v>
      </c>
      <c r="E30" s="10" t="n">
        <v>27485.96</v>
      </c>
      <c r="F30" s="10" t="n">
        <v>25430.19</v>
      </c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54153.1</v>
      </c>
      <c r="E31" s="10" t="n">
        <v>0</v>
      </c>
      <c r="F31" s="10" t="n">
        <v>0</v>
      </c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20673.57</v>
      </c>
      <c r="E32" s="10" t="n">
        <v>0</v>
      </c>
      <c r="F32" s="10" t="n">
        <v>21590.63</v>
      </c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31722.98</v>
      </c>
      <c r="E33" s="10" t="n">
        <v>50202.49</v>
      </c>
      <c r="F33" s="10" t="n">
        <v>0</v>
      </c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 t="n">
        <v>0</v>
      </c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1987.54</v>
      </c>
      <c r="E35" s="10" t="n">
        <v>0</v>
      </c>
      <c r="F35" s="10" t="n">
        <v>0</v>
      </c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0</v>
      </c>
      <c r="F36" s="10" t="n">
        <v>0</v>
      </c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 t="n">
        <v>0</v>
      </c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 t="n">
        <v>0</v>
      </c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-1.37</v>
      </c>
      <c r="E39" s="10" t="n">
        <v>0</v>
      </c>
      <c r="F39" s="10" t="n">
        <v>0</v>
      </c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 t="n">
        <v>0</v>
      </c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615520.95</v>
      </c>
      <c r="E43" s="27" t="n">
        <f aca="false">SUM(E21:E42)</f>
        <v>335403.82</v>
      </c>
      <c r="F43" s="27" t="n">
        <f aca="false">SUM(F21:F42)</f>
        <v>312123.16</v>
      </c>
      <c r="G43" s="27" t="n">
        <f aca="false">SUM(G21:G42)</f>
        <v>0</v>
      </c>
      <c r="H43" s="28" t="n">
        <f aca="false">IF(G43="","-",IFERROR(G43/F43-1,"-"))</f>
        <v>-1</v>
      </c>
      <c r="I43" s="27" t="n">
        <f aca="false">IF(G43="","-",G43-F43)</f>
        <v>-312123.16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2021164.683</v>
      </c>
      <c r="E44" s="32" t="n">
        <f aca="false">E43+E20</f>
        <v>1830821.43</v>
      </c>
      <c r="F44" s="32" t="n">
        <f aca="false">F43+F20</f>
        <v>1959390.492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-1959390.492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100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0</v>
      </c>
      <c r="E3" s="10" t="n">
        <v>33955.2</v>
      </c>
      <c r="F3" s="10" t="n">
        <v>20995.2</v>
      </c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403387.075</v>
      </c>
      <c r="E4" s="10" t="n">
        <v>417469.78</v>
      </c>
      <c r="F4" s="10"/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80742.389</v>
      </c>
      <c r="E5" s="10" t="n">
        <v>61390.42</v>
      </c>
      <c r="F5" s="10"/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128887.331</v>
      </c>
      <c r="E6" s="10" t="n">
        <v>150616.42</v>
      </c>
      <c r="F6" s="10"/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291076</v>
      </c>
      <c r="E7" s="10" t="n">
        <v>184903.8</v>
      </c>
      <c r="F7" s="10"/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50225.36</v>
      </c>
      <c r="E8" s="10" t="n">
        <v>70789.24</v>
      </c>
      <c r="F8" s="10"/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56916.24</v>
      </c>
      <c r="E10" s="10" t="n">
        <v>57765.28</v>
      </c>
      <c r="F10" s="10"/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11253.22</v>
      </c>
      <c r="E11" s="10" t="n">
        <v>9579</v>
      </c>
      <c r="F11" s="10"/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-1766.36</v>
      </c>
      <c r="E12" s="10" t="n">
        <v>3274.69</v>
      </c>
      <c r="F12" s="10"/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0</v>
      </c>
      <c r="E13" s="10" t="n">
        <v>669.74</v>
      </c>
      <c r="F13" s="10"/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514.2</v>
      </c>
      <c r="F14" s="10"/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507.08</v>
      </c>
      <c r="E15" s="10" t="n">
        <v>0</v>
      </c>
      <c r="F15" s="10"/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2059.32</v>
      </c>
      <c r="E16" s="10" t="n">
        <v>4038.81</v>
      </c>
      <c r="F16" s="10"/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1023287.655</v>
      </c>
      <c r="E17" s="15" t="n">
        <f aca="false">SUM(E3:E16)</f>
        <v>994966.58</v>
      </c>
      <c r="F17" s="15" t="n">
        <f aca="false">SUM(F3:F16)</f>
        <v>20995.2</v>
      </c>
      <c r="G17" s="15" t="n">
        <f aca="false">SUM(G3:G16)</f>
        <v>0</v>
      </c>
      <c r="H17" s="16" t="n">
        <f aca="false">IF(G17="","-",IFERROR(G17/F17-1,"-"))</f>
        <v>-1</v>
      </c>
      <c r="I17" s="15" t="n">
        <f aca="false">IF(G17="","-",G17-F17)</f>
        <v>-20995.2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71675.5700000002</v>
      </c>
      <c r="E18" s="10" t="n">
        <v>136200.54</v>
      </c>
      <c r="F18" s="10"/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3795.33</v>
      </c>
      <c r="E19" s="10" t="n">
        <v>1762.26</v>
      </c>
      <c r="F19" s="10"/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1098758.555</v>
      </c>
      <c r="E20" s="20" t="n">
        <f aca="false">E17+E18+E19</f>
        <v>1132929.38</v>
      </c>
      <c r="F20" s="20" t="n">
        <f aca="false">F17+F18+F19</f>
        <v>20995.2</v>
      </c>
      <c r="G20" s="20" t="n">
        <f aca="false">G17+G18+G19</f>
        <v>0</v>
      </c>
      <c r="H20" s="21" t="n">
        <f aca="false">IF(G20="","-",IFERROR(G20/F20-1,"-"))</f>
        <v>-1</v>
      </c>
      <c r="I20" s="20" t="n">
        <f aca="false">IF(G20="","-",G20-F20)</f>
        <v>-20995.2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234970.3</v>
      </c>
      <c r="E21" s="10" t="n">
        <v>223589.21</v>
      </c>
      <c r="F21" s="10"/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0</v>
      </c>
      <c r="E22" s="10" t="n">
        <v>140125.45</v>
      </c>
      <c r="F22" s="10"/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92018.45</v>
      </c>
      <c r="E23" s="10" t="n">
        <v>596.73</v>
      </c>
      <c r="F23" s="10"/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86858.25</v>
      </c>
      <c r="E24" s="10" t="n">
        <v>0</v>
      </c>
      <c r="F24" s="10"/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0</v>
      </c>
      <c r="E25" s="10" t="n">
        <v>15474.02</v>
      </c>
      <c r="F25" s="10"/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0</v>
      </c>
      <c r="E26" s="10" t="n">
        <v>0</v>
      </c>
      <c r="F26" s="10"/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0</v>
      </c>
      <c r="F27" s="10"/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20724.08</v>
      </c>
      <c r="E28" s="10" t="n">
        <v>20604.23</v>
      </c>
      <c r="F28" s="10"/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0</v>
      </c>
      <c r="E29" s="10" t="n">
        <v>0</v>
      </c>
      <c r="F29" s="10"/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0</v>
      </c>
      <c r="E30" s="10" t="n">
        <v>36333.04</v>
      </c>
      <c r="F30" s="10"/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3920.16</v>
      </c>
      <c r="E31" s="10" t="n">
        <v>0</v>
      </c>
      <c r="F31" s="10"/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22174.82</v>
      </c>
      <c r="F32" s="10"/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0</v>
      </c>
      <c r="F33" s="10"/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/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0</v>
      </c>
      <c r="E35" s="10" t="n">
        <v>0</v>
      </c>
      <c r="F35" s="10"/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0</v>
      </c>
      <c r="F36" s="10"/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/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/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0</v>
      </c>
      <c r="F39" s="10"/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/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438491.24</v>
      </c>
      <c r="E43" s="27" t="n">
        <f aca="false">SUM(E21:E42)</f>
        <v>458897.5</v>
      </c>
      <c r="F43" s="27" t="n">
        <f aca="false">SUM(F21:F42)</f>
        <v>0</v>
      </c>
      <c r="G43" s="27" t="n">
        <f aca="false">SUM(G21:G42)</f>
        <v>0</v>
      </c>
      <c r="H43" s="28" t="str">
        <f aca="false">IF(G43="","-",IFERROR(G43/F43-1,"-"))</f>
        <v>-</v>
      </c>
      <c r="I43" s="27" t="n">
        <f aca="false">IF(G43="","-",G43-F43)</f>
        <v>0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1537249.795</v>
      </c>
      <c r="E44" s="32" t="n">
        <f aca="false">E43+E20</f>
        <v>1591826.88</v>
      </c>
      <c r="F44" s="32" t="n">
        <f aca="false">F43+F20</f>
        <v>20995.2</v>
      </c>
      <c r="G44" s="32" t="n">
        <f aca="false">G43+G20</f>
        <v>0</v>
      </c>
      <c r="H44" s="33" t="n">
        <f aca="false">IF(G44="","-",IFERROR(G44/F44-1,"-"))</f>
        <v>-1</v>
      </c>
      <c r="I44" s="32" t="n">
        <f aca="false">IF(G44="","-",G44-F44)</f>
        <v>-20995.2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101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183470.34</v>
      </c>
      <c r="E3" s="10" t="n">
        <v>265660.9</v>
      </c>
      <c r="F3" s="10"/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399305.088</v>
      </c>
      <c r="E4" s="10" t="n">
        <v>507426.01</v>
      </c>
      <c r="F4" s="10"/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78931.671</v>
      </c>
      <c r="E5" s="10" t="n">
        <v>85930.39</v>
      </c>
      <c r="F5" s="10"/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144720.944</v>
      </c>
      <c r="E6" s="10" t="n">
        <v>167763.05</v>
      </c>
      <c r="F6" s="10"/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319604.5</v>
      </c>
      <c r="E7" s="10" t="n">
        <v>308121.37</v>
      </c>
      <c r="F7" s="10"/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57000.57</v>
      </c>
      <c r="E8" s="10" t="n">
        <v>68004.57</v>
      </c>
      <c r="F8" s="10"/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62213.38</v>
      </c>
      <c r="E10" s="10" t="n">
        <v>96453.83</v>
      </c>
      <c r="F10" s="10"/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10956.17</v>
      </c>
      <c r="E11" s="10" t="n">
        <v>28016.53</v>
      </c>
      <c r="F11" s="10"/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30231.73</v>
      </c>
      <c r="E12" s="10" t="n">
        <v>1902.07</v>
      </c>
      <c r="F12" s="10"/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0</v>
      </c>
      <c r="E13" s="10" t="n">
        <v>498.8</v>
      </c>
      <c r="F13" s="10"/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0</v>
      </c>
      <c r="E14" s="10" t="n">
        <v>0</v>
      </c>
      <c r="F14" s="10"/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695.57</v>
      </c>
      <c r="E15" s="10" t="n">
        <v>0</v>
      </c>
      <c r="F15" s="10"/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5017.43</v>
      </c>
      <c r="E16" s="10" t="n">
        <v>12930.62</v>
      </c>
      <c r="F16" s="10"/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1292147.393</v>
      </c>
      <c r="E17" s="15" t="n">
        <f aca="false">SUM(E3:E16)</f>
        <v>1542708.14</v>
      </c>
      <c r="F17" s="15" t="n">
        <f aca="false">SUM(F3:F16)</f>
        <v>0</v>
      </c>
      <c r="G17" s="15" t="n">
        <f aca="false">SUM(G3:G16)</f>
        <v>0</v>
      </c>
      <c r="H17" s="16" t="str">
        <f aca="false">IF(G17="","-",IFERROR(G17/F17-1,"-"))</f>
        <v>-</v>
      </c>
      <c r="I17" s="15" t="n">
        <f aca="false">IF(G17="","-",G17-F17)</f>
        <v>0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87038.7499999997</v>
      </c>
      <c r="E18" s="10" t="n">
        <v>249690.080000002</v>
      </c>
      <c r="F18" s="10"/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3533.44</v>
      </c>
      <c r="E19" s="10" t="n">
        <v>1058.88</v>
      </c>
      <c r="F19" s="10"/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1382719.583</v>
      </c>
      <c r="E20" s="20" t="n">
        <f aca="false">E17+E18+E19</f>
        <v>1793457.1</v>
      </c>
      <c r="F20" s="20" t="n">
        <f aca="false">F17+F18+F19</f>
        <v>0</v>
      </c>
      <c r="G20" s="20" t="n">
        <f aca="false">G17+G18+G19</f>
        <v>0</v>
      </c>
      <c r="H20" s="21" t="str">
        <f aca="false">IF(G20="","-",IFERROR(G20/F20-1,"-"))</f>
        <v>-</v>
      </c>
      <c r="I20" s="20" t="n">
        <f aca="false">IF(G20="","-",G20-F20)</f>
        <v>0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169336.07</v>
      </c>
      <c r="E21" s="10" t="n">
        <v>271266.06</v>
      </c>
      <c r="F21" s="10"/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0</v>
      </c>
      <c r="E22" s="10" t="n">
        <v>0</v>
      </c>
      <c r="F22" s="10"/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127411.06</v>
      </c>
      <c r="E23" s="10" t="n">
        <v>53932.22</v>
      </c>
      <c r="F23" s="10"/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0</v>
      </c>
      <c r="E24" s="10" t="n">
        <v>83397.79</v>
      </c>
      <c r="F24" s="10"/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17813.97</v>
      </c>
      <c r="E25" s="10" t="n">
        <v>15684.33</v>
      </c>
      <c r="F25" s="10"/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44572.45</v>
      </c>
      <c r="E26" s="10" t="n">
        <v>0</v>
      </c>
      <c r="F26" s="10"/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0</v>
      </c>
      <c r="E27" s="10" t="n">
        <v>0</v>
      </c>
      <c r="F27" s="10"/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0</v>
      </c>
      <c r="E28" s="10" t="n">
        <v>0</v>
      </c>
      <c r="F28" s="10"/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115405.87</v>
      </c>
      <c r="E29" s="10" t="n">
        <v>256771.88</v>
      </c>
      <c r="F29" s="10"/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62633.86</v>
      </c>
      <c r="E30" s="10" t="n">
        <v>29107.59</v>
      </c>
      <c r="F30" s="10"/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0</v>
      </c>
      <c r="E31" s="10" t="n">
        <v>32544.41</v>
      </c>
      <c r="F31" s="10"/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0.08</v>
      </c>
      <c r="F32" s="10"/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0</v>
      </c>
      <c r="F33" s="10"/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/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0</v>
      </c>
      <c r="E35" s="10" t="n">
        <v>0</v>
      </c>
      <c r="F35" s="10"/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23331.65</v>
      </c>
      <c r="F36" s="10"/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/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/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0</v>
      </c>
      <c r="E39" s="10" t="n">
        <v>0</v>
      </c>
      <c r="F39" s="10"/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/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537173.28</v>
      </c>
      <c r="E43" s="27" t="n">
        <f aca="false">SUM(E21:E42)</f>
        <v>766036.01</v>
      </c>
      <c r="F43" s="27" t="n">
        <f aca="false">SUM(F21:F42)</f>
        <v>0</v>
      </c>
      <c r="G43" s="27" t="n">
        <f aca="false">SUM(G21:G42)</f>
        <v>0</v>
      </c>
      <c r="H43" s="28" t="str">
        <f aca="false">IF(G43="","-",IFERROR(G43/F43-1,"-"))</f>
        <v>-</v>
      </c>
      <c r="I43" s="27" t="n">
        <f aca="false">IF(G43="","-",G43-F43)</f>
        <v>0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1919892.863</v>
      </c>
      <c r="E44" s="32" t="n">
        <f aca="false">E43+E20</f>
        <v>2559493.11</v>
      </c>
      <c r="F44" s="32" t="n">
        <f aca="false">F43+F20</f>
        <v>0</v>
      </c>
      <c r="G44" s="32" t="n">
        <f aca="false">G43+G20</f>
        <v>0</v>
      </c>
      <c r="H44" s="33" t="str">
        <f aca="false">IF(G44="","-",IFERROR(G44/F44-1,"-"))</f>
        <v>-</v>
      </c>
      <c r="I44" s="32" t="n">
        <f aca="false">IF(G44="","-",G44-F44)</f>
        <v>0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33.29"/>
    <col collapsed="false" customWidth="true" hidden="false" outlineLevel="0" max="3" min="3" style="1" width="15.29"/>
    <col collapsed="false" customWidth="true" hidden="false" outlineLevel="0" max="7" min="4" style="1" width="11.43"/>
    <col collapsed="false" customWidth="true" hidden="false" outlineLevel="0" max="8" min="8" style="1" width="12"/>
    <col collapsed="false" customWidth="true" hidden="false" outlineLevel="0" max="9" min="9" style="1" width="17"/>
  </cols>
  <sheetData>
    <row r="1" customFormat="false" ht="19.5" hidden="false" customHeight="true" outlineLevel="0" collapsed="false">
      <c r="A1" s="34"/>
      <c r="B1" s="35" t="s">
        <v>102</v>
      </c>
      <c r="C1" s="36"/>
      <c r="D1" s="36"/>
      <c r="E1" s="36"/>
      <c r="F1" s="36"/>
      <c r="G1" s="36"/>
      <c r="H1" s="36"/>
      <c r="I1" s="36"/>
      <c r="J1" s="36"/>
      <c r="K1" s="37" t="s">
        <v>24</v>
      </c>
      <c r="L1" s="36"/>
    </row>
    <row r="2" customFormat="false" ht="1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25</v>
      </c>
      <c r="E2" s="4" t="s">
        <v>26</v>
      </c>
      <c r="F2" s="4" t="s">
        <v>27</v>
      </c>
      <c r="G2" s="4" t="s">
        <v>28</v>
      </c>
      <c r="H2" s="5" t="s">
        <v>29</v>
      </c>
      <c r="I2" s="6" t="s">
        <v>30</v>
      </c>
      <c r="J2" s="38"/>
      <c r="K2" s="38"/>
      <c r="L2" s="38"/>
    </row>
    <row r="3" customFormat="false" ht="15" hidden="false" customHeight="true" outlineLevel="0" collapsed="false">
      <c r="A3" s="7" t="n">
        <v>111</v>
      </c>
      <c r="B3" s="8" t="s">
        <v>31</v>
      </c>
      <c r="C3" s="9" t="s">
        <v>32</v>
      </c>
      <c r="D3" s="10" t="n">
        <v>318421.6</v>
      </c>
      <c r="E3" s="10" t="n">
        <v>97619.06</v>
      </c>
      <c r="F3" s="10"/>
      <c r="G3" s="10"/>
      <c r="H3" s="11" t="str">
        <f aca="false">IF(G3="","-",IFERROR(G3/F3-1,"-"))</f>
        <v>-</v>
      </c>
      <c r="I3" s="10" t="str">
        <f aca="false">IF(G3="","-",G3-F3)</f>
        <v>-</v>
      </c>
      <c r="J3" s="36"/>
      <c r="K3" s="36"/>
      <c r="L3" s="36"/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32</v>
      </c>
      <c r="D4" s="10" t="n">
        <v>453775.686</v>
      </c>
      <c r="E4" s="10" t="n">
        <v>453051.69</v>
      </c>
      <c r="F4" s="10"/>
      <c r="G4" s="10"/>
      <c r="H4" s="11" t="str">
        <f aca="false">IF(G4="","-",IFERROR(G4/F4-1,"-"))</f>
        <v>-</v>
      </c>
      <c r="I4" s="10" t="str">
        <f aca="false">IF(G4="","-",G4-F4)</f>
        <v>-</v>
      </c>
      <c r="J4" s="36"/>
      <c r="K4" s="36"/>
      <c r="L4" s="36"/>
    </row>
    <row r="5" customFormat="false" ht="15" hidden="false" customHeight="true" outlineLevel="0" collapsed="false">
      <c r="A5" s="7" t="n">
        <v>2</v>
      </c>
      <c r="B5" s="8" t="s">
        <v>34</v>
      </c>
      <c r="C5" s="9" t="s">
        <v>32</v>
      </c>
      <c r="D5" s="10" t="n">
        <v>89875.877</v>
      </c>
      <c r="E5" s="10" t="n">
        <v>61250.28</v>
      </c>
      <c r="F5" s="10"/>
      <c r="G5" s="10"/>
      <c r="H5" s="11" t="str">
        <f aca="false">IF(G5="","-",IFERROR(G5/F5-1,"-"))</f>
        <v>-</v>
      </c>
      <c r="I5" s="10" t="str">
        <f aca="false">IF(G5="","-",G5-F5)</f>
        <v>-</v>
      </c>
      <c r="J5" s="36"/>
      <c r="K5" s="36"/>
      <c r="L5" s="36"/>
    </row>
    <row r="6" customFormat="false" ht="15" hidden="false" customHeight="true" outlineLevel="0" collapsed="false">
      <c r="A6" s="7" t="n">
        <v>3</v>
      </c>
      <c r="B6" s="8" t="s">
        <v>35</v>
      </c>
      <c r="C6" s="9" t="s">
        <v>32</v>
      </c>
      <c r="D6" s="10" t="n">
        <v>149421.213</v>
      </c>
      <c r="E6" s="10" t="n">
        <v>144058.52</v>
      </c>
      <c r="F6" s="10"/>
      <c r="G6" s="10"/>
      <c r="H6" s="11" t="str">
        <f aca="false">IF(G6="","-",IFERROR(G6/F6-1,"-"))</f>
        <v>-</v>
      </c>
      <c r="I6" s="10" t="str">
        <f aca="false">IF(G6="","-",G6-F6)</f>
        <v>-</v>
      </c>
      <c r="J6" s="36"/>
      <c r="K6" s="36"/>
      <c r="L6" s="36"/>
    </row>
    <row r="7" customFormat="false" ht="15" hidden="false" customHeight="true" outlineLevel="0" collapsed="false">
      <c r="A7" s="7" t="n">
        <v>112</v>
      </c>
      <c r="B7" s="8" t="s">
        <v>36</v>
      </c>
      <c r="C7" s="9" t="s">
        <v>32</v>
      </c>
      <c r="D7" s="10" t="n">
        <v>378149.8</v>
      </c>
      <c r="E7" s="10" t="n">
        <v>367699.5</v>
      </c>
      <c r="F7" s="10"/>
      <c r="G7" s="10"/>
      <c r="H7" s="11" t="str">
        <f aca="false">IF(G7="","-",IFERROR(G7/F7-1,"-"))</f>
        <v>-</v>
      </c>
      <c r="I7" s="10" t="str">
        <f aca="false">IF(G7="","-",G7-F7)</f>
        <v>-</v>
      </c>
      <c r="J7" s="36"/>
      <c r="K7" s="36"/>
      <c r="L7" s="36"/>
    </row>
    <row r="8" customFormat="false" ht="15" hidden="false" customHeight="true" outlineLevel="0" collapsed="false">
      <c r="A8" s="7" t="n">
        <v>113</v>
      </c>
      <c r="B8" s="8" t="s">
        <v>37</v>
      </c>
      <c r="C8" s="9" t="s">
        <v>32</v>
      </c>
      <c r="D8" s="10" t="n">
        <v>68517.25</v>
      </c>
      <c r="E8" s="10" t="n">
        <v>60034.25</v>
      </c>
      <c r="F8" s="10"/>
      <c r="G8" s="10"/>
      <c r="H8" s="11" t="str">
        <f aca="false">IF(G8="","-",IFERROR(G8/F8-1,"-"))</f>
        <v>-</v>
      </c>
      <c r="I8" s="10" t="str">
        <f aca="false">IF(G8="","-",G8-F8)</f>
        <v>-</v>
      </c>
      <c r="J8" s="36"/>
      <c r="K8" s="36"/>
      <c r="L8" s="36"/>
    </row>
    <row r="9" customFormat="false" ht="15" hidden="false" customHeight="true" outlineLevel="0" collapsed="false">
      <c r="A9" s="7" t="n">
        <v>4</v>
      </c>
      <c r="B9" s="8" t="s">
        <v>38</v>
      </c>
      <c r="C9" s="9" t="s">
        <v>32</v>
      </c>
      <c r="D9" s="10"/>
      <c r="E9" s="10"/>
      <c r="F9" s="10" t="n">
        <v>0</v>
      </c>
      <c r="G9" s="10"/>
      <c r="H9" s="11" t="str">
        <f aca="false">IF(G9="","-",IFERROR(G9/F9-1,"-"))</f>
        <v>-</v>
      </c>
      <c r="I9" s="10" t="str">
        <f aca="false">IF(G9="","-",G9-F9)</f>
        <v>-</v>
      </c>
      <c r="J9" s="36"/>
      <c r="K9" s="36"/>
      <c r="L9" s="36"/>
    </row>
    <row r="10" customFormat="false" ht="15" hidden="false" customHeight="true" outlineLevel="0" collapsed="false">
      <c r="A10" s="7" t="n">
        <v>102</v>
      </c>
      <c r="B10" s="8" t="s">
        <v>39</v>
      </c>
      <c r="C10" s="9" t="s">
        <v>32</v>
      </c>
      <c r="D10" s="10" t="n">
        <v>65670.46</v>
      </c>
      <c r="E10" s="10" t="n">
        <v>69362.57</v>
      </c>
      <c r="F10" s="10"/>
      <c r="G10" s="10"/>
      <c r="H10" s="11" t="str">
        <f aca="false">IF(G10="","-",IFERROR(G10/F10-1,"-"))</f>
        <v>-</v>
      </c>
      <c r="I10" s="10" t="str">
        <f aca="false">IF(G10="","-",G10-F10)</f>
        <v>-</v>
      </c>
      <c r="J10" s="36"/>
      <c r="K10" s="36"/>
      <c r="L10" s="36"/>
    </row>
    <row r="11" customFormat="false" ht="15" hidden="false" customHeight="true" outlineLevel="0" collapsed="false">
      <c r="A11" s="7" t="n">
        <v>101</v>
      </c>
      <c r="B11" s="8" t="s">
        <v>40</v>
      </c>
      <c r="C11" s="9" t="s">
        <v>32</v>
      </c>
      <c r="D11" s="10" t="n">
        <v>16400.06</v>
      </c>
      <c r="E11" s="10" t="n">
        <v>11214.5</v>
      </c>
      <c r="F11" s="10"/>
      <c r="G11" s="10"/>
      <c r="H11" s="11" t="str">
        <f aca="false">IF(G11="","-",IFERROR(G11/F11-1,"-"))</f>
        <v>-</v>
      </c>
      <c r="I11" s="10" t="str">
        <f aca="false">IF(G11="","-",G11-F11)</f>
        <v>-</v>
      </c>
      <c r="J11" s="36"/>
      <c r="K11" s="36"/>
      <c r="L11" s="36"/>
    </row>
    <row r="12" customFormat="false" ht="15" hidden="false" customHeight="true" outlineLevel="0" collapsed="false">
      <c r="A12" s="7" t="n">
        <v>109</v>
      </c>
      <c r="B12" s="8" t="s">
        <v>41</v>
      </c>
      <c r="C12" s="9" t="s">
        <v>32</v>
      </c>
      <c r="D12" s="10" t="n">
        <v>10713.92</v>
      </c>
      <c r="E12" s="10" t="n">
        <v>5866.58</v>
      </c>
      <c r="F12" s="10"/>
      <c r="G12" s="10"/>
      <c r="H12" s="11" t="str">
        <f aca="false">IF(G12="","-",IFERROR(G12/F12-1,"-"))</f>
        <v>-</v>
      </c>
      <c r="I12" s="10" t="str">
        <f aca="false">IF(G12="","-",G12-F12)</f>
        <v>-</v>
      </c>
      <c r="J12" s="36"/>
      <c r="K12" s="36"/>
      <c r="L12" s="36"/>
    </row>
    <row r="13" customFormat="false" ht="15" hidden="false" customHeight="true" outlineLevel="0" collapsed="false">
      <c r="A13" s="7" t="n">
        <v>105</v>
      </c>
      <c r="B13" s="8" t="s">
        <v>42</v>
      </c>
      <c r="C13" s="9" t="s">
        <v>32</v>
      </c>
      <c r="D13" s="10" t="n">
        <v>850.4</v>
      </c>
      <c r="E13" s="10" t="n">
        <v>0</v>
      </c>
      <c r="F13" s="10"/>
      <c r="G13" s="10"/>
      <c r="H13" s="11" t="str">
        <f aca="false">IF(G13="","-",IFERROR(G13/F13-1,"-"))</f>
        <v>-</v>
      </c>
      <c r="I13" s="10" t="str">
        <f aca="false">IF(G13="","-",G13-F13)</f>
        <v>-</v>
      </c>
      <c r="J13" s="36"/>
      <c r="K13" s="36"/>
      <c r="L13" s="36"/>
    </row>
    <row r="14" customFormat="false" ht="15" hidden="false" customHeight="true" outlineLevel="0" collapsed="false">
      <c r="A14" s="7" t="n">
        <v>104</v>
      </c>
      <c r="B14" s="8" t="s">
        <v>43</v>
      </c>
      <c r="C14" s="9" t="s">
        <v>32</v>
      </c>
      <c r="D14" s="10" t="n">
        <v>-14.28</v>
      </c>
      <c r="E14" s="10" t="n">
        <v>0</v>
      </c>
      <c r="F14" s="10"/>
      <c r="G14" s="10"/>
      <c r="H14" s="11" t="str">
        <f aca="false">IF(G14="","-",IFERROR(G14/F14-1,"-"))</f>
        <v>-</v>
      </c>
      <c r="I14" s="10" t="str">
        <f aca="false">IF(G14="","-",G14-F14)</f>
        <v>-</v>
      </c>
      <c r="J14" s="36"/>
      <c r="K14" s="36"/>
      <c r="L14" s="36"/>
    </row>
    <row r="15" customFormat="false" ht="15" hidden="false" customHeight="true" outlineLevel="0" collapsed="false">
      <c r="A15" s="7" t="n">
        <v>106</v>
      </c>
      <c r="B15" s="8" t="s">
        <v>44</v>
      </c>
      <c r="C15" s="9" t="s">
        <v>32</v>
      </c>
      <c r="D15" s="10" t="n">
        <v>2520</v>
      </c>
      <c r="E15" s="10" t="n">
        <v>1813.57</v>
      </c>
      <c r="F15" s="10"/>
      <c r="G15" s="10"/>
      <c r="H15" s="11" t="str">
        <f aca="false">IF(G15="","-",IFERROR(G15/F15-1,"-"))</f>
        <v>-</v>
      </c>
      <c r="I15" s="10" t="str">
        <f aca="false">IF(G15="","-",G15-F15)</f>
        <v>-</v>
      </c>
      <c r="J15" s="36"/>
      <c r="K15" s="36"/>
      <c r="L15" s="36"/>
    </row>
    <row r="16" customFormat="false" ht="15" hidden="false" customHeight="true" outlineLevel="0" collapsed="false">
      <c r="A16" s="7" t="n">
        <v>103</v>
      </c>
      <c r="B16" s="8" t="s">
        <v>45</v>
      </c>
      <c r="C16" s="9" t="s">
        <v>32</v>
      </c>
      <c r="D16" s="10" t="n">
        <v>4549.9</v>
      </c>
      <c r="E16" s="10" t="n">
        <v>361.5</v>
      </c>
      <c r="F16" s="10"/>
      <c r="G16" s="10"/>
      <c r="H16" s="11" t="str">
        <f aca="false">IF(G16="","-",IFERROR(G16/F16-1,"-"))</f>
        <v>-</v>
      </c>
      <c r="I16" s="10" t="str">
        <f aca="false">IF(G16="","-",G16-F16)</f>
        <v>-</v>
      </c>
      <c r="J16" s="36"/>
      <c r="K16" s="36"/>
      <c r="L16" s="36"/>
    </row>
    <row r="17" customFormat="false" ht="15" hidden="false" customHeight="true" outlineLevel="0" collapsed="false">
      <c r="A17" s="12"/>
      <c r="B17" s="13" t="s">
        <v>46</v>
      </c>
      <c r="C17" s="14"/>
      <c r="D17" s="15" t="n">
        <f aca="false">SUM(D3:D16)</f>
        <v>1558851.886</v>
      </c>
      <c r="E17" s="15" t="n">
        <f aca="false">SUM(E3:E16)</f>
        <v>1272332.02</v>
      </c>
      <c r="F17" s="15" t="n">
        <f aca="false">SUM(F3:F16)</f>
        <v>0</v>
      </c>
      <c r="G17" s="15" t="n">
        <f aca="false">SUM(G3:G16)</f>
        <v>0</v>
      </c>
      <c r="H17" s="16" t="str">
        <f aca="false">IF(G17="","-",IFERROR(G17/F17-1,"-"))</f>
        <v>-</v>
      </c>
      <c r="I17" s="15" t="n">
        <f aca="false">IF(G17="","-",G17-F17)</f>
        <v>0</v>
      </c>
      <c r="J17" s="39"/>
      <c r="K17" s="39"/>
      <c r="L17" s="39"/>
    </row>
    <row r="18" customFormat="false" ht="15" hidden="false" customHeight="true" outlineLevel="0" collapsed="false">
      <c r="A18" s="7" t="n">
        <v>114</v>
      </c>
      <c r="B18" s="8" t="s">
        <v>47</v>
      </c>
      <c r="C18" s="9" t="s">
        <v>32</v>
      </c>
      <c r="D18" s="10" t="n">
        <v>95223.2699999995</v>
      </c>
      <c r="E18" s="10" t="n">
        <v>213224.459999998</v>
      </c>
      <c r="F18" s="10"/>
      <c r="G18" s="10"/>
      <c r="H18" s="11" t="str">
        <f aca="false">IF(G18="","-",IFERROR(G18/F18-1,"-"))</f>
        <v>-</v>
      </c>
      <c r="I18" s="10" t="str">
        <f aca="false">IF(G18="","-",G18-F18)</f>
        <v>-</v>
      </c>
      <c r="J18" s="36"/>
      <c r="K18" s="36"/>
      <c r="L18" s="36"/>
    </row>
    <row r="19" customFormat="false" ht="15" hidden="false" customHeight="true" outlineLevel="0" collapsed="false">
      <c r="A19" s="7" t="n">
        <v>115</v>
      </c>
      <c r="B19" s="8" t="s">
        <v>48</v>
      </c>
      <c r="C19" s="9" t="s">
        <v>32</v>
      </c>
      <c r="D19" s="10" t="n">
        <v>3126.19</v>
      </c>
      <c r="E19" s="10" t="n">
        <v>1561.46</v>
      </c>
      <c r="F19" s="10"/>
      <c r="G19" s="10"/>
      <c r="H19" s="11" t="str">
        <f aca="false">IF(G19="","-",IFERROR(G19/F19-1,"-"))</f>
        <v>-</v>
      </c>
      <c r="I19" s="10" t="str">
        <f aca="false">IF(G19="","-",G19-F19)</f>
        <v>-</v>
      </c>
      <c r="J19" s="36"/>
      <c r="K19" s="36"/>
      <c r="L19" s="36"/>
    </row>
    <row r="20" customFormat="false" ht="15" hidden="false" customHeight="true" outlineLevel="0" collapsed="false">
      <c r="A20" s="17"/>
      <c r="B20" s="18" t="s">
        <v>49</v>
      </c>
      <c r="C20" s="19"/>
      <c r="D20" s="20" t="n">
        <f aca="false">D17+D18+D19</f>
        <v>1657201.346</v>
      </c>
      <c r="E20" s="20" t="n">
        <f aca="false">E17+E18+E19</f>
        <v>1487117.94</v>
      </c>
      <c r="F20" s="20" t="n">
        <f aca="false">F17+F18+F19</f>
        <v>0</v>
      </c>
      <c r="G20" s="20" t="n">
        <f aca="false">G17+G18+G19</f>
        <v>0</v>
      </c>
      <c r="H20" s="21" t="str">
        <f aca="false">IF(G20="","-",IFERROR(G20/F20-1,"-"))</f>
        <v>-</v>
      </c>
      <c r="I20" s="20" t="n">
        <f aca="false">IF(G20="","-",G20-F20)</f>
        <v>0</v>
      </c>
      <c r="J20" s="40"/>
      <c r="K20" s="40"/>
      <c r="L20" s="40"/>
    </row>
    <row r="21" customFormat="false" ht="15" hidden="false" customHeight="true" outlineLevel="0" collapsed="false">
      <c r="A21" s="7" t="n">
        <v>301</v>
      </c>
      <c r="B21" s="8" t="s">
        <v>50</v>
      </c>
      <c r="C21" s="22" t="s">
        <v>51</v>
      </c>
      <c r="D21" s="10" t="n">
        <v>190607.48</v>
      </c>
      <c r="E21" s="10" t="n">
        <v>182118.44</v>
      </c>
      <c r="F21" s="10"/>
      <c r="G21" s="10"/>
      <c r="H21" s="11" t="str">
        <f aca="false">IF(G21="","-",IFERROR(G21/F21-1,"-"))</f>
        <v>-</v>
      </c>
      <c r="I21" s="10" t="str">
        <f aca="false">IF(G21="","-",G21-F21)</f>
        <v>-</v>
      </c>
      <c r="J21" s="36"/>
      <c r="K21" s="36"/>
      <c r="L21" s="36"/>
    </row>
    <row r="22" customFormat="false" ht="15" hidden="false" customHeight="true" outlineLevel="0" collapsed="false">
      <c r="A22" s="7" t="n">
        <v>202</v>
      </c>
      <c r="B22" s="8" t="s">
        <v>52</v>
      </c>
      <c r="C22" s="22" t="s">
        <v>53</v>
      </c>
      <c r="D22" s="10" t="n">
        <v>137974.18</v>
      </c>
      <c r="E22" s="10" t="n">
        <v>144741.73</v>
      </c>
      <c r="F22" s="10"/>
      <c r="G22" s="10"/>
      <c r="H22" s="11" t="str">
        <f aca="false">IF(G22="","-",IFERROR(G22/F22-1,"-"))</f>
        <v>-</v>
      </c>
      <c r="I22" s="10" t="str">
        <f aca="false">IF(G22="","-",G22-F22)</f>
        <v>-</v>
      </c>
      <c r="J22" s="36"/>
      <c r="K22" s="36"/>
      <c r="L22" s="36"/>
    </row>
    <row r="23" customFormat="false" ht="15" hidden="false" customHeight="true" outlineLevel="0" collapsed="false">
      <c r="A23" s="7" t="n">
        <v>203</v>
      </c>
      <c r="B23" s="8" t="s">
        <v>54</v>
      </c>
      <c r="C23" s="22" t="s">
        <v>55</v>
      </c>
      <c r="D23" s="10" t="n">
        <v>1400.99</v>
      </c>
      <c r="E23" s="10" t="n">
        <v>121.12</v>
      </c>
      <c r="F23" s="10"/>
      <c r="G23" s="10"/>
      <c r="H23" s="11" t="str">
        <f aca="false">IF(G23="","-",IFERROR(G23/F23-1,"-"))</f>
        <v>-</v>
      </c>
      <c r="I23" s="10" t="str">
        <f aca="false">IF(G23="","-",G23-F23)</f>
        <v>-</v>
      </c>
      <c r="J23" s="36"/>
      <c r="K23" s="36"/>
      <c r="L23" s="36"/>
    </row>
    <row r="24" customFormat="false" ht="15" hidden="false" customHeight="true" outlineLevel="0" collapsed="false">
      <c r="A24" s="7" t="n">
        <v>204</v>
      </c>
      <c r="B24" s="8" t="s">
        <v>56</v>
      </c>
      <c r="C24" s="22" t="s">
        <v>57</v>
      </c>
      <c r="D24" s="10" t="n">
        <v>80366.28</v>
      </c>
      <c r="E24" s="10" t="n">
        <v>0</v>
      </c>
      <c r="F24" s="10"/>
      <c r="G24" s="10"/>
      <c r="H24" s="11" t="str">
        <f aca="false">IF(G24="","-",IFERROR(G24/F24-1,"-"))</f>
        <v>-</v>
      </c>
      <c r="I24" s="10" t="str">
        <f aca="false">IF(G24="","-",G24-F24)</f>
        <v>-</v>
      </c>
      <c r="J24" s="36"/>
      <c r="K24" s="36"/>
      <c r="L24" s="36"/>
    </row>
    <row r="25" customFormat="false" ht="15" hidden="false" customHeight="true" outlineLevel="0" collapsed="false">
      <c r="A25" s="7" t="n">
        <v>205</v>
      </c>
      <c r="B25" s="8" t="s">
        <v>58</v>
      </c>
      <c r="C25" s="22" t="s">
        <v>59</v>
      </c>
      <c r="D25" s="10" t="n">
        <v>0</v>
      </c>
      <c r="E25" s="10" t="n">
        <v>0</v>
      </c>
      <c r="F25" s="10"/>
      <c r="G25" s="10"/>
      <c r="H25" s="11" t="str">
        <f aca="false">IF(G25="","-",IFERROR(G25/F25-1,"-"))</f>
        <v>-</v>
      </c>
      <c r="I25" s="10" t="str">
        <f aca="false">IF(G25="","-",G25-F25)</f>
        <v>-</v>
      </c>
      <c r="J25" s="36"/>
      <c r="K25" s="36"/>
      <c r="L25" s="36"/>
    </row>
    <row r="26" customFormat="false" ht="15" hidden="false" customHeight="true" outlineLevel="0" collapsed="false">
      <c r="A26" s="7" t="n">
        <v>206</v>
      </c>
      <c r="B26" s="8" t="s">
        <v>60</v>
      </c>
      <c r="C26" s="22" t="s">
        <v>61</v>
      </c>
      <c r="D26" s="10" t="n">
        <v>0</v>
      </c>
      <c r="E26" s="10" t="n">
        <v>0</v>
      </c>
      <c r="F26" s="10"/>
      <c r="G26" s="10"/>
      <c r="H26" s="11" t="str">
        <f aca="false">IF(G26="","-",IFERROR(G26/F26-1,"-"))</f>
        <v>-</v>
      </c>
      <c r="I26" s="10" t="str">
        <f aca="false">IF(G26="","-",G26-F26)</f>
        <v>-</v>
      </c>
      <c r="J26" s="36"/>
      <c r="K26" s="36"/>
      <c r="L26" s="36"/>
    </row>
    <row r="27" customFormat="false" ht="15" hidden="false" customHeight="true" outlineLevel="0" collapsed="false">
      <c r="A27" s="7" t="n">
        <v>207</v>
      </c>
      <c r="B27" s="8" t="s">
        <v>62</v>
      </c>
      <c r="C27" s="22" t="s">
        <v>63</v>
      </c>
      <c r="D27" s="10" t="n">
        <v>222074.04</v>
      </c>
      <c r="E27" s="10" t="n">
        <v>146752.62</v>
      </c>
      <c r="F27" s="10"/>
      <c r="G27" s="10"/>
      <c r="H27" s="11" t="str">
        <f aca="false">IF(G27="","-",IFERROR(G27/F27-1,"-"))</f>
        <v>-</v>
      </c>
      <c r="I27" s="10" t="str">
        <f aca="false">IF(G27="","-",G27-F27)</f>
        <v>-</v>
      </c>
      <c r="J27" s="36"/>
      <c r="K27" s="36"/>
      <c r="L27" s="36"/>
    </row>
    <row r="28" customFormat="false" ht="15" hidden="false" customHeight="true" outlineLevel="0" collapsed="false">
      <c r="A28" s="7" t="n">
        <v>216</v>
      </c>
      <c r="B28" s="8" t="s">
        <v>64</v>
      </c>
      <c r="C28" s="22" t="s">
        <v>65</v>
      </c>
      <c r="D28" s="10" t="n">
        <v>0</v>
      </c>
      <c r="E28" s="10" t="n">
        <v>0</v>
      </c>
      <c r="F28" s="10"/>
      <c r="G28" s="10"/>
      <c r="H28" s="11" t="str">
        <f aca="false">IF(G28="","-",IFERROR(G28/F28-1,"-"))</f>
        <v>-</v>
      </c>
      <c r="I28" s="10" t="str">
        <f aca="false">IF(G28="","-",G28-F28)</f>
        <v>-</v>
      </c>
      <c r="J28" s="36"/>
      <c r="K28" s="36"/>
      <c r="L28" s="36"/>
    </row>
    <row r="29" customFormat="false" ht="15" hidden="false" customHeight="true" outlineLevel="0" collapsed="false">
      <c r="A29" s="7" t="n">
        <v>208</v>
      </c>
      <c r="B29" s="8" t="s">
        <v>66</v>
      </c>
      <c r="C29" s="22" t="s">
        <v>67</v>
      </c>
      <c r="D29" s="10" t="n">
        <v>83394.96</v>
      </c>
      <c r="E29" s="10" t="n">
        <v>0</v>
      </c>
      <c r="F29" s="10"/>
      <c r="G29" s="10"/>
      <c r="H29" s="11" t="str">
        <f aca="false">IF(G29="","-",IFERROR(G29/F29-1,"-"))</f>
        <v>-</v>
      </c>
      <c r="I29" s="10" t="str">
        <f aca="false">IF(G29="","-",G29-F29)</f>
        <v>-</v>
      </c>
      <c r="J29" s="36"/>
      <c r="K29" s="36"/>
      <c r="L29" s="36"/>
    </row>
    <row r="30" customFormat="false" ht="15" hidden="false" customHeight="true" outlineLevel="0" collapsed="false">
      <c r="A30" s="7" t="n">
        <v>209</v>
      </c>
      <c r="B30" s="8" t="s">
        <v>68</v>
      </c>
      <c r="C30" s="22" t="s">
        <v>69</v>
      </c>
      <c r="D30" s="10" t="n">
        <v>0</v>
      </c>
      <c r="E30" s="10" t="n">
        <v>41441.91</v>
      </c>
      <c r="F30" s="10"/>
      <c r="G30" s="10"/>
      <c r="H30" s="11" t="str">
        <f aca="false">IF(G30="","-",IFERROR(G30/F30-1,"-"))</f>
        <v>-</v>
      </c>
      <c r="I30" s="10" t="str">
        <f aca="false">IF(G30="","-",G30-F30)</f>
        <v>-</v>
      </c>
      <c r="J30" s="36"/>
      <c r="K30" s="36"/>
      <c r="L30" s="36"/>
    </row>
    <row r="31" customFormat="false" ht="15" hidden="false" customHeight="true" outlineLevel="0" collapsed="false">
      <c r="A31" s="7" t="n">
        <v>210</v>
      </c>
      <c r="B31" s="8" t="s">
        <v>70</v>
      </c>
      <c r="C31" s="22" t="s">
        <v>71</v>
      </c>
      <c r="D31" s="10" t="n">
        <v>0</v>
      </c>
      <c r="E31" s="10" t="n">
        <v>0</v>
      </c>
      <c r="F31" s="10"/>
      <c r="G31" s="10"/>
      <c r="H31" s="11" t="str">
        <f aca="false">IF(G31="","-",IFERROR(G31/F31-1,"-"))</f>
        <v>-</v>
      </c>
      <c r="I31" s="10" t="str">
        <f aca="false">IF(G31="","-",G31-F31)</f>
        <v>-</v>
      </c>
      <c r="J31" s="36"/>
      <c r="K31" s="36"/>
      <c r="L31" s="36"/>
    </row>
    <row r="32" customFormat="false" ht="15" hidden="false" customHeight="true" outlineLevel="0" collapsed="false">
      <c r="A32" s="7" t="n">
        <v>201</v>
      </c>
      <c r="B32" s="8" t="s">
        <v>72</v>
      </c>
      <c r="C32" s="22" t="s">
        <v>71</v>
      </c>
      <c r="D32" s="10" t="n">
        <v>0</v>
      </c>
      <c r="E32" s="10" t="n">
        <v>0</v>
      </c>
      <c r="F32" s="10"/>
      <c r="G32" s="10"/>
      <c r="H32" s="11" t="str">
        <f aca="false">IF(G32="","-",IFERROR(G32/F32-1,"-"))</f>
        <v>-</v>
      </c>
      <c r="I32" s="10" t="str">
        <f aca="false">IF(G32="","-",G32-F32)</f>
        <v>-</v>
      </c>
      <c r="J32" s="36"/>
      <c r="K32" s="36"/>
      <c r="L32" s="36"/>
    </row>
    <row r="33" customFormat="false" ht="15" hidden="false" customHeight="true" outlineLevel="0" collapsed="false">
      <c r="A33" s="7" t="n">
        <v>211</v>
      </c>
      <c r="B33" s="8" t="s">
        <v>73</v>
      </c>
      <c r="C33" s="22" t="s">
        <v>74</v>
      </c>
      <c r="D33" s="10" t="n">
        <v>0</v>
      </c>
      <c r="E33" s="10" t="n">
        <v>0</v>
      </c>
      <c r="F33" s="10"/>
      <c r="G33" s="10"/>
      <c r="H33" s="11" t="str">
        <f aca="false">IF(G33="","-",IFERROR(G33/F33-1,"-"))</f>
        <v>-</v>
      </c>
      <c r="I33" s="10" t="str">
        <f aca="false">IF(G33="","-",G33-F33)</f>
        <v>-</v>
      </c>
      <c r="J33" s="36"/>
      <c r="K33" s="36"/>
      <c r="L33" s="36"/>
    </row>
    <row r="34" customFormat="false" ht="15" hidden="false" customHeight="true" outlineLevel="0" collapsed="false">
      <c r="A34" s="7" t="n">
        <v>304</v>
      </c>
      <c r="B34" s="8" t="s">
        <v>75</v>
      </c>
      <c r="C34" s="23" t="s">
        <v>76</v>
      </c>
      <c r="D34" s="10"/>
      <c r="E34" s="10"/>
      <c r="F34" s="10"/>
      <c r="G34" s="10"/>
      <c r="H34" s="11" t="str">
        <f aca="false">IF(G34="","-",IFERROR(G34/F34-1,"-"))</f>
        <v>-</v>
      </c>
      <c r="I34" s="10" t="str">
        <f aca="false">IF(G34="","-",G34-F34)</f>
        <v>-</v>
      </c>
      <c r="J34" s="36"/>
      <c r="K34" s="36"/>
      <c r="L34" s="36"/>
    </row>
    <row r="35" customFormat="false" ht="15" hidden="false" customHeight="true" outlineLevel="0" collapsed="false">
      <c r="A35" s="7" t="n">
        <v>213</v>
      </c>
      <c r="B35" s="8" t="s">
        <v>77</v>
      </c>
      <c r="C35" s="22" t="s">
        <v>78</v>
      </c>
      <c r="D35" s="10" t="n">
        <v>0</v>
      </c>
      <c r="E35" s="10" t="n">
        <v>0</v>
      </c>
      <c r="F35" s="10"/>
      <c r="G35" s="10"/>
      <c r="H35" s="11" t="str">
        <f aca="false">IF(G35="","-",IFERROR(G35/F35-1,"-"))</f>
        <v>-</v>
      </c>
      <c r="I35" s="10" t="str">
        <f aca="false">IF(G35="","-",G35-F35)</f>
        <v>-</v>
      </c>
      <c r="J35" s="36"/>
      <c r="K35" s="36"/>
      <c r="L35" s="36"/>
    </row>
    <row r="36" customFormat="false" ht="15" hidden="false" customHeight="true" outlineLevel="0" collapsed="false">
      <c r="A36" s="7" t="n">
        <v>214</v>
      </c>
      <c r="B36" s="8" t="s">
        <v>79</v>
      </c>
      <c r="C36" s="22" t="s">
        <v>80</v>
      </c>
      <c r="D36" s="10" t="n">
        <v>0</v>
      </c>
      <c r="E36" s="10" t="n">
        <v>0</v>
      </c>
      <c r="F36" s="10"/>
      <c r="G36" s="10"/>
      <c r="H36" s="11" t="str">
        <f aca="false">IF(G36="","-",IFERROR(G36/F36-1,"-"))</f>
        <v>-</v>
      </c>
      <c r="I36" s="10" t="str">
        <f aca="false">IF(G36="","-",G36-F36)</f>
        <v>-</v>
      </c>
      <c r="J36" s="36"/>
      <c r="K36" s="36"/>
      <c r="L36" s="36"/>
    </row>
    <row r="37" customFormat="false" ht="15" hidden="false" customHeight="true" outlineLevel="0" collapsed="false">
      <c r="A37" s="7" t="n">
        <v>212</v>
      </c>
      <c r="B37" s="8" t="s">
        <v>81</v>
      </c>
      <c r="C37" s="23" t="s">
        <v>69</v>
      </c>
      <c r="D37" s="10" t="n">
        <v>0</v>
      </c>
      <c r="E37" s="10" t="n">
        <v>0</v>
      </c>
      <c r="F37" s="10"/>
      <c r="G37" s="10"/>
      <c r="H37" s="11" t="str">
        <f aca="false">IF(G37="","-",IFERROR(G37/F37-1,"-"))</f>
        <v>-</v>
      </c>
      <c r="I37" s="10" t="str">
        <f aca="false">IF(G37="","-",G37-F37)</f>
        <v>-</v>
      </c>
      <c r="J37" s="36"/>
      <c r="K37" s="36"/>
      <c r="L37" s="36"/>
    </row>
    <row r="38" customFormat="false" ht="15" hidden="false" customHeight="true" outlineLevel="0" collapsed="false">
      <c r="A38" s="7" t="n">
        <v>215</v>
      </c>
      <c r="B38" s="8" t="s">
        <v>82</v>
      </c>
      <c r="C38" s="22" t="s">
        <v>83</v>
      </c>
      <c r="D38" s="10" t="n">
        <v>0</v>
      </c>
      <c r="E38" s="10" t="n">
        <v>0</v>
      </c>
      <c r="F38" s="10"/>
      <c r="G38" s="10"/>
      <c r="H38" s="11" t="str">
        <f aca="false">IF(G38="","-",IFERROR(G38/F38-1,"-"))</f>
        <v>-</v>
      </c>
      <c r="I38" s="10" t="str">
        <f aca="false">IF(G38="","-",G38-F38)</f>
        <v>-</v>
      </c>
      <c r="J38" s="36"/>
      <c r="K38" s="36"/>
      <c r="L38" s="36"/>
    </row>
    <row r="39" customFormat="false" ht="15" hidden="false" customHeight="true" outlineLevel="0" collapsed="false">
      <c r="A39" s="7" t="n">
        <v>217</v>
      </c>
      <c r="B39" s="8" t="s">
        <v>84</v>
      </c>
      <c r="C39" s="22" t="s">
        <v>51</v>
      </c>
      <c r="D39" s="10" t="n">
        <v>161576.19</v>
      </c>
      <c r="E39" s="10" t="n">
        <v>0</v>
      </c>
      <c r="F39" s="10"/>
      <c r="G39" s="10"/>
      <c r="H39" s="11" t="str">
        <f aca="false">IF(G39="","-",IFERROR(G39/F39-1,"-"))</f>
        <v>-</v>
      </c>
      <c r="I39" s="10" t="str">
        <f aca="false">IF(G39="","-",G39-F39)</f>
        <v>-</v>
      </c>
      <c r="J39" s="36"/>
      <c r="K39" s="36"/>
      <c r="L39" s="36"/>
    </row>
    <row r="40" customFormat="false" ht="15" hidden="false" customHeight="true" outlineLevel="0" collapsed="false">
      <c r="A40" s="7" t="n">
        <v>303</v>
      </c>
      <c r="B40" s="8" t="s">
        <v>85</v>
      </c>
      <c r="C40" s="22" t="s">
        <v>86</v>
      </c>
      <c r="D40" s="10"/>
      <c r="E40" s="10"/>
      <c r="F40" s="10"/>
      <c r="G40" s="10"/>
      <c r="H40" s="11" t="str">
        <f aca="false">IF(G40="","-",IFERROR(G40/F40-1,"-"))</f>
        <v>-</v>
      </c>
      <c r="I40" s="10" t="str">
        <f aca="false">IF(G40="","-",G40-F40)</f>
        <v>-</v>
      </c>
      <c r="J40" s="36"/>
      <c r="K40" s="36"/>
      <c r="L40" s="36"/>
    </row>
    <row r="41" customFormat="false" ht="15" hidden="false" customHeight="true" outlineLevel="0" collapsed="false">
      <c r="A41" s="7" t="n">
        <v>305</v>
      </c>
      <c r="B41" s="8" t="s">
        <v>87</v>
      </c>
      <c r="C41" s="22" t="s">
        <v>88</v>
      </c>
      <c r="D41" s="10"/>
      <c r="E41" s="10"/>
      <c r="F41" s="10" t="n">
        <v>0</v>
      </c>
      <c r="G41" s="10"/>
      <c r="H41" s="11" t="str">
        <f aca="false">IF(G41="","-",IFERROR(G41/F41-1,"-"))</f>
        <v>-</v>
      </c>
      <c r="I41" s="10" t="str">
        <f aca="false">IF(G41="","-",G41-F41)</f>
        <v>-</v>
      </c>
      <c r="J41" s="36"/>
      <c r="K41" s="36"/>
      <c r="L41" s="36"/>
    </row>
    <row r="42" customFormat="false" ht="15" hidden="false" customHeight="true" outlineLevel="0" collapsed="false">
      <c r="A42" s="7" t="n">
        <v>302</v>
      </c>
      <c r="B42" s="8" t="s">
        <v>89</v>
      </c>
      <c r="C42" s="22" t="s">
        <v>89</v>
      </c>
      <c r="D42" s="10"/>
      <c r="E42" s="10"/>
      <c r="F42" s="10" t="n">
        <v>0</v>
      </c>
      <c r="G42" s="10"/>
      <c r="H42" s="11" t="str">
        <f aca="false">IF(G42="","-",IFERROR(G42/F42-1,"-"))</f>
        <v>-</v>
      </c>
      <c r="I42" s="10" t="str">
        <f aca="false">IF(G42="","-",G42-F42)</f>
        <v>-</v>
      </c>
      <c r="J42" s="36"/>
      <c r="K42" s="36"/>
      <c r="L42" s="36"/>
    </row>
    <row r="43" customFormat="false" ht="15" hidden="false" customHeight="true" outlineLevel="0" collapsed="false">
      <c r="A43" s="24"/>
      <c r="B43" s="25" t="s">
        <v>90</v>
      </c>
      <c r="C43" s="26"/>
      <c r="D43" s="27" t="n">
        <f aca="false">SUM(D21:D42)</f>
        <v>877394.12</v>
      </c>
      <c r="E43" s="27" t="n">
        <f aca="false">SUM(E21:E42)</f>
        <v>515175.82</v>
      </c>
      <c r="F43" s="27" t="n">
        <f aca="false">SUM(F21:F42)</f>
        <v>0</v>
      </c>
      <c r="G43" s="27" t="n">
        <f aca="false">SUM(G21:G42)</f>
        <v>0</v>
      </c>
      <c r="H43" s="28" t="str">
        <f aca="false">IF(G43="","-",IFERROR(G43/F43-1,"-"))</f>
        <v>-</v>
      </c>
      <c r="I43" s="27" t="n">
        <f aca="false">IF(G43="","-",G43-F43)</f>
        <v>0</v>
      </c>
      <c r="J43" s="36"/>
      <c r="K43" s="36"/>
      <c r="L43" s="36"/>
    </row>
    <row r="44" customFormat="false" ht="15" hidden="false" customHeight="true" outlineLevel="0" collapsed="false">
      <c r="A44" s="29"/>
      <c r="B44" s="30" t="s">
        <v>91</v>
      </c>
      <c r="C44" s="31"/>
      <c r="D44" s="32" t="n">
        <f aca="false">D43+D20</f>
        <v>2534595.466</v>
      </c>
      <c r="E44" s="32" t="n">
        <f aca="false">E43+E20</f>
        <v>2002293.76</v>
      </c>
      <c r="F44" s="32" t="n">
        <f aca="false">F43+F20</f>
        <v>0</v>
      </c>
      <c r="G44" s="32" t="n">
        <f aca="false">G43+G20</f>
        <v>0</v>
      </c>
      <c r="H44" s="33" t="str">
        <f aca="false">IF(G44="","-",IFERROR(G44/F44-1,"-"))</f>
        <v>-</v>
      </c>
      <c r="I44" s="32" t="n">
        <f aca="false">IF(G44="","-",G44-F44)</f>
        <v>0</v>
      </c>
      <c r="J44" s="36"/>
      <c r="K44" s="36"/>
      <c r="L4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4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true" outlineLevel="0" collapsed="false">
      <c r="A1" s="1" t="s">
        <v>103</v>
      </c>
      <c r="BA1" s="1" t="s">
        <v>104</v>
      </c>
      <c r="BB1" s="1" t="s">
        <v>105</v>
      </c>
    </row>
    <row r="2" customFormat="false" ht="15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106</v>
      </c>
      <c r="E2" s="1" t="s">
        <v>107</v>
      </c>
      <c r="F2" s="1" t="s">
        <v>108</v>
      </c>
      <c r="G2" s="1" t="s">
        <v>109</v>
      </c>
      <c r="H2" s="1" t="s">
        <v>110</v>
      </c>
      <c r="I2" s="1" t="s">
        <v>111</v>
      </c>
      <c r="J2" s="1" t="s">
        <v>112</v>
      </c>
      <c r="K2" s="1" t="s">
        <v>113</v>
      </c>
      <c r="L2" s="1" t="s">
        <v>114</v>
      </c>
      <c r="M2" s="1" t="s">
        <v>115</v>
      </c>
      <c r="N2" s="1" t="s">
        <v>116</v>
      </c>
      <c r="O2" s="1" t="s">
        <v>117</v>
      </c>
      <c r="P2" s="1" t="s">
        <v>118</v>
      </c>
      <c r="Q2" s="1" t="s">
        <v>119</v>
      </c>
      <c r="R2" s="1" t="s">
        <v>120</v>
      </c>
      <c r="S2" s="1" t="s">
        <v>121</v>
      </c>
      <c r="T2" s="1" t="s">
        <v>122</v>
      </c>
      <c r="U2" s="1" t="s">
        <v>123</v>
      </c>
      <c r="V2" s="1" t="s">
        <v>124</v>
      </c>
      <c r="W2" s="1" t="s">
        <v>125</v>
      </c>
      <c r="X2" s="1" t="s">
        <v>126</v>
      </c>
      <c r="Y2" s="1" t="s">
        <v>127</v>
      </c>
      <c r="Z2" s="1" t="s">
        <v>128</v>
      </c>
      <c r="AA2" s="1" t="s">
        <v>129</v>
      </c>
      <c r="AB2" s="1" t="s">
        <v>130</v>
      </c>
      <c r="AC2" s="1" t="s">
        <v>131</v>
      </c>
      <c r="AD2" s="1" t="s">
        <v>132</v>
      </c>
      <c r="AE2" s="1" t="s">
        <v>133</v>
      </c>
      <c r="AF2" s="1" t="s">
        <v>134</v>
      </c>
      <c r="AG2" s="1" t="s">
        <v>135</v>
      </c>
      <c r="AH2" s="1" t="s">
        <v>136</v>
      </c>
      <c r="AI2" s="1" t="s">
        <v>137</v>
      </c>
      <c r="AJ2" s="1" t="s">
        <v>138</v>
      </c>
      <c r="AK2" s="1" t="s">
        <v>139</v>
      </c>
      <c r="AL2" s="1" t="s">
        <v>140</v>
      </c>
      <c r="AM2" s="1" t="s">
        <v>141</v>
      </c>
      <c r="AN2" s="1" t="s">
        <v>142</v>
      </c>
      <c r="AO2" s="1" t="s">
        <v>143</v>
      </c>
      <c r="AP2" s="1" t="s">
        <v>144</v>
      </c>
      <c r="AQ2" s="1" t="s">
        <v>145</v>
      </c>
      <c r="AR2" s="1" t="s">
        <v>146</v>
      </c>
      <c r="AS2" s="1" t="s">
        <v>147</v>
      </c>
      <c r="AT2" s="1" t="s">
        <v>148</v>
      </c>
      <c r="AU2" s="1" t="s">
        <v>149</v>
      </c>
      <c r="AV2" s="1" t="s">
        <v>150</v>
      </c>
      <c r="AW2" s="1" t="s">
        <v>151</v>
      </c>
      <c r="AX2" s="1" t="s">
        <v>152</v>
      </c>
      <c r="AY2" s="1" t="s">
        <v>153</v>
      </c>
      <c r="BA2" s="1" t="n">
        <v>1</v>
      </c>
      <c r="BB2" s="1" t="s">
        <v>154</v>
      </c>
    </row>
    <row r="3" customFormat="false" ht="15" hidden="false" customHeight="true" outlineLevel="0" collapsed="false">
      <c r="A3" s="1" t="s">
        <v>155</v>
      </c>
      <c r="D3" s="1" t="n">
        <v>1</v>
      </c>
      <c r="E3" s="1" t="n">
        <v>2</v>
      </c>
      <c r="F3" s="1" t="n">
        <v>3</v>
      </c>
      <c r="G3" s="1" t="n">
        <v>4</v>
      </c>
      <c r="H3" s="1" t="n">
        <v>5</v>
      </c>
      <c r="I3" s="1" t="n">
        <v>6</v>
      </c>
      <c r="J3" s="1" t="n">
        <v>7</v>
      </c>
      <c r="K3" s="1" t="n">
        <v>8</v>
      </c>
      <c r="L3" s="1" t="n">
        <v>9</v>
      </c>
      <c r="M3" s="1" t="n">
        <v>10</v>
      </c>
      <c r="N3" s="1" t="n">
        <v>11</v>
      </c>
      <c r="O3" s="1" t="n">
        <v>12</v>
      </c>
      <c r="P3" s="1" t="n">
        <v>1</v>
      </c>
      <c r="Q3" s="1" t="n">
        <v>2</v>
      </c>
      <c r="R3" s="1" t="n">
        <v>3</v>
      </c>
      <c r="S3" s="1" t="n">
        <v>4</v>
      </c>
      <c r="T3" s="1" t="n">
        <v>5</v>
      </c>
      <c r="U3" s="1" t="n">
        <v>6</v>
      </c>
      <c r="V3" s="1" t="n">
        <v>7</v>
      </c>
      <c r="W3" s="1" t="n">
        <v>8</v>
      </c>
      <c r="X3" s="1" t="n">
        <v>9</v>
      </c>
      <c r="Y3" s="1" t="n">
        <v>10</v>
      </c>
      <c r="Z3" s="1" t="n">
        <v>11</v>
      </c>
      <c r="AA3" s="1" t="n">
        <v>12</v>
      </c>
      <c r="AB3" s="1" t="n">
        <v>1</v>
      </c>
      <c r="AC3" s="1" t="n">
        <v>2</v>
      </c>
      <c r="AD3" s="1" t="n">
        <v>3</v>
      </c>
      <c r="AE3" s="1" t="n">
        <v>4</v>
      </c>
      <c r="AF3" s="1" t="n">
        <v>5</v>
      </c>
      <c r="AG3" s="1" t="n">
        <v>6</v>
      </c>
      <c r="AH3" s="1" t="n">
        <v>7</v>
      </c>
      <c r="AI3" s="1" t="n">
        <v>8</v>
      </c>
      <c r="AJ3" s="1" t="n">
        <v>9</v>
      </c>
      <c r="AK3" s="1" t="n">
        <v>10</v>
      </c>
      <c r="AL3" s="1" t="n">
        <v>11</v>
      </c>
      <c r="AM3" s="1" t="n">
        <v>12</v>
      </c>
      <c r="AN3" s="1" t="n">
        <v>1</v>
      </c>
      <c r="AO3" s="1" t="n">
        <v>2</v>
      </c>
      <c r="AP3" s="1" t="n">
        <v>3</v>
      </c>
      <c r="AQ3" s="1" t="n">
        <v>4</v>
      </c>
      <c r="AR3" s="1" t="n">
        <v>5</v>
      </c>
      <c r="AS3" s="1" t="n">
        <v>6</v>
      </c>
      <c r="AT3" s="1" t="n">
        <v>7</v>
      </c>
      <c r="AU3" s="1" t="n">
        <v>8</v>
      </c>
      <c r="AV3" s="1" t="n">
        <v>9</v>
      </c>
      <c r="AW3" s="1" t="n">
        <v>10</v>
      </c>
      <c r="AX3" s="1" t="n">
        <v>11</v>
      </c>
      <c r="AY3" s="1" t="n">
        <v>12</v>
      </c>
      <c r="BA3" s="1" t="n">
        <v>2</v>
      </c>
      <c r="BB3" s="1" t="s">
        <v>156</v>
      </c>
    </row>
    <row r="4" customFormat="false" ht="15" hidden="false" customHeight="true" outlineLevel="0" collapsed="false">
      <c r="A4" s="1" t="s">
        <v>157</v>
      </c>
      <c r="D4" s="1" t="n">
        <v>1</v>
      </c>
      <c r="E4" s="1" t="n">
        <v>1</v>
      </c>
      <c r="F4" s="1" t="n">
        <v>1</v>
      </c>
      <c r="G4" s="1" t="n">
        <v>2</v>
      </c>
      <c r="H4" s="1" t="n">
        <v>2</v>
      </c>
      <c r="I4" s="1" t="n">
        <v>2</v>
      </c>
      <c r="J4" s="1" t="n">
        <v>3</v>
      </c>
      <c r="K4" s="1" t="n">
        <v>3</v>
      </c>
      <c r="L4" s="1" t="n">
        <v>3</v>
      </c>
      <c r="M4" s="1" t="n">
        <v>4</v>
      </c>
      <c r="N4" s="1" t="n">
        <v>4</v>
      </c>
      <c r="O4" s="1" t="n">
        <v>4</v>
      </c>
      <c r="P4" s="1" t="n">
        <v>1</v>
      </c>
      <c r="Q4" s="1" t="n">
        <v>1</v>
      </c>
      <c r="R4" s="1" t="n">
        <v>1</v>
      </c>
      <c r="S4" s="1" t="n">
        <v>2</v>
      </c>
      <c r="T4" s="1" t="n">
        <v>2</v>
      </c>
      <c r="U4" s="1" t="n">
        <v>2</v>
      </c>
      <c r="V4" s="1" t="n">
        <v>3</v>
      </c>
      <c r="W4" s="1" t="n">
        <v>3</v>
      </c>
      <c r="X4" s="1" t="n">
        <v>3</v>
      </c>
      <c r="Y4" s="1" t="n">
        <v>4</v>
      </c>
      <c r="Z4" s="1" t="n">
        <v>4</v>
      </c>
      <c r="AA4" s="1" t="n">
        <v>4</v>
      </c>
      <c r="AB4" s="1" t="n">
        <v>1</v>
      </c>
      <c r="AC4" s="1" t="n">
        <v>1</v>
      </c>
      <c r="AD4" s="1" t="n">
        <v>1</v>
      </c>
      <c r="AE4" s="1" t="n">
        <v>2</v>
      </c>
      <c r="AF4" s="1" t="n">
        <v>2</v>
      </c>
      <c r="AG4" s="1" t="n">
        <v>2</v>
      </c>
      <c r="AH4" s="1" t="n">
        <v>3</v>
      </c>
      <c r="AI4" s="1" t="n">
        <v>3</v>
      </c>
      <c r="AJ4" s="1" t="n">
        <v>3</v>
      </c>
      <c r="AK4" s="1" t="n">
        <v>4</v>
      </c>
      <c r="AL4" s="1" t="n">
        <v>4</v>
      </c>
      <c r="AM4" s="1" t="n">
        <v>4</v>
      </c>
      <c r="AN4" s="1" t="n">
        <v>1</v>
      </c>
      <c r="AO4" s="1" t="n">
        <v>1</v>
      </c>
      <c r="AP4" s="1" t="n">
        <v>1</v>
      </c>
      <c r="AQ4" s="1" t="n">
        <v>2</v>
      </c>
      <c r="AR4" s="1" t="n">
        <v>2</v>
      </c>
      <c r="AS4" s="1" t="n">
        <v>2</v>
      </c>
      <c r="AT4" s="1" t="n">
        <v>3</v>
      </c>
      <c r="AU4" s="1" t="n">
        <v>3</v>
      </c>
      <c r="AV4" s="1" t="n">
        <v>3</v>
      </c>
      <c r="AW4" s="1" t="n">
        <v>4</v>
      </c>
      <c r="AX4" s="1" t="n">
        <v>4</v>
      </c>
      <c r="AY4" s="1" t="n">
        <v>4</v>
      </c>
      <c r="BA4" s="1" t="n">
        <v>3</v>
      </c>
      <c r="BB4" s="1" t="s">
        <v>158</v>
      </c>
    </row>
    <row r="5" customFormat="false" ht="15" hidden="false" customHeight="true" outlineLevel="0" collapsed="false">
      <c r="A5" s="41" t="n">
        <f aca="false">'1'!A3</f>
        <v>111</v>
      </c>
      <c r="B5" s="1" t="str">
        <f aca="false">'1'!B3</f>
        <v>סופר פארם לייף</v>
      </c>
      <c r="C5" s="1" t="str">
        <f aca="false">'1'!C3</f>
        <v>ISR</v>
      </c>
      <c r="D5" s="42" t="n">
        <f aca="false">'1'!D3</f>
        <v>-594.08</v>
      </c>
      <c r="E5" s="42" t="n">
        <f aca="false">'2'!D3</f>
        <v>347582.74</v>
      </c>
      <c r="F5" s="42" t="n">
        <f aca="false">'3'!D3</f>
        <v>0</v>
      </c>
      <c r="G5" s="42" t="n">
        <f aca="false">'4'!D3</f>
        <v>263037.5</v>
      </c>
      <c r="H5" s="42" t="n">
        <f aca="false">'5'!D3</f>
        <v>155618.13</v>
      </c>
      <c r="I5" s="42" t="n">
        <f aca="false">'6'!D3</f>
        <v>144633.67</v>
      </c>
      <c r="J5" s="42" t="n">
        <f aca="false">'7'!D3</f>
        <v>214594.9</v>
      </c>
      <c r="K5" s="42" t="n">
        <f aca="false">'8'!D3</f>
        <v>301190.6</v>
      </c>
      <c r="L5" s="42" t="n">
        <f aca="false">'9'!D3</f>
        <v>124776.4</v>
      </c>
      <c r="M5" s="42" t="n">
        <f aca="false">'10'!D3</f>
        <v>0</v>
      </c>
      <c r="N5" s="42" t="n">
        <f aca="false">'11'!D3</f>
        <v>183470.34</v>
      </c>
      <c r="O5" s="42" t="n">
        <f aca="false">'12'!D3</f>
        <v>318421.6</v>
      </c>
      <c r="P5" s="42" t="n">
        <f aca="false">'1'!E3</f>
        <v>58427.8</v>
      </c>
      <c r="Q5" s="42" t="n">
        <f aca="false">'2'!E3</f>
        <v>233209.9</v>
      </c>
      <c r="R5" s="42" t="n">
        <f aca="false">'3'!E3</f>
        <v>66608.1</v>
      </c>
      <c r="S5" s="42" t="n">
        <f aca="false">'4'!E3</f>
        <v>336937.6</v>
      </c>
      <c r="T5" s="42" t="n">
        <f aca="false">'5'!E3</f>
        <v>131634</v>
      </c>
      <c r="U5" s="42" t="n">
        <f aca="false">'6'!E3</f>
        <v>0</v>
      </c>
      <c r="V5" s="42" t="n">
        <f aca="false">'7'!E3</f>
        <v>83088</v>
      </c>
      <c r="W5" s="42" t="n">
        <f aca="false">'8'!E3</f>
        <v>243929.1</v>
      </c>
      <c r="X5" s="42" t="n">
        <f aca="false">'9'!E3</f>
        <v>157587.19</v>
      </c>
      <c r="Y5" s="42" t="n">
        <f aca="false">'10'!E3</f>
        <v>33955.2</v>
      </c>
      <c r="Z5" s="42" t="n">
        <f aca="false">'11'!E3</f>
        <v>265660.9</v>
      </c>
      <c r="AA5" s="42" t="n">
        <f aca="false">'12'!E3</f>
        <v>97619.06</v>
      </c>
      <c r="AB5" s="42" t="n">
        <f aca="false">'1'!F3</f>
        <v>63104</v>
      </c>
      <c r="AC5" s="42" t="n">
        <f aca="false">'2'!F3</f>
        <v>364352.2</v>
      </c>
      <c r="AD5" s="42" t="n">
        <f aca="false">'3'!F3</f>
        <v>123280.14</v>
      </c>
      <c r="AE5" s="42" t="n">
        <f aca="false">'4'!F3</f>
        <v>124575.26</v>
      </c>
      <c r="AF5" s="42" t="n">
        <f aca="false">'5'!F3</f>
        <v>0</v>
      </c>
      <c r="AG5" s="42" t="n">
        <f aca="false">'6'!F3</f>
        <v>65131.7</v>
      </c>
      <c r="AH5" s="42" t="n">
        <f aca="false">'7'!F3</f>
        <v>73969</v>
      </c>
      <c r="AI5" s="42" t="n">
        <f aca="false">'8'!F3</f>
        <v>299421.55</v>
      </c>
      <c r="AJ5" s="42" t="n">
        <f aca="false">'9'!F3</f>
        <v>193941.5</v>
      </c>
      <c r="AK5" s="42" t="n">
        <f aca="false">'10'!F3</f>
        <v>20995.2</v>
      </c>
      <c r="AL5" s="42" t="n">
        <f aca="false">'11'!F3</f>
        <v>0</v>
      </c>
      <c r="AM5" s="42" t="n">
        <f aca="false">'12'!F3</f>
        <v>0</v>
      </c>
      <c r="AN5" s="42" t="n">
        <f aca="false">'1'!G3</f>
        <v>0</v>
      </c>
      <c r="AO5" s="42" t="n">
        <f aca="false">'2'!G3</f>
        <v>0</v>
      </c>
      <c r="AP5" s="42" t="n">
        <f aca="false">'3'!G3</f>
        <v>0</v>
      </c>
      <c r="AQ5" s="42" t="n">
        <f aca="false">'4'!G3</f>
        <v>0</v>
      </c>
      <c r="AR5" s="42" t="n">
        <f aca="false">'5'!G3</f>
        <v>0</v>
      </c>
      <c r="AS5" s="42" t="n">
        <f aca="false">'6'!G3</f>
        <v>0</v>
      </c>
      <c r="AT5" s="42" t="n">
        <f aca="false">'7'!G3</f>
        <v>0</v>
      </c>
      <c r="AU5" s="42" t="n">
        <f aca="false">'8'!G3</f>
        <v>0</v>
      </c>
      <c r="AV5" s="42" t="n">
        <f aca="false">'9'!G3</f>
        <v>0</v>
      </c>
      <c r="AW5" s="42" t="n">
        <f aca="false">'10'!G3</f>
        <v>0</v>
      </c>
      <c r="AX5" s="42" t="n">
        <f aca="false">'11'!G3</f>
        <v>0</v>
      </c>
      <c r="AY5" s="42" t="n">
        <f aca="false">'12'!G3</f>
        <v>0</v>
      </c>
      <c r="BA5" s="1" t="n">
        <v>4</v>
      </c>
      <c r="BB5" s="1" t="s">
        <v>159</v>
      </c>
    </row>
    <row r="6" customFormat="false" ht="15" hidden="false" customHeight="true" outlineLevel="0" collapsed="false">
      <c r="A6" s="41" t="n">
        <f aca="false">'1'!A4</f>
        <v>1</v>
      </c>
      <c r="B6" s="1" t="str">
        <f aca="false">'1'!B4</f>
        <v>סופרפארם</v>
      </c>
      <c r="C6" s="1" t="str">
        <f aca="false">'1'!C4</f>
        <v>ISR</v>
      </c>
      <c r="D6" s="42" t="n">
        <f aca="false">'1'!D4</f>
        <v>452441.08</v>
      </c>
      <c r="E6" s="42" t="n">
        <f aca="false">'2'!D4</f>
        <v>422279.312</v>
      </c>
      <c r="F6" s="42" t="n">
        <f aca="false">'3'!D4</f>
        <v>442108.94</v>
      </c>
      <c r="G6" s="42" t="n">
        <f aca="false">'4'!D4</f>
        <v>473814.796</v>
      </c>
      <c r="H6" s="42" t="n">
        <f aca="false">'5'!D4</f>
        <v>560199.913</v>
      </c>
      <c r="I6" s="42" t="n">
        <f aca="false">'6'!D4</f>
        <v>429114.049</v>
      </c>
      <c r="J6" s="42" t="n">
        <f aca="false">'7'!D4</f>
        <v>502006.141</v>
      </c>
      <c r="K6" s="42" t="n">
        <f aca="false">'8'!D4</f>
        <v>429300.053</v>
      </c>
      <c r="L6" s="42" t="n">
        <f aca="false">'9'!D4</f>
        <v>514559.045</v>
      </c>
      <c r="M6" s="42" t="n">
        <f aca="false">'10'!D4</f>
        <v>403387.075</v>
      </c>
      <c r="N6" s="42" t="n">
        <f aca="false">'11'!D4</f>
        <v>399305.088</v>
      </c>
      <c r="O6" s="42" t="n">
        <f aca="false">'12'!D4</f>
        <v>453775.686</v>
      </c>
      <c r="P6" s="42" t="n">
        <f aca="false">'1'!E4</f>
        <v>670882.199700005</v>
      </c>
      <c r="Q6" s="42" t="n">
        <f aca="false">'2'!E4</f>
        <v>406825.346200003</v>
      </c>
      <c r="R6" s="42" t="n">
        <f aca="false">'3'!E4</f>
        <v>437918.572000002</v>
      </c>
      <c r="S6" s="42" t="n">
        <f aca="false">'4'!E4</f>
        <v>549545.830000007</v>
      </c>
      <c r="T6" s="42" t="n">
        <f aca="false">'5'!E4</f>
        <v>729180.694700011</v>
      </c>
      <c r="U6" s="42" t="n">
        <f aca="false">'6'!E4</f>
        <v>452295.980000005</v>
      </c>
      <c r="V6" s="42" t="n">
        <f aca="false">'7'!E4</f>
        <v>486312.520000005</v>
      </c>
      <c r="W6" s="42" t="n">
        <f aca="false">'8'!E4</f>
        <v>495074.58</v>
      </c>
      <c r="X6" s="42" t="n">
        <f aca="false">'9'!E4</f>
        <v>465794.42</v>
      </c>
      <c r="Y6" s="42" t="n">
        <f aca="false">'10'!E4</f>
        <v>417469.78</v>
      </c>
      <c r="Z6" s="42" t="n">
        <f aca="false">'11'!E4</f>
        <v>507426.01</v>
      </c>
      <c r="AA6" s="42" t="n">
        <f aca="false">'12'!E4</f>
        <v>453051.69</v>
      </c>
      <c r="AB6" s="42" t="n">
        <f aca="false">'1'!F4</f>
        <v>423956.26</v>
      </c>
      <c r="AC6" s="42" t="n">
        <f aca="false">'2'!F4</f>
        <v>469684.033</v>
      </c>
      <c r="AD6" s="42" t="n">
        <f aca="false">'3'!F4</f>
        <v>418342.47</v>
      </c>
      <c r="AE6" s="42" t="n">
        <f aca="false">'4'!F4</f>
        <v>429718.198</v>
      </c>
      <c r="AF6" s="42" t="n">
        <f aca="false">'5'!F4</f>
        <v>498482.53</v>
      </c>
      <c r="AG6" s="42" t="n">
        <f aca="false">'6'!F4</f>
        <v>534754.402</v>
      </c>
      <c r="AH6" s="42" t="n">
        <f aca="false">'7'!F4</f>
        <v>453851.216</v>
      </c>
      <c r="AI6" s="42" t="n">
        <f aca="false">'8'!F4</f>
        <v>588822.689</v>
      </c>
      <c r="AJ6" s="42" t="n">
        <f aca="false">'9'!F4</f>
        <v>413784.462</v>
      </c>
      <c r="AK6" s="42" t="n">
        <f aca="false">'10'!F4</f>
        <v>0</v>
      </c>
      <c r="AL6" s="42" t="n">
        <f aca="false">'11'!F4</f>
        <v>0</v>
      </c>
      <c r="AM6" s="42" t="n">
        <f aca="false">'12'!F4</f>
        <v>0</v>
      </c>
      <c r="AN6" s="42" t="n">
        <f aca="false">'1'!G4</f>
        <v>0</v>
      </c>
      <c r="AO6" s="42" t="n">
        <f aca="false">'2'!G4</f>
        <v>0</v>
      </c>
      <c r="AP6" s="42" t="n">
        <f aca="false">'3'!G4</f>
        <v>0</v>
      </c>
      <c r="AQ6" s="42" t="n">
        <f aca="false">'4'!G4</f>
        <v>0</v>
      </c>
      <c r="AR6" s="42" t="n">
        <f aca="false">'5'!G4</f>
        <v>0</v>
      </c>
      <c r="AS6" s="42" t="n">
        <f aca="false">'6'!G4</f>
        <v>0</v>
      </c>
      <c r="AT6" s="42" t="n">
        <f aca="false">'7'!G4</f>
        <v>0</v>
      </c>
      <c r="AU6" s="42" t="n">
        <f aca="false">'8'!G4</f>
        <v>0</v>
      </c>
      <c r="AV6" s="42" t="n">
        <f aca="false">'9'!G4</f>
        <v>0</v>
      </c>
      <c r="AW6" s="42" t="n">
        <f aca="false">'10'!G4</f>
        <v>0</v>
      </c>
      <c r="AX6" s="42" t="n">
        <f aca="false">'11'!G4</f>
        <v>0</v>
      </c>
      <c r="AY6" s="42" t="n">
        <f aca="false">'12'!G4</f>
        <v>0</v>
      </c>
      <c r="BA6" s="1" t="n">
        <v>5</v>
      </c>
      <c r="BB6" s="1" t="s">
        <v>160</v>
      </c>
    </row>
    <row r="7" customFormat="false" ht="15" hidden="false" customHeight="true" outlineLevel="0" collapsed="false">
      <c r="A7" s="41" t="n">
        <f aca="false">'1'!A5</f>
        <v>2</v>
      </c>
      <c r="B7" s="1" t="str">
        <f aca="false">'1'!B5</f>
        <v>BE</v>
      </c>
      <c r="C7" s="1" t="str">
        <f aca="false">'1'!C5</f>
        <v>ISR</v>
      </c>
      <c r="D7" s="42" t="n">
        <f aca="false">'1'!D5</f>
        <v>63301.42</v>
      </c>
      <c r="E7" s="42" t="n">
        <f aca="false">'2'!D5</f>
        <v>82457.193</v>
      </c>
      <c r="F7" s="42" t="n">
        <f aca="false">'3'!D5</f>
        <v>98496.489</v>
      </c>
      <c r="G7" s="42" t="n">
        <f aca="false">'4'!D5</f>
        <v>100846.291</v>
      </c>
      <c r="H7" s="42" t="n">
        <f aca="false">'5'!D5</f>
        <v>104005.538</v>
      </c>
      <c r="I7" s="42" t="n">
        <f aca="false">'6'!D5</f>
        <v>94683.953</v>
      </c>
      <c r="J7" s="42" t="n">
        <f aca="false">'7'!D5</f>
        <v>95719.442</v>
      </c>
      <c r="K7" s="42" t="n">
        <f aca="false">'8'!D5</f>
        <v>96254.067</v>
      </c>
      <c r="L7" s="42" t="n">
        <f aca="false">'9'!D5</f>
        <v>104489.476</v>
      </c>
      <c r="M7" s="42" t="n">
        <f aca="false">'10'!D5</f>
        <v>80742.389</v>
      </c>
      <c r="N7" s="42" t="n">
        <f aca="false">'11'!D5</f>
        <v>78931.671</v>
      </c>
      <c r="O7" s="42" t="n">
        <f aca="false">'12'!D5</f>
        <v>89875.877</v>
      </c>
      <c r="P7" s="42" t="n">
        <f aca="false">'1'!E5</f>
        <v>54489.89</v>
      </c>
      <c r="Q7" s="42" t="n">
        <f aca="false">'2'!E5</f>
        <v>65962.26</v>
      </c>
      <c r="R7" s="42" t="n">
        <f aca="false">'3'!E5</f>
        <v>58257.29</v>
      </c>
      <c r="S7" s="42" t="n">
        <f aca="false">'4'!E5</f>
        <v>75168</v>
      </c>
      <c r="T7" s="42" t="n">
        <f aca="false">'5'!E5</f>
        <v>80577.77</v>
      </c>
      <c r="U7" s="42" t="n">
        <f aca="false">'6'!E5</f>
        <v>87191.65</v>
      </c>
      <c r="V7" s="42" t="n">
        <f aca="false">'7'!E5</f>
        <v>59921.68</v>
      </c>
      <c r="W7" s="42" t="n">
        <f aca="false">'8'!E5</f>
        <v>73631.74</v>
      </c>
      <c r="X7" s="42" t="n">
        <f aca="false">'9'!E5</f>
        <v>64918.49</v>
      </c>
      <c r="Y7" s="42" t="n">
        <f aca="false">'10'!E5</f>
        <v>61390.42</v>
      </c>
      <c r="Z7" s="42" t="n">
        <f aca="false">'11'!E5</f>
        <v>85930.39</v>
      </c>
      <c r="AA7" s="42" t="n">
        <f aca="false">'12'!E5</f>
        <v>61250.28</v>
      </c>
      <c r="AB7" s="42" t="n">
        <f aca="false">'1'!F5</f>
        <v>67635.75</v>
      </c>
      <c r="AC7" s="42" t="n">
        <f aca="false">'2'!F5</f>
        <v>68397.329</v>
      </c>
      <c r="AD7" s="42" t="n">
        <f aca="false">'3'!F5</f>
        <v>59847.151</v>
      </c>
      <c r="AE7" s="42" t="n">
        <f aca="false">'4'!F5</f>
        <v>83501.964</v>
      </c>
      <c r="AF7" s="42" t="n">
        <f aca="false">'5'!F5</f>
        <v>81328.338</v>
      </c>
      <c r="AG7" s="42" t="n">
        <f aca="false">'6'!F5</f>
        <v>76564.033</v>
      </c>
      <c r="AH7" s="42" t="n">
        <f aca="false">'7'!F5</f>
        <v>72470.216</v>
      </c>
      <c r="AI7" s="42" t="n">
        <f aca="false">'8'!F5</f>
        <v>70518.812</v>
      </c>
      <c r="AJ7" s="42" t="n">
        <f aca="false">'9'!F5</f>
        <v>70795.452</v>
      </c>
      <c r="AK7" s="42" t="n">
        <f aca="false">'10'!F5</f>
        <v>0</v>
      </c>
      <c r="AL7" s="42" t="n">
        <f aca="false">'11'!F5</f>
        <v>0</v>
      </c>
      <c r="AM7" s="42" t="n">
        <f aca="false">'12'!F5</f>
        <v>0</v>
      </c>
      <c r="AN7" s="42" t="n">
        <f aca="false">'1'!G5</f>
        <v>0</v>
      </c>
      <c r="AO7" s="42" t="n">
        <f aca="false">'2'!G5</f>
        <v>0</v>
      </c>
      <c r="AP7" s="42" t="n">
        <f aca="false">'3'!G5</f>
        <v>0</v>
      </c>
      <c r="AQ7" s="42" t="n">
        <f aca="false">'4'!G5</f>
        <v>0</v>
      </c>
      <c r="AR7" s="42" t="n">
        <f aca="false">'5'!G5</f>
        <v>0</v>
      </c>
      <c r="AS7" s="42" t="n">
        <f aca="false">'6'!G5</f>
        <v>0</v>
      </c>
      <c r="AT7" s="42" t="n">
        <f aca="false">'7'!G5</f>
        <v>0</v>
      </c>
      <c r="AU7" s="42" t="n">
        <f aca="false">'8'!G5</f>
        <v>0</v>
      </c>
      <c r="AV7" s="42" t="n">
        <f aca="false">'9'!G5</f>
        <v>0</v>
      </c>
      <c r="AW7" s="42" t="n">
        <f aca="false">'10'!G5</f>
        <v>0</v>
      </c>
      <c r="AX7" s="42" t="n">
        <f aca="false">'11'!G5</f>
        <v>0</v>
      </c>
      <c r="AY7" s="42" t="n">
        <f aca="false">'12'!G5</f>
        <v>0</v>
      </c>
      <c r="BA7" s="1" t="n">
        <v>6</v>
      </c>
      <c r="BB7" s="1" t="s">
        <v>161</v>
      </c>
    </row>
    <row r="8" customFormat="false" ht="15" hidden="false" customHeight="true" outlineLevel="0" collapsed="false">
      <c r="A8" s="41" t="n">
        <f aca="false">'1'!A6</f>
        <v>3</v>
      </c>
      <c r="B8" s="1" t="str">
        <f aca="false">'1'!B6</f>
        <v>בתי מרקחת</v>
      </c>
      <c r="C8" s="1" t="str">
        <f aca="false">'1'!C6</f>
        <v>ISR</v>
      </c>
      <c r="D8" s="42" t="n">
        <f aca="false">'1'!D6</f>
        <v>164714.584</v>
      </c>
      <c r="E8" s="42" t="n">
        <f aca="false">'2'!D6</f>
        <v>163451.946</v>
      </c>
      <c r="F8" s="42" t="n">
        <f aca="false">'3'!D6</f>
        <v>155174.617</v>
      </c>
      <c r="G8" s="42" t="n">
        <f aca="false">'4'!D6</f>
        <v>132554.789</v>
      </c>
      <c r="H8" s="42" t="n">
        <f aca="false">'5'!D6</f>
        <v>211638.805</v>
      </c>
      <c r="I8" s="42" t="n">
        <f aca="false">'6'!D6</f>
        <v>174598.676</v>
      </c>
      <c r="J8" s="42" t="n">
        <f aca="false">'7'!D6</f>
        <v>157377.696</v>
      </c>
      <c r="K8" s="42" t="n">
        <f aca="false">'8'!D6</f>
        <v>112372.337</v>
      </c>
      <c r="L8" s="42" t="n">
        <f aca="false">'9'!D6</f>
        <v>141046.592</v>
      </c>
      <c r="M8" s="42" t="n">
        <f aca="false">'10'!D6</f>
        <v>128887.331</v>
      </c>
      <c r="N8" s="42" t="n">
        <f aca="false">'11'!D6</f>
        <v>144720.944</v>
      </c>
      <c r="O8" s="42" t="n">
        <f aca="false">'12'!D6</f>
        <v>149421.213</v>
      </c>
      <c r="P8" s="42" t="n">
        <f aca="false">'1'!E6</f>
        <v>136160.380299998</v>
      </c>
      <c r="Q8" s="42" t="n">
        <f aca="false">'2'!E6</f>
        <v>133409.823800003</v>
      </c>
      <c r="R8" s="42" t="n">
        <f aca="false">'3'!E6</f>
        <v>153012.03</v>
      </c>
      <c r="S8" s="42" t="n">
        <f aca="false">'4'!E6</f>
        <v>173213.55</v>
      </c>
      <c r="T8" s="42" t="n">
        <f aca="false">'5'!E6</f>
        <v>186515.155300001</v>
      </c>
      <c r="U8" s="42" t="n">
        <f aca="false">'6'!E6</f>
        <v>160476.44</v>
      </c>
      <c r="V8" s="42" t="n">
        <f aca="false">'7'!E6</f>
        <v>221525.16</v>
      </c>
      <c r="W8" s="42" t="n">
        <f aca="false">'8'!E6</f>
        <v>179847.32</v>
      </c>
      <c r="X8" s="42" t="n">
        <f aca="false">'9'!E6</f>
        <v>134403.73</v>
      </c>
      <c r="Y8" s="42" t="n">
        <f aca="false">'10'!E6</f>
        <v>150616.42</v>
      </c>
      <c r="Z8" s="42" t="n">
        <f aca="false">'11'!E6</f>
        <v>167763.05</v>
      </c>
      <c r="AA8" s="42" t="n">
        <f aca="false">'12'!E6</f>
        <v>144058.52</v>
      </c>
      <c r="AB8" s="42" t="n">
        <f aca="false">'1'!F6</f>
        <v>192169.79</v>
      </c>
      <c r="AC8" s="42" t="n">
        <f aca="false">'2'!F6</f>
        <v>140722.24</v>
      </c>
      <c r="AD8" s="42" t="n">
        <f aca="false">'3'!F6</f>
        <v>122676.557</v>
      </c>
      <c r="AE8" s="42" t="n">
        <f aca="false">'4'!F6</f>
        <v>125615.726</v>
      </c>
      <c r="AF8" s="42" t="n">
        <f aca="false">'5'!F6</f>
        <v>148972.084</v>
      </c>
      <c r="AG8" s="42" t="n">
        <f aca="false">'6'!F6</f>
        <v>188367.581</v>
      </c>
      <c r="AH8" s="42" t="n">
        <f aca="false">'7'!F6</f>
        <v>152144.318</v>
      </c>
      <c r="AI8" s="42" t="n">
        <f aca="false">'8'!F6</f>
        <v>160218.084</v>
      </c>
      <c r="AJ8" s="42" t="n">
        <f aca="false">'9'!F6</f>
        <v>178661.465</v>
      </c>
      <c r="AK8" s="42" t="n">
        <f aca="false">'10'!F6</f>
        <v>0</v>
      </c>
      <c r="AL8" s="42" t="n">
        <f aca="false">'11'!F6</f>
        <v>0</v>
      </c>
      <c r="AM8" s="42" t="n">
        <f aca="false">'12'!F6</f>
        <v>0</v>
      </c>
      <c r="AN8" s="42" t="n">
        <f aca="false">'1'!G6</f>
        <v>0</v>
      </c>
      <c r="AO8" s="42" t="n">
        <f aca="false">'2'!G6</f>
        <v>0</v>
      </c>
      <c r="AP8" s="42" t="n">
        <f aca="false">'3'!G6</f>
        <v>0</v>
      </c>
      <c r="AQ8" s="42" t="n">
        <f aca="false">'4'!G6</f>
        <v>0</v>
      </c>
      <c r="AR8" s="42" t="n">
        <f aca="false">'5'!G6</f>
        <v>0</v>
      </c>
      <c r="AS8" s="42" t="n">
        <f aca="false">'6'!G6</f>
        <v>0</v>
      </c>
      <c r="AT8" s="42" t="n">
        <f aca="false">'7'!G6</f>
        <v>0</v>
      </c>
      <c r="AU8" s="42" t="n">
        <f aca="false">'8'!G6</f>
        <v>0</v>
      </c>
      <c r="AV8" s="42" t="n">
        <f aca="false">'9'!G6</f>
        <v>0</v>
      </c>
      <c r="AW8" s="42" t="n">
        <f aca="false">'10'!G6</f>
        <v>0</v>
      </c>
      <c r="AX8" s="42" t="n">
        <f aca="false">'11'!G6</f>
        <v>0</v>
      </c>
      <c r="AY8" s="42" t="n">
        <f aca="false">'12'!G6</f>
        <v>0</v>
      </c>
      <c r="BA8" s="1" t="n">
        <v>7</v>
      </c>
      <c r="BB8" s="1" t="s">
        <v>162</v>
      </c>
    </row>
    <row r="9" customFormat="false" ht="15" hidden="false" customHeight="true" outlineLevel="0" collapsed="false">
      <c r="A9" s="41" t="n">
        <f aca="false">'1'!A7</f>
        <v>112</v>
      </c>
      <c r="B9" s="1" t="str">
        <f aca="false">'1'!B7</f>
        <v>כללית</v>
      </c>
      <c r="C9" s="1" t="str">
        <f aca="false">'1'!C7</f>
        <v>ISR</v>
      </c>
      <c r="D9" s="42" t="n">
        <f aca="false">'1'!D7</f>
        <v>414961</v>
      </c>
      <c r="E9" s="42" t="n">
        <f aca="false">'2'!D7</f>
        <v>385135</v>
      </c>
      <c r="F9" s="42" t="n">
        <f aca="false">'3'!D7</f>
        <v>389673.5</v>
      </c>
      <c r="G9" s="42" t="n">
        <f aca="false">'4'!D7</f>
        <v>244648</v>
      </c>
      <c r="H9" s="42" t="n">
        <f aca="false">'5'!D7</f>
        <v>327442</v>
      </c>
      <c r="I9" s="42" t="n">
        <f aca="false">'6'!D7</f>
        <v>315729.5</v>
      </c>
      <c r="J9" s="42" t="n">
        <f aca="false">'7'!D7</f>
        <v>326042</v>
      </c>
      <c r="K9" s="42" t="n">
        <f aca="false">'8'!D7</f>
        <v>416484</v>
      </c>
      <c r="L9" s="42" t="n">
        <f aca="false">'9'!D7</f>
        <v>309520.8</v>
      </c>
      <c r="M9" s="42" t="n">
        <f aca="false">'10'!D7</f>
        <v>291076</v>
      </c>
      <c r="N9" s="42" t="n">
        <f aca="false">'11'!D7</f>
        <v>319604.5</v>
      </c>
      <c r="O9" s="42" t="n">
        <f aca="false">'12'!D7</f>
        <v>378149.8</v>
      </c>
      <c r="P9" s="42" t="n">
        <f aca="false">'1'!E7</f>
        <v>326467.5</v>
      </c>
      <c r="Q9" s="42" t="n">
        <f aca="false">'2'!E7</f>
        <v>371734.5</v>
      </c>
      <c r="R9" s="42" t="n">
        <f aca="false">'3'!E7</f>
        <v>376182</v>
      </c>
      <c r="S9" s="42" t="n">
        <f aca="false">'4'!E7</f>
        <v>263457</v>
      </c>
      <c r="T9" s="42" t="n">
        <f aca="false">'5'!E7</f>
        <v>307503</v>
      </c>
      <c r="U9" s="42" t="n">
        <f aca="false">'6'!E7</f>
        <v>363201.5</v>
      </c>
      <c r="V9" s="42" t="n">
        <f aca="false">'7'!E7</f>
        <v>329541.7</v>
      </c>
      <c r="W9" s="42" t="n">
        <f aca="false">'8'!E7</f>
        <v>273604.4</v>
      </c>
      <c r="X9" s="42" t="n">
        <f aca="false">'9'!E7</f>
        <v>337200.15</v>
      </c>
      <c r="Y9" s="42" t="n">
        <f aca="false">'10'!E7</f>
        <v>184903.8</v>
      </c>
      <c r="Z9" s="42" t="n">
        <f aca="false">'11'!E7</f>
        <v>308121.37</v>
      </c>
      <c r="AA9" s="42" t="n">
        <f aca="false">'12'!E7</f>
        <v>367699.5</v>
      </c>
      <c r="AB9" s="42" t="n">
        <f aca="false">'1'!F7</f>
        <v>320186.2</v>
      </c>
      <c r="AC9" s="42" t="n">
        <f aca="false">'2'!F7</f>
        <v>299047.35</v>
      </c>
      <c r="AD9" s="42" t="n">
        <f aca="false">'3'!F7</f>
        <v>244180.55</v>
      </c>
      <c r="AE9" s="42" t="n">
        <f aca="false">'4'!F7</f>
        <v>220778.2</v>
      </c>
      <c r="AF9" s="42" t="n">
        <f aca="false">'5'!F7</f>
        <v>318846.8</v>
      </c>
      <c r="AG9" s="42" t="n">
        <f aca="false">'6'!F7</f>
        <v>339371.75</v>
      </c>
      <c r="AH9" s="42" t="n">
        <f aca="false">'7'!F7</f>
        <v>392888.3</v>
      </c>
      <c r="AI9" s="42" t="n">
        <f aca="false">'8'!F7</f>
        <v>295436</v>
      </c>
      <c r="AJ9" s="42" t="n">
        <f aca="false">'9'!F7</f>
        <v>296928.1</v>
      </c>
      <c r="AK9" s="42" t="n">
        <f aca="false">'10'!F7</f>
        <v>0</v>
      </c>
      <c r="AL9" s="42" t="n">
        <f aca="false">'11'!F7</f>
        <v>0</v>
      </c>
      <c r="AM9" s="42" t="n">
        <f aca="false">'12'!F7</f>
        <v>0</v>
      </c>
      <c r="AN9" s="42" t="n">
        <f aca="false">'1'!G7</f>
        <v>0</v>
      </c>
      <c r="AO9" s="42" t="n">
        <f aca="false">'2'!G7</f>
        <v>0</v>
      </c>
      <c r="AP9" s="42" t="n">
        <f aca="false">'3'!G7</f>
        <v>0</v>
      </c>
      <c r="AQ9" s="42" t="n">
        <f aca="false">'4'!G7</f>
        <v>0</v>
      </c>
      <c r="AR9" s="42" t="n">
        <f aca="false">'5'!G7</f>
        <v>0</v>
      </c>
      <c r="AS9" s="42" t="n">
        <f aca="false">'6'!G7</f>
        <v>0</v>
      </c>
      <c r="AT9" s="42" t="n">
        <f aca="false">'7'!G7</f>
        <v>0</v>
      </c>
      <c r="AU9" s="42" t="n">
        <f aca="false">'8'!G7</f>
        <v>0</v>
      </c>
      <c r="AV9" s="42" t="n">
        <f aca="false">'9'!G7</f>
        <v>0</v>
      </c>
      <c r="AW9" s="42" t="n">
        <f aca="false">'10'!G7</f>
        <v>0</v>
      </c>
      <c r="AX9" s="42" t="n">
        <f aca="false">'11'!G7</f>
        <v>0</v>
      </c>
      <c r="AY9" s="42" t="n">
        <f aca="false">'12'!G7</f>
        <v>0</v>
      </c>
      <c r="BA9" s="1" t="n">
        <v>8</v>
      </c>
      <c r="BB9" s="1" t="s">
        <v>163</v>
      </c>
    </row>
    <row r="10" customFormat="false" ht="15" hidden="false" customHeight="true" outlineLevel="0" collapsed="false">
      <c r="A10" s="41" t="n">
        <f aca="false">'1'!A8</f>
        <v>113</v>
      </c>
      <c r="B10" s="1" t="str">
        <f aca="false">'1'!B8</f>
        <v>מאוחדת</v>
      </c>
      <c r="C10" s="1" t="str">
        <f aca="false">'1'!C8</f>
        <v>ISR</v>
      </c>
      <c r="D10" s="42" t="n">
        <f aca="false">'1'!D8</f>
        <v>74817.97</v>
      </c>
      <c r="E10" s="42" t="n">
        <f aca="false">'2'!D8</f>
        <v>91523.03</v>
      </c>
      <c r="F10" s="42" t="n">
        <f aca="false">'3'!D8</f>
        <v>77394.37</v>
      </c>
      <c r="G10" s="42" t="n">
        <f aca="false">'4'!D8</f>
        <v>59971.53</v>
      </c>
      <c r="H10" s="42" t="n">
        <f aca="false">'5'!D8</f>
        <v>65998.04</v>
      </c>
      <c r="I10" s="42" t="n">
        <f aca="false">'6'!D8</f>
        <v>43688.56</v>
      </c>
      <c r="J10" s="42" t="n">
        <f aca="false">'7'!D8</f>
        <v>79041.44</v>
      </c>
      <c r="K10" s="42" t="n">
        <f aca="false">'8'!D8</f>
        <v>64245.4</v>
      </c>
      <c r="L10" s="42" t="n">
        <f aca="false">'9'!D8</f>
        <v>65554.73</v>
      </c>
      <c r="M10" s="42" t="n">
        <f aca="false">'10'!D8</f>
        <v>50225.36</v>
      </c>
      <c r="N10" s="42" t="n">
        <f aca="false">'11'!D8</f>
        <v>57000.57</v>
      </c>
      <c r="O10" s="42" t="n">
        <f aca="false">'12'!D8</f>
        <v>68517.25</v>
      </c>
      <c r="P10" s="42" t="n">
        <f aca="false">'1'!E8</f>
        <v>57834.64</v>
      </c>
      <c r="Q10" s="42" t="n">
        <f aca="false">'2'!E8</f>
        <v>82146.14</v>
      </c>
      <c r="R10" s="42" t="n">
        <f aca="false">'3'!E8</f>
        <v>74502.3</v>
      </c>
      <c r="S10" s="42" t="n">
        <f aca="false">'4'!E8</f>
        <v>62433.13</v>
      </c>
      <c r="T10" s="42" t="n">
        <f aca="false">'5'!E8</f>
        <v>88130.8</v>
      </c>
      <c r="U10" s="42" t="n">
        <f aca="false">'6'!E8</f>
        <v>62616.16</v>
      </c>
      <c r="V10" s="42" t="n">
        <f aca="false">'7'!E8</f>
        <v>95914.88</v>
      </c>
      <c r="W10" s="42" t="n">
        <f aca="false">'8'!E8</f>
        <v>81013.09</v>
      </c>
      <c r="X10" s="42" t="n">
        <f aca="false">'9'!E8</f>
        <v>89206.99</v>
      </c>
      <c r="Y10" s="42" t="n">
        <f aca="false">'10'!E8</f>
        <v>70789.24</v>
      </c>
      <c r="Z10" s="42" t="n">
        <f aca="false">'11'!E8</f>
        <v>68004.57</v>
      </c>
      <c r="AA10" s="42" t="n">
        <f aca="false">'12'!E8</f>
        <v>60034.25</v>
      </c>
      <c r="AB10" s="42" t="n">
        <f aca="false">'1'!F8</f>
        <v>60425.14</v>
      </c>
      <c r="AC10" s="42" t="n">
        <f aca="false">'2'!F8</f>
        <v>59215.28</v>
      </c>
      <c r="AD10" s="42" t="n">
        <f aca="false">'3'!F8</f>
        <v>55389.04</v>
      </c>
      <c r="AE10" s="42" t="n">
        <f aca="false">'4'!F8</f>
        <v>50971.08</v>
      </c>
      <c r="AF10" s="42" t="n">
        <f aca="false">'5'!F8</f>
        <v>47091.772</v>
      </c>
      <c r="AG10" s="42" t="n">
        <f aca="false">'6'!F8</f>
        <v>70005.299</v>
      </c>
      <c r="AH10" s="42" t="n">
        <f aca="false">'7'!F8</f>
        <v>49165.266</v>
      </c>
      <c r="AI10" s="42" t="n">
        <f aca="false">'8'!F8</f>
        <v>73310.601</v>
      </c>
      <c r="AJ10" s="42" t="n">
        <f aca="false">'9'!F8</f>
        <v>54681.263</v>
      </c>
      <c r="AK10" s="42" t="n">
        <f aca="false">'10'!F8</f>
        <v>0</v>
      </c>
      <c r="AL10" s="42" t="n">
        <f aca="false">'11'!F8</f>
        <v>0</v>
      </c>
      <c r="AM10" s="42" t="n">
        <f aca="false">'12'!F8</f>
        <v>0</v>
      </c>
      <c r="AN10" s="42" t="n">
        <f aca="false">'1'!G8</f>
        <v>0</v>
      </c>
      <c r="AO10" s="42" t="n">
        <f aca="false">'2'!G8</f>
        <v>0</v>
      </c>
      <c r="AP10" s="42" t="n">
        <f aca="false">'3'!G8</f>
        <v>0</v>
      </c>
      <c r="AQ10" s="42" t="n">
        <f aca="false">'4'!G8</f>
        <v>0</v>
      </c>
      <c r="AR10" s="42" t="n">
        <f aca="false">'5'!G8</f>
        <v>0</v>
      </c>
      <c r="AS10" s="42" t="n">
        <f aca="false">'6'!G8</f>
        <v>0</v>
      </c>
      <c r="AT10" s="42" t="n">
        <f aca="false">'7'!G8</f>
        <v>0</v>
      </c>
      <c r="AU10" s="42" t="n">
        <f aca="false">'8'!G8</f>
        <v>0</v>
      </c>
      <c r="AV10" s="42" t="n">
        <f aca="false">'9'!G8</f>
        <v>0</v>
      </c>
      <c r="AW10" s="42" t="n">
        <f aca="false">'10'!G8</f>
        <v>0</v>
      </c>
      <c r="AX10" s="42" t="n">
        <f aca="false">'11'!G8</f>
        <v>0</v>
      </c>
      <c r="AY10" s="42" t="n">
        <f aca="false">'12'!G8</f>
        <v>0</v>
      </c>
      <c r="BA10" s="1" t="n">
        <v>9</v>
      </c>
      <c r="BB10" s="1" t="s">
        <v>164</v>
      </c>
    </row>
    <row r="11" customFormat="false" ht="15" hidden="false" customHeight="true" outlineLevel="0" collapsed="false">
      <c r="A11" s="41" t="n">
        <f aca="false">'1'!A9</f>
        <v>4</v>
      </c>
      <c r="B11" s="1" t="str">
        <f aca="false">'1'!B9</f>
        <v>מכבי</v>
      </c>
      <c r="C11" s="1" t="str">
        <f aca="false">'1'!C9</f>
        <v>ISR</v>
      </c>
      <c r="D11" s="42" t="n">
        <f aca="false">'1'!D9</f>
        <v>0</v>
      </c>
      <c r="E11" s="42" t="n">
        <f aca="false">'2'!D9</f>
        <v>0</v>
      </c>
      <c r="F11" s="42" t="n">
        <f aca="false">'3'!D9</f>
        <v>0</v>
      </c>
      <c r="G11" s="42" t="n">
        <f aca="false">'4'!D9</f>
        <v>0</v>
      </c>
      <c r="H11" s="42" t="n">
        <f aca="false">'5'!D9</f>
        <v>0</v>
      </c>
      <c r="I11" s="42" t="n">
        <f aca="false">'6'!D9</f>
        <v>0</v>
      </c>
      <c r="J11" s="42" t="n">
        <f aca="false">'7'!D9</f>
        <v>0</v>
      </c>
      <c r="K11" s="42" t="n">
        <f aca="false">'8'!D9</f>
        <v>0</v>
      </c>
      <c r="L11" s="42" t="n">
        <f aca="false">'9'!D9</f>
        <v>0</v>
      </c>
      <c r="M11" s="42" t="n">
        <f aca="false">'10'!D9</f>
        <v>0</v>
      </c>
      <c r="N11" s="42" t="n">
        <f aca="false">'11'!D9</f>
        <v>0</v>
      </c>
      <c r="O11" s="42" t="n">
        <f aca="false">'12'!D9</f>
        <v>0</v>
      </c>
      <c r="P11" s="42" t="n">
        <f aca="false">'1'!E9</f>
        <v>0</v>
      </c>
      <c r="Q11" s="42" t="n">
        <f aca="false">'2'!E9</f>
        <v>0</v>
      </c>
      <c r="R11" s="42" t="n">
        <f aca="false">'3'!E9</f>
        <v>0</v>
      </c>
      <c r="S11" s="42" t="n">
        <f aca="false">'4'!E9</f>
        <v>0</v>
      </c>
      <c r="T11" s="42" t="n">
        <f aca="false">'5'!E9</f>
        <v>0</v>
      </c>
      <c r="U11" s="42" t="n">
        <f aca="false">'6'!E9</f>
        <v>0</v>
      </c>
      <c r="V11" s="42" t="n">
        <f aca="false">'7'!E9</f>
        <v>0</v>
      </c>
      <c r="W11" s="42" t="n">
        <f aca="false">'8'!E9</f>
        <v>0</v>
      </c>
      <c r="X11" s="42" t="n">
        <f aca="false">'9'!E9</f>
        <v>0</v>
      </c>
      <c r="Y11" s="42" t="n">
        <f aca="false">'10'!E9</f>
        <v>0</v>
      </c>
      <c r="Z11" s="42" t="n">
        <f aca="false">'11'!E9</f>
        <v>0</v>
      </c>
      <c r="AA11" s="42" t="n">
        <f aca="false">'12'!E9</f>
        <v>0</v>
      </c>
      <c r="AB11" s="42" t="n">
        <f aca="false">'1'!F9</f>
        <v>0</v>
      </c>
      <c r="AC11" s="42" t="n">
        <f aca="false">'2'!F9</f>
        <v>0</v>
      </c>
      <c r="AD11" s="42" t="n">
        <f aca="false">'3'!F9</f>
        <v>0</v>
      </c>
      <c r="AE11" s="42" t="n">
        <f aca="false">'4'!F9</f>
        <v>0</v>
      </c>
      <c r="AF11" s="42" t="n">
        <f aca="false">'5'!F9</f>
        <v>0</v>
      </c>
      <c r="AG11" s="42" t="n">
        <f aca="false">'6'!F9</f>
        <v>0</v>
      </c>
      <c r="AH11" s="42" t="n">
        <f aca="false">'7'!F9</f>
        <v>0</v>
      </c>
      <c r="AI11" s="42" t="n">
        <f aca="false">'8'!F9</f>
        <v>0</v>
      </c>
      <c r="AJ11" s="42" t="n">
        <f aca="false">'9'!F9</f>
        <v>0</v>
      </c>
      <c r="AK11" s="42" t="n">
        <f aca="false">'10'!F9</f>
        <v>0</v>
      </c>
      <c r="AL11" s="42" t="n">
        <f aca="false">'11'!F9</f>
        <v>0</v>
      </c>
      <c r="AM11" s="42" t="n">
        <f aca="false">'12'!F9</f>
        <v>0</v>
      </c>
      <c r="AN11" s="42" t="n">
        <f aca="false">'1'!G9</f>
        <v>0</v>
      </c>
      <c r="AO11" s="42" t="n">
        <f aca="false">'2'!G9</f>
        <v>0</v>
      </c>
      <c r="AP11" s="42" t="n">
        <f aca="false">'3'!G9</f>
        <v>0</v>
      </c>
      <c r="AQ11" s="42" t="n">
        <f aca="false">'4'!G9</f>
        <v>0</v>
      </c>
      <c r="AR11" s="42" t="n">
        <f aca="false">'5'!G9</f>
        <v>0</v>
      </c>
      <c r="AS11" s="42" t="n">
        <f aca="false">'6'!G9</f>
        <v>0</v>
      </c>
      <c r="AT11" s="42" t="n">
        <f aca="false">'7'!G9</f>
        <v>0</v>
      </c>
      <c r="AU11" s="42" t="n">
        <f aca="false">'8'!G9</f>
        <v>0</v>
      </c>
      <c r="AV11" s="42" t="n">
        <f aca="false">'9'!G9</f>
        <v>0</v>
      </c>
      <c r="AW11" s="42" t="n">
        <f aca="false">'10'!G9</f>
        <v>0</v>
      </c>
      <c r="AX11" s="42" t="n">
        <f aca="false">'11'!G9</f>
        <v>0</v>
      </c>
      <c r="AY11" s="42" t="n">
        <f aca="false">'12'!G9</f>
        <v>0</v>
      </c>
      <c r="BA11" s="1" t="n">
        <v>10</v>
      </c>
      <c r="BB11" s="1" t="s">
        <v>165</v>
      </c>
    </row>
    <row r="12" customFormat="false" ht="15" hidden="false" customHeight="true" outlineLevel="0" collapsed="false">
      <c r="A12" s="41" t="n">
        <f aca="false">'1'!A10</f>
        <v>102</v>
      </c>
      <c r="B12" s="1" t="str">
        <f aca="false">'1'!B10</f>
        <v>מכוני אורטופדיה</v>
      </c>
      <c r="C12" s="1" t="str">
        <f aca="false">'1'!C10</f>
        <v>ISR</v>
      </c>
      <c r="D12" s="42" t="n">
        <f aca="false">'1'!D10</f>
        <v>91890.1</v>
      </c>
      <c r="E12" s="42" t="n">
        <f aca="false">'2'!D10</f>
        <v>85829.2</v>
      </c>
      <c r="F12" s="42" t="n">
        <f aca="false">'3'!D10</f>
        <v>87247.96</v>
      </c>
      <c r="G12" s="42" t="n">
        <f aca="false">'4'!D10</f>
        <v>69580.43</v>
      </c>
      <c r="H12" s="42" t="n">
        <f aca="false">'5'!D10</f>
        <v>99310.41</v>
      </c>
      <c r="I12" s="42" t="n">
        <f aca="false">'6'!D10</f>
        <v>77555.62</v>
      </c>
      <c r="J12" s="42" t="n">
        <f aca="false">'7'!D10</f>
        <v>76209.32</v>
      </c>
      <c r="K12" s="42" t="n">
        <f aca="false">'8'!D10</f>
        <v>62739.61</v>
      </c>
      <c r="L12" s="42" t="n">
        <f aca="false">'9'!D10</f>
        <v>65856.52</v>
      </c>
      <c r="M12" s="42" t="n">
        <f aca="false">'10'!D10</f>
        <v>56916.24</v>
      </c>
      <c r="N12" s="42" t="n">
        <f aca="false">'11'!D10</f>
        <v>62213.38</v>
      </c>
      <c r="O12" s="42" t="n">
        <f aca="false">'12'!D10</f>
        <v>65670.46</v>
      </c>
      <c r="P12" s="42" t="n">
        <f aca="false">'1'!E10</f>
        <v>72633.3</v>
      </c>
      <c r="Q12" s="42" t="n">
        <f aca="false">'2'!E10</f>
        <v>46378.11</v>
      </c>
      <c r="R12" s="42" t="n">
        <f aca="false">'3'!E10</f>
        <v>65531.82</v>
      </c>
      <c r="S12" s="42" t="n">
        <f aca="false">'4'!E10</f>
        <v>74555.12</v>
      </c>
      <c r="T12" s="42" t="n">
        <f aca="false">'5'!E10</f>
        <v>94846.85</v>
      </c>
      <c r="U12" s="42" t="n">
        <f aca="false">'6'!E10</f>
        <v>63999.64</v>
      </c>
      <c r="V12" s="42" t="n">
        <f aca="false">'7'!E10</f>
        <v>81305.01</v>
      </c>
      <c r="W12" s="42" t="n">
        <f aca="false">'8'!E10</f>
        <v>61998.83</v>
      </c>
      <c r="X12" s="42" t="n">
        <f aca="false">'9'!E10</f>
        <v>69988.58</v>
      </c>
      <c r="Y12" s="42" t="n">
        <f aca="false">'10'!E10</f>
        <v>57765.28</v>
      </c>
      <c r="Z12" s="42" t="n">
        <f aca="false">'11'!E10</f>
        <v>96453.83</v>
      </c>
      <c r="AA12" s="42" t="n">
        <f aca="false">'12'!E10</f>
        <v>69362.57</v>
      </c>
      <c r="AB12" s="42" t="n">
        <f aca="false">'1'!F10</f>
        <v>86618.03</v>
      </c>
      <c r="AC12" s="42" t="n">
        <f aca="false">'2'!F10</f>
        <v>81282.23</v>
      </c>
      <c r="AD12" s="42" t="n">
        <f aca="false">'3'!F10</f>
        <v>48951.14</v>
      </c>
      <c r="AE12" s="42" t="n">
        <f aca="false">'4'!F10</f>
        <v>88526.04</v>
      </c>
      <c r="AF12" s="42" t="n">
        <f aca="false">'5'!F10</f>
        <v>102176.91</v>
      </c>
      <c r="AG12" s="42" t="n">
        <f aca="false">'6'!F10</f>
        <v>67723.22</v>
      </c>
      <c r="AH12" s="42" t="n">
        <f aca="false">'7'!F10</f>
        <v>65635.87</v>
      </c>
      <c r="AI12" s="42" t="n">
        <f aca="false">'8'!F10</f>
        <v>76847.55</v>
      </c>
      <c r="AJ12" s="42" t="n">
        <f aca="false">'9'!F10</f>
        <v>60353.17</v>
      </c>
      <c r="AK12" s="42" t="n">
        <f aca="false">'10'!F10</f>
        <v>0</v>
      </c>
      <c r="AL12" s="42" t="n">
        <f aca="false">'11'!F10</f>
        <v>0</v>
      </c>
      <c r="AM12" s="42" t="n">
        <f aca="false">'12'!F10</f>
        <v>0</v>
      </c>
      <c r="AN12" s="42" t="n">
        <f aca="false">'1'!G10</f>
        <v>0</v>
      </c>
      <c r="AO12" s="42" t="n">
        <f aca="false">'2'!G10</f>
        <v>0</v>
      </c>
      <c r="AP12" s="42" t="n">
        <f aca="false">'3'!G10</f>
        <v>0</v>
      </c>
      <c r="AQ12" s="42" t="n">
        <f aca="false">'4'!G10</f>
        <v>0</v>
      </c>
      <c r="AR12" s="42" t="n">
        <f aca="false">'5'!G10</f>
        <v>0</v>
      </c>
      <c r="AS12" s="42" t="n">
        <f aca="false">'6'!G10</f>
        <v>0</v>
      </c>
      <c r="AT12" s="42" t="n">
        <f aca="false">'7'!G10</f>
        <v>0</v>
      </c>
      <c r="AU12" s="42" t="n">
        <f aca="false">'8'!G10</f>
        <v>0</v>
      </c>
      <c r="AV12" s="42" t="n">
        <f aca="false">'9'!G10</f>
        <v>0</v>
      </c>
      <c r="AW12" s="42" t="n">
        <f aca="false">'10'!G10</f>
        <v>0</v>
      </c>
      <c r="AX12" s="42" t="n">
        <f aca="false">'11'!G10</f>
        <v>0</v>
      </c>
      <c r="AY12" s="42" t="n">
        <f aca="false">'12'!G10</f>
        <v>0</v>
      </c>
      <c r="BA12" s="1" t="n">
        <v>11</v>
      </c>
      <c r="BB12" s="1" t="s">
        <v>166</v>
      </c>
    </row>
    <row r="13" customFormat="false" ht="15" hidden="false" customHeight="true" outlineLevel="0" collapsed="false">
      <c r="A13" s="41" t="n">
        <f aca="false">'1'!A11</f>
        <v>101</v>
      </c>
      <c r="B13" s="1" t="str">
        <f aca="false">'1'!B11</f>
        <v>לקוחות מפעל</v>
      </c>
      <c r="C13" s="1" t="str">
        <f aca="false">'1'!C11</f>
        <v>ISR</v>
      </c>
      <c r="D13" s="42" t="n">
        <f aca="false">'1'!D11</f>
        <v>15878.93</v>
      </c>
      <c r="E13" s="42" t="n">
        <f aca="false">'2'!D11</f>
        <v>11131.68</v>
      </c>
      <c r="F13" s="42" t="n">
        <f aca="false">'3'!D11</f>
        <v>21528.06</v>
      </c>
      <c r="G13" s="42" t="n">
        <f aca="false">'4'!D11</f>
        <v>14571.76</v>
      </c>
      <c r="H13" s="42" t="n">
        <f aca="false">'5'!D11</f>
        <v>16034.44</v>
      </c>
      <c r="I13" s="42" t="n">
        <f aca="false">'6'!D11</f>
        <v>13321.91</v>
      </c>
      <c r="J13" s="42" t="n">
        <f aca="false">'7'!D11</f>
        <v>27532.1</v>
      </c>
      <c r="K13" s="42" t="n">
        <f aca="false">'8'!D11</f>
        <v>18126.58</v>
      </c>
      <c r="L13" s="42" t="n">
        <f aca="false">'9'!D11</f>
        <v>10468.76</v>
      </c>
      <c r="M13" s="42" t="n">
        <f aca="false">'10'!D11</f>
        <v>11253.22</v>
      </c>
      <c r="N13" s="42" t="n">
        <f aca="false">'11'!D11</f>
        <v>10956.17</v>
      </c>
      <c r="O13" s="42" t="n">
        <f aca="false">'12'!D11</f>
        <v>16400.06</v>
      </c>
      <c r="P13" s="42" t="n">
        <f aca="false">'1'!E11</f>
        <v>16402.68</v>
      </c>
      <c r="Q13" s="42" t="n">
        <f aca="false">'2'!E11</f>
        <v>17589.94</v>
      </c>
      <c r="R13" s="42" t="n">
        <f aca="false">'3'!E11</f>
        <v>21300.79</v>
      </c>
      <c r="S13" s="42" t="n">
        <f aca="false">'4'!E11</f>
        <v>15201.7</v>
      </c>
      <c r="T13" s="42" t="n">
        <f aca="false">'5'!E11</f>
        <v>15870.65</v>
      </c>
      <c r="U13" s="42" t="n">
        <f aca="false">'6'!E11</f>
        <v>9192.17</v>
      </c>
      <c r="V13" s="42" t="n">
        <f aca="false">'7'!E11</f>
        <v>10971.32</v>
      </c>
      <c r="W13" s="42" t="n">
        <f aca="false">'8'!E11</f>
        <v>12420.51</v>
      </c>
      <c r="X13" s="42" t="n">
        <f aca="false">'9'!E11</f>
        <v>17490.72</v>
      </c>
      <c r="Y13" s="42" t="n">
        <f aca="false">'10'!E11</f>
        <v>9579</v>
      </c>
      <c r="Z13" s="42" t="n">
        <f aca="false">'11'!E11</f>
        <v>28016.53</v>
      </c>
      <c r="AA13" s="42" t="n">
        <f aca="false">'12'!E11</f>
        <v>11214.5</v>
      </c>
      <c r="AB13" s="42" t="n">
        <f aca="false">'1'!F11</f>
        <v>18073.66</v>
      </c>
      <c r="AC13" s="42" t="n">
        <f aca="false">'2'!F11</f>
        <v>11368.09</v>
      </c>
      <c r="AD13" s="42" t="n">
        <f aca="false">'3'!F11</f>
        <v>6765.24</v>
      </c>
      <c r="AE13" s="42" t="n">
        <f aca="false">'4'!F11</f>
        <v>11923.54</v>
      </c>
      <c r="AF13" s="42" t="n">
        <f aca="false">'5'!F11</f>
        <v>6343.11</v>
      </c>
      <c r="AG13" s="42" t="n">
        <f aca="false">'6'!F11</f>
        <v>6761.44</v>
      </c>
      <c r="AH13" s="42" t="n">
        <f aca="false">'7'!F11</f>
        <v>5105.8</v>
      </c>
      <c r="AI13" s="42" t="n">
        <f aca="false">'8'!F11</f>
        <v>4321.85</v>
      </c>
      <c r="AJ13" s="42" t="n">
        <f aca="false">'9'!F11</f>
        <v>8755.86</v>
      </c>
      <c r="AK13" s="42" t="n">
        <f aca="false">'10'!F11</f>
        <v>0</v>
      </c>
      <c r="AL13" s="42" t="n">
        <f aca="false">'11'!F11</f>
        <v>0</v>
      </c>
      <c r="AM13" s="42" t="n">
        <f aca="false">'12'!F11</f>
        <v>0</v>
      </c>
      <c r="AN13" s="42" t="n">
        <f aca="false">'1'!G11</f>
        <v>0</v>
      </c>
      <c r="AO13" s="42" t="n">
        <f aca="false">'2'!G11</f>
        <v>0</v>
      </c>
      <c r="AP13" s="42" t="n">
        <f aca="false">'3'!G11</f>
        <v>0</v>
      </c>
      <c r="AQ13" s="42" t="n">
        <f aca="false">'4'!G11</f>
        <v>0</v>
      </c>
      <c r="AR13" s="42" t="n">
        <f aca="false">'5'!G11</f>
        <v>0</v>
      </c>
      <c r="AS13" s="42" t="n">
        <f aca="false">'6'!G11</f>
        <v>0</v>
      </c>
      <c r="AT13" s="42" t="n">
        <f aca="false">'7'!G11</f>
        <v>0</v>
      </c>
      <c r="AU13" s="42" t="n">
        <f aca="false">'8'!G11</f>
        <v>0</v>
      </c>
      <c r="AV13" s="42" t="n">
        <f aca="false">'9'!G11</f>
        <v>0</v>
      </c>
      <c r="AW13" s="42" t="n">
        <f aca="false">'10'!G11</f>
        <v>0</v>
      </c>
      <c r="AX13" s="42" t="n">
        <f aca="false">'11'!G11</f>
        <v>0</v>
      </c>
      <c r="AY13" s="42" t="n">
        <f aca="false">'12'!G11</f>
        <v>0</v>
      </c>
      <c r="BA13" s="1" t="n">
        <v>12</v>
      </c>
      <c r="BB13" s="1" t="s">
        <v>2</v>
      </c>
    </row>
    <row r="14" customFormat="false" ht="15" hidden="false" customHeight="true" outlineLevel="0" collapsed="false">
      <c r="A14" s="41" t="n">
        <f aca="false">'1'!A12</f>
        <v>109</v>
      </c>
      <c r="B14" s="1" t="str">
        <f aca="false">'1'!B12</f>
        <v>חנויות פרטיות</v>
      </c>
      <c r="C14" s="1" t="str">
        <f aca="false">'1'!C12</f>
        <v>ISR</v>
      </c>
      <c r="D14" s="42" t="n">
        <f aca="false">'1'!D12</f>
        <v>5667.68</v>
      </c>
      <c r="E14" s="42" t="n">
        <f aca="false">'2'!D12</f>
        <v>0</v>
      </c>
      <c r="F14" s="42" t="n">
        <f aca="false">'3'!D12</f>
        <v>3573.08</v>
      </c>
      <c r="G14" s="42" t="n">
        <f aca="false">'4'!D12</f>
        <v>11309.68</v>
      </c>
      <c r="H14" s="42" t="n">
        <f aca="false">'5'!D12</f>
        <v>1188.66</v>
      </c>
      <c r="I14" s="42" t="n">
        <f aca="false">'6'!D12</f>
        <v>11738.24</v>
      </c>
      <c r="J14" s="42" t="n">
        <f aca="false">'7'!D12</f>
        <v>8417.71</v>
      </c>
      <c r="K14" s="42" t="n">
        <f aca="false">'8'!D12</f>
        <v>8063.63</v>
      </c>
      <c r="L14" s="42" t="n">
        <f aca="false">'9'!D12</f>
        <v>3066.38</v>
      </c>
      <c r="M14" s="42" t="n">
        <f aca="false">'10'!D12</f>
        <v>-1766.36</v>
      </c>
      <c r="N14" s="42" t="n">
        <f aca="false">'11'!D12</f>
        <v>30231.73</v>
      </c>
      <c r="O14" s="42" t="n">
        <f aca="false">'12'!D12</f>
        <v>10713.92</v>
      </c>
      <c r="P14" s="42" t="n">
        <f aca="false">'1'!E12</f>
        <v>6025.5</v>
      </c>
      <c r="Q14" s="42" t="n">
        <f aca="false">'2'!E12</f>
        <v>4045.81</v>
      </c>
      <c r="R14" s="42" t="n">
        <f aca="false">'3'!E12</f>
        <v>11352.51</v>
      </c>
      <c r="S14" s="42" t="n">
        <f aca="false">'4'!E12</f>
        <v>4054.42</v>
      </c>
      <c r="T14" s="42" t="n">
        <f aca="false">'5'!E12</f>
        <v>5871.12</v>
      </c>
      <c r="U14" s="42" t="n">
        <f aca="false">'6'!E12</f>
        <v>4288.26</v>
      </c>
      <c r="V14" s="42" t="n">
        <f aca="false">'7'!E12</f>
        <v>4990.47</v>
      </c>
      <c r="W14" s="42" t="n">
        <f aca="false">'8'!E12</f>
        <v>1459.42</v>
      </c>
      <c r="X14" s="42" t="n">
        <f aca="false">'9'!E12</f>
        <v>4228.87</v>
      </c>
      <c r="Y14" s="42" t="n">
        <f aca="false">'10'!E12</f>
        <v>3274.69</v>
      </c>
      <c r="Z14" s="42" t="n">
        <f aca="false">'11'!E12</f>
        <v>1902.07</v>
      </c>
      <c r="AA14" s="42" t="n">
        <f aca="false">'12'!E12</f>
        <v>5866.58</v>
      </c>
      <c r="AB14" s="42" t="n">
        <f aca="false">'1'!F12</f>
        <v>5894.68</v>
      </c>
      <c r="AC14" s="42" t="n">
        <f aca="false">'2'!F12</f>
        <v>3319.04</v>
      </c>
      <c r="AD14" s="42" t="n">
        <f aca="false">'3'!F12</f>
        <v>3196.2</v>
      </c>
      <c r="AE14" s="42" t="n">
        <f aca="false">'4'!F12</f>
        <v>4956.22</v>
      </c>
      <c r="AF14" s="42" t="n">
        <f aca="false">'5'!F12</f>
        <v>7664.69</v>
      </c>
      <c r="AG14" s="42" t="n">
        <f aca="false">'6'!F12</f>
        <v>8984.58</v>
      </c>
      <c r="AH14" s="42" t="n">
        <f aca="false">'7'!F12</f>
        <v>3863.17</v>
      </c>
      <c r="AI14" s="42" t="n">
        <f aca="false">'8'!F12</f>
        <v>2043.68</v>
      </c>
      <c r="AJ14" s="42" t="n">
        <f aca="false">'9'!F12</f>
        <v>5091.7</v>
      </c>
      <c r="AK14" s="42" t="n">
        <f aca="false">'10'!F12</f>
        <v>0</v>
      </c>
      <c r="AL14" s="42" t="n">
        <f aca="false">'11'!F12</f>
        <v>0</v>
      </c>
      <c r="AM14" s="42" t="n">
        <f aca="false">'12'!F12</f>
        <v>0</v>
      </c>
      <c r="AN14" s="42" t="n">
        <f aca="false">'1'!G12</f>
        <v>0</v>
      </c>
      <c r="AO14" s="42" t="n">
        <f aca="false">'2'!G12</f>
        <v>0</v>
      </c>
      <c r="AP14" s="42" t="n">
        <f aca="false">'3'!G12</f>
        <v>0</v>
      </c>
      <c r="AQ14" s="42" t="n">
        <f aca="false">'4'!G12</f>
        <v>0</v>
      </c>
      <c r="AR14" s="42" t="n">
        <f aca="false">'5'!G12</f>
        <v>0</v>
      </c>
      <c r="AS14" s="42" t="n">
        <f aca="false">'6'!G12</f>
        <v>0</v>
      </c>
      <c r="AT14" s="42" t="n">
        <f aca="false">'7'!G12</f>
        <v>0</v>
      </c>
      <c r="AU14" s="42" t="n">
        <f aca="false">'8'!G12</f>
        <v>0</v>
      </c>
      <c r="AV14" s="42" t="n">
        <f aca="false">'9'!G12</f>
        <v>0</v>
      </c>
      <c r="AW14" s="42" t="n">
        <f aca="false">'10'!G12</f>
        <v>0</v>
      </c>
      <c r="AX14" s="42" t="n">
        <f aca="false">'11'!G12</f>
        <v>0</v>
      </c>
      <c r="AY14" s="42" t="n">
        <f aca="false">'12'!G12</f>
        <v>0</v>
      </c>
    </row>
    <row r="15" customFormat="false" ht="15" hidden="false" customHeight="true" outlineLevel="0" collapsed="false">
      <c r="A15" s="41" t="n">
        <f aca="false">'1'!A13</f>
        <v>105</v>
      </c>
      <c r="B15" s="1" t="str">
        <f aca="false">'1'!B13</f>
        <v>מכוני פדיקור</v>
      </c>
      <c r="C15" s="1" t="str">
        <f aca="false">'1'!C13</f>
        <v>ISR</v>
      </c>
      <c r="D15" s="42" t="n">
        <f aca="false">'1'!D13</f>
        <v>0</v>
      </c>
      <c r="E15" s="42" t="n">
        <f aca="false">'2'!D13</f>
        <v>0</v>
      </c>
      <c r="F15" s="42" t="n">
        <f aca="false">'3'!D13</f>
        <v>0</v>
      </c>
      <c r="G15" s="42" t="n">
        <f aca="false">'4'!D13</f>
        <v>850.4</v>
      </c>
      <c r="H15" s="42" t="n">
        <f aca="false">'5'!D13</f>
        <v>0</v>
      </c>
      <c r="I15" s="42" t="n">
        <f aca="false">'6'!D13</f>
        <v>0</v>
      </c>
      <c r="J15" s="42" t="n">
        <f aca="false">'7'!D13</f>
        <v>679.3</v>
      </c>
      <c r="K15" s="42" t="n">
        <f aca="false">'8'!D13</f>
        <v>0</v>
      </c>
      <c r="L15" s="42" t="n">
        <f aca="false">'9'!D13</f>
        <v>850.4</v>
      </c>
      <c r="M15" s="42" t="n">
        <f aca="false">'10'!D13</f>
        <v>0</v>
      </c>
      <c r="N15" s="42" t="n">
        <f aca="false">'11'!D13</f>
        <v>0</v>
      </c>
      <c r="O15" s="42" t="n">
        <f aca="false">'12'!D13</f>
        <v>850.4</v>
      </c>
      <c r="P15" s="42" t="n">
        <f aca="false">'1'!E13</f>
        <v>1162.85</v>
      </c>
      <c r="Q15" s="42" t="n">
        <f aca="false">'2'!E13</f>
        <v>569.45</v>
      </c>
      <c r="R15" s="42" t="n">
        <f aca="false">'3'!E13</f>
        <v>0</v>
      </c>
      <c r="S15" s="42" t="n">
        <f aca="false">'4'!E13</f>
        <v>0</v>
      </c>
      <c r="T15" s="42" t="n">
        <f aca="false">'5'!E13</f>
        <v>0</v>
      </c>
      <c r="U15" s="42" t="n">
        <f aca="false">'6'!E13</f>
        <v>1244.84</v>
      </c>
      <c r="V15" s="42" t="n">
        <f aca="false">'7'!E13</f>
        <v>0</v>
      </c>
      <c r="W15" s="42" t="n">
        <f aca="false">'8'!E13</f>
        <v>0</v>
      </c>
      <c r="X15" s="42" t="n">
        <f aca="false">'9'!E13</f>
        <v>0</v>
      </c>
      <c r="Y15" s="42" t="n">
        <f aca="false">'10'!E13</f>
        <v>669.74</v>
      </c>
      <c r="Z15" s="42" t="n">
        <f aca="false">'11'!E13</f>
        <v>498.8</v>
      </c>
      <c r="AA15" s="42" t="n">
        <f aca="false">'12'!E13</f>
        <v>0</v>
      </c>
      <c r="AB15" s="42" t="n">
        <f aca="false">'1'!F13</f>
        <v>810.6</v>
      </c>
      <c r="AC15" s="42" t="n">
        <f aca="false">'2'!F13</f>
        <v>0</v>
      </c>
      <c r="AD15" s="42" t="n">
        <f aca="false">'3'!F13</f>
        <v>1106.56</v>
      </c>
      <c r="AE15" s="42" t="n">
        <f aca="false">'4'!F13</f>
        <v>0</v>
      </c>
      <c r="AF15" s="42" t="n">
        <f aca="false">'5'!F13</f>
        <v>0</v>
      </c>
      <c r="AG15" s="42" t="n">
        <f aca="false">'6'!F13</f>
        <v>1658.99</v>
      </c>
      <c r="AH15" s="42" t="n">
        <f aca="false">'7'!F13</f>
        <v>0</v>
      </c>
      <c r="AI15" s="42" t="n">
        <f aca="false">'8'!F13</f>
        <v>728.87</v>
      </c>
      <c r="AJ15" s="42" t="n">
        <f aca="false">'9'!F13</f>
        <v>0</v>
      </c>
      <c r="AK15" s="42" t="n">
        <f aca="false">'10'!F13</f>
        <v>0</v>
      </c>
      <c r="AL15" s="42" t="n">
        <f aca="false">'11'!F13</f>
        <v>0</v>
      </c>
      <c r="AM15" s="42" t="n">
        <f aca="false">'12'!F13</f>
        <v>0</v>
      </c>
      <c r="AN15" s="42" t="n">
        <f aca="false">'1'!G13</f>
        <v>0</v>
      </c>
      <c r="AO15" s="42" t="n">
        <f aca="false">'2'!G13</f>
        <v>0</v>
      </c>
      <c r="AP15" s="42" t="n">
        <f aca="false">'3'!G13</f>
        <v>0</v>
      </c>
      <c r="AQ15" s="42" t="n">
        <f aca="false">'4'!G13</f>
        <v>0</v>
      </c>
      <c r="AR15" s="42" t="n">
        <f aca="false">'5'!G13</f>
        <v>0</v>
      </c>
      <c r="AS15" s="42" t="n">
        <f aca="false">'6'!G13</f>
        <v>0</v>
      </c>
      <c r="AT15" s="42" t="n">
        <f aca="false">'7'!G13</f>
        <v>0</v>
      </c>
      <c r="AU15" s="42" t="n">
        <f aca="false">'8'!G13</f>
        <v>0</v>
      </c>
      <c r="AV15" s="42" t="n">
        <f aca="false">'9'!G13</f>
        <v>0</v>
      </c>
      <c r="AW15" s="42" t="n">
        <f aca="false">'10'!G13</f>
        <v>0</v>
      </c>
      <c r="AX15" s="42" t="n">
        <f aca="false">'11'!G13</f>
        <v>0</v>
      </c>
      <c r="AY15" s="42" t="n">
        <f aca="false">'12'!G13</f>
        <v>0</v>
      </c>
    </row>
    <row r="16" customFormat="false" ht="15" hidden="false" customHeight="true" outlineLevel="0" collapsed="false">
      <c r="A16" s="41" t="n">
        <f aca="false">'1'!A14</f>
        <v>104</v>
      </c>
      <c r="B16" s="1" t="str">
        <f aca="false">'1'!B14</f>
        <v>חנויות נעליים</v>
      </c>
      <c r="C16" s="1" t="str">
        <f aca="false">'1'!C14</f>
        <v>ISR</v>
      </c>
      <c r="D16" s="42" t="n">
        <f aca="false">'1'!D14</f>
        <v>0</v>
      </c>
      <c r="E16" s="42" t="n">
        <f aca="false">'2'!D14</f>
        <v>0</v>
      </c>
      <c r="F16" s="42" t="n">
        <f aca="false">'3'!D14</f>
        <v>0</v>
      </c>
      <c r="G16" s="42" t="n">
        <f aca="false">'4'!D14</f>
        <v>0</v>
      </c>
      <c r="H16" s="42" t="n">
        <f aca="false">'5'!D14</f>
        <v>1597.46</v>
      </c>
      <c r="I16" s="42" t="n">
        <f aca="false">'6'!D14</f>
        <v>0</v>
      </c>
      <c r="J16" s="42" t="n">
        <f aca="false">'7'!D14</f>
        <v>0</v>
      </c>
      <c r="K16" s="42" t="n">
        <f aca="false">'8'!D14</f>
        <v>0</v>
      </c>
      <c r="L16" s="42" t="n">
        <f aca="false">'9'!D14</f>
        <v>0</v>
      </c>
      <c r="M16" s="42" t="n">
        <f aca="false">'10'!D14</f>
        <v>0</v>
      </c>
      <c r="N16" s="42" t="n">
        <f aca="false">'11'!D14</f>
        <v>0</v>
      </c>
      <c r="O16" s="42" t="n">
        <f aca="false">'12'!D14</f>
        <v>-14.28</v>
      </c>
      <c r="P16" s="42" t="n">
        <f aca="false">'1'!E14</f>
        <v>0</v>
      </c>
      <c r="Q16" s="42" t="n">
        <f aca="false">'2'!E14</f>
        <v>0</v>
      </c>
      <c r="R16" s="42" t="n">
        <f aca="false">'3'!E14</f>
        <v>0</v>
      </c>
      <c r="S16" s="42" t="n">
        <f aca="false">'4'!E14</f>
        <v>0</v>
      </c>
      <c r="T16" s="42" t="n">
        <f aca="false">'5'!E14</f>
        <v>0</v>
      </c>
      <c r="U16" s="42" t="n">
        <f aca="false">'6'!E14</f>
        <v>0</v>
      </c>
      <c r="V16" s="42" t="n">
        <f aca="false">'7'!E14</f>
        <v>0</v>
      </c>
      <c r="W16" s="42" t="n">
        <f aca="false">'8'!E14</f>
        <v>0</v>
      </c>
      <c r="X16" s="42" t="n">
        <f aca="false">'9'!E14</f>
        <v>0</v>
      </c>
      <c r="Y16" s="42" t="n">
        <f aca="false">'10'!E14</f>
        <v>514.2</v>
      </c>
      <c r="Z16" s="42" t="n">
        <f aca="false">'11'!E14</f>
        <v>0</v>
      </c>
      <c r="AA16" s="42" t="n">
        <f aca="false">'12'!E14</f>
        <v>0</v>
      </c>
      <c r="AB16" s="42" t="n">
        <f aca="false">'1'!F14</f>
        <v>0</v>
      </c>
      <c r="AC16" s="42" t="n">
        <f aca="false">'2'!F14</f>
        <v>0</v>
      </c>
      <c r="AD16" s="42" t="n">
        <f aca="false">'3'!F14</f>
        <v>0</v>
      </c>
      <c r="AE16" s="42" t="n">
        <f aca="false">'4'!F14</f>
        <v>0</v>
      </c>
      <c r="AF16" s="42" t="n">
        <f aca="false">'5'!F14</f>
        <v>1896.82</v>
      </c>
      <c r="AG16" s="42" t="n">
        <f aca="false">'6'!F14</f>
        <v>0</v>
      </c>
      <c r="AH16" s="42" t="n">
        <f aca="false">'7'!F14</f>
        <v>0</v>
      </c>
      <c r="AI16" s="42" t="n">
        <f aca="false">'8'!F14</f>
        <v>0</v>
      </c>
      <c r="AJ16" s="42" t="n">
        <f aca="false">'9'!F14</f>
        <v>0</v>
      </c>
      <c r="AK16" s="42" t="n">
        <f aca="false">'10'!F14</f>
        <v>0</v>
      </c>
      <c r="AL16" s="42" t="n">
        <f aca="false">'11'!F14</f>
        <v>0</v>
      </c>
      <c r="AM16" s="42" t="n">
        <f aca="false">'12'!F14</f>
        <v>0</v>
      </c>
      <c r="AN16" s="42" t="n">
        <f aca="false">'1'!G14</f>
        <v>0</v>
      </c>
      <c r="AO16" s="42" t="n">
        <f aca="false">'2'!G14</f>
        <v>0</v>
      </c>
      <c r="AP16" s="42" t="n">
        <f aca="false">'3'!G14</f>
        <v>0</v>
      </c>
      <c r="AQ16" s="42" t="n">
        <f aca="false">'4'!G14</f>
        <v>0</v>
      </c>
      <c r="AR16" s="42" t="n">
        <f aca="false">'5'!G14</f>
        <v>0</v>
      </c>
      <c r="AS16" s="42" t="n">
        <f aca="false">'6'!G14</f>
        <v>0</v>
      </c>
      <c r="AT16" s="42" t="n">
        <f aca="false">'7'!G14</f>
        <v>0</v>
      </c>
      <c r="AU16" s="42" t="n">
        <f aca="false">'8'!G14</f>
        <v>0</v>
      </c>
      <c r="AV16" s="42" t="n">
        <f aca="false">'9'!G14</f>
        <v>0</v>
      </c>
      <c r="AW16" s="42" t="n">
        <f aca="false">'10'!G14</f>
        <v>0</v>
      </c>
      <c r="AX16" s="42" t="n">
        <f aca="false">'11'!G14</f>
        <v>0</v>
      </c>
      <c r="AY16" s="42" t="n">
        <f aca="false">'12'!G14</f>
        <v>0</v>
      </c>
    </row>
    <row r="17" customFormat="false" ht="15" hidden="false" customHeight="true" outlineLevel="0" collapsed="false">
      <c r="A17" s="41" t="n">
        <f aca="false">'1'!A15</f>
        <v>106</v>
      </c>
      <c r="B17" s="1" t="str">
        <f aca="false">'1'!B15</f>
        <v>בתי חולים ושרות</v>
      </c>
      <c r="C17" s="1" t="str">
        <f aca="false">'1'!C15</f>
        <v>ISR</v>
      </c>
      <c r="D17" s="42" t="n">
        <f aca="false">'1'!D15</f>
        <v>0</v>
      </c>
      <c r="E17" s="42" t="n">
        <f aca="false">'2'!D15</f>
        <v>0</v>
      </c>
      <c r="F17" s="42" t="n">
        <f aca="false">'3'!D15</f>
        <v>1275.21</v>
      </c>
      <c r="G17" s="42" t="n">
        <f aca="false">'4'!D15</f>
        <v>0</v>
      </c>
      <c r="H17" s="42" t="n">
        <f aca="false">'5'!D15</f>
        <v>0</v>
      </c>
      <c r="I17" s="42" t="n">
        <f aca="false">'6'!D15</f>
        <v>4579.64</v>
      </c>
      <c r="J17" s="42" t="n">
        <f aca="false">'7'!D15</f>
        <v>0</v>
      </c>
      <c r="K17" s="42" t="n">
        <f aca="false">'8'!D15</f>
        <v>0</v>
      </c>
      <c r="L17" s="42" t="n">
        <f aca="false">'9'!D15</f>
        <v>0</v>
      </c>
      <c r="M17" s="42" t="n">
        <f aca="false">'10'!D15</f>
        <v>507.08</v>
      </c>
      <c r="N17" s="42" t="n">
        <f aca="false">'11'!D15</f>
        <v>695.57</v>
      </c>
      <c r="O17" s="42" t="n">
        <f aca="false">'12'!D15</f>
        <v>2520</v>
      </c>
      <c r="P17" s="42" t="n">
        <f aca="false">'1'!E15</f>
        <v>0</v>
      </c>
      <c r="Q17" s="42" t="n">
        <f aca="false">'2'!E15</f>
        <v>11067.51</v>
      </c>
      <c r="R17" s="42" t="n">
        <f aca="false">'3'!E15</f>
        <v>0</v>
      </c>
      <c r="S17" s="42" t="n">
        <f aca="false">'4'!E15</f>
        <v>0</v>
      </c>
      <c r="T17" s="42" t="n">
        <f aca="false">'5'!E15</f>
        <v>0</v>
      </c>
      <c r="U17" s="42" t="n">
        <f aca="false">'6'!E15</f>
        <v>0</v>
      </c>
      <c r="V17" s="42" t="n">
        <f aca="false">'7'!E15</f>
        <v>651.15</v>
      </c>
      <c r="W17" s="42" t="n">
        <f aca="false">'8'!E15</f>
        <v>0</v>
      </c>
      <c r="X17" s="42" t="n">
        <f aca="false">'9'!E15</f>
        <v>0</v>
      </c>
      <c r="Y17" s="42" t="n">
        <f aca="false">'10'!E15</f>
        <v>0</v>
      </c>
      <c r="Z17" s="42" t="n">
        <f aca="false">'11'!E15</f>
        <v>0</v>
      </c>
      <c r="AA17" s="42" t="n">
        <f aca="false">'12'!E15</f>
        <v>1813.57</v>
      </c>
      <c r="AB17" s="42" t="n">
        <f aca="false">'1'!F15</f>
        <v>2523.6</v>
      </c>
      <c r="AC17" s="42" t="n">
        <f aca="false">'2'!F15</f>
        <v>947.38</v>
      </c>
      <c r="AD17" s="42" t="n">
        <f aca="false">'3'!F15</f>
        <v>0</v>
      </c>
      <c r="AE17" s="42" t="n">
        <f aca="false">'4'!F15</f>
        <v>847.74</v>
      </c>
      <c r="AF17" s="42" t="n">
        <f aca="false">'5'!F15</f>
        <v>3430</v>
      </c>
      <c r="AG17" s="42" t="n">
        <f aca="false">'6'!F15</f>
        <v>0</v>
      </c>
      <c r="AH17" s="42" t="n">
        <f aca="false">'7'!F15</f>
        <v>478.2</v>
      </c>
      <c r="AI17" s="42" t="n">
        <f aca="false">'8'!F15</f>
        <v>0</v>
      </c>
      <c r="AJ17" s="42" t="n">
        <f aca="false">'9'!F15</f>
        <v>6726.56</v>
      </c>
      <c r="AK17" s="42" t="n">
        <f aca="false">'10'!F15</f>
        <v>0</v>
      </c>
      <c r="AL17" s="42" t="n">
        <f aca="false">'11'!F15</f>
        <v>0</v>
      </c>
      <c r="AM17" s="42" t="n">
        <f aca="false">'12'!F15</f>
        <v>0</v>
      </c>
      <c r="AN17" s="42" t="n">
        <f aca="false">'1'!G15</f>
        <v>0</v>
      </c>
      <c r="AO17" s="42" t="n">
        <f aca="false">'2'!G15</f>
        <v>0</v>
      </c>
      <c r="AP17" s="42" t="n">
        <f aca="false">'3'!G15</f>
        <v>0</v>
      </c>
      <c r="AQ17" s="42" t="n">
        <f aca="false">'4'!G15</f>
        <v>0</v>
      </c>
      <c r="AR17" s="42" t="n">
        <f aca="false">'5'!G15</f>
        <v>0</v>
      </c>
      <c r="AS17" s="42" t="n">
        <f aca="false">'6'!G15</f>
        <v>0</v>
      </c>
      <c r="AT17" s="42" t="n">
        <f aca="false">'7'!G15</f>
        <v>0</v>
      </c>
      <c r="AU17" s="42" t="n">
        <f aca="false">'8'!G15</f>
        <v>0</v>
      </c>
      <c r="AV17" s="42" t="n">
        <f aca="false">'9'!G15</f>
        <v>0</v>
      </c>
      <c r="AW17" s="42" t="n">
        <f aca="false">'10'!G15</f>
        <v>0</v>
      </c>
      <c r="AX17" s="42" t="n">
        <f aca="false">'11'!G15</f>
        <v>0</v>
      </c>
      <c r="AY17" s="42" t="n">
        <f aca="false">'12'!G15</f>
        <v>0</v>
      </c>
    </row>
    <row r="18" customFormat="false" ht="15" hidden="false" customHeight="true" outlineLevel="0" collapsed="false">
      <c r="A18" s="41" t="n">
        <f aca="false">'1'!A16</f>
        <v>103</v>
      </c>
      <c r="B18" s="1" t="str">
        <f aca="false">'1'!B16</f>
        <v>מכוני פיזיותרפיה</v>
      </c>
      <c r="C18" s="1" t="str">
        <f aca="false">'1'!C16</f>
        <v>ISR</v>
      </c>
      <c r="D18" s="42" t="n">
        <f aca="false">'1'!D16</f>
        <v>4135.49</v>
      </c>
      <c r="E18" s="42" t="n">
        <f aca="false">'2'!D16</f>
        <v>8592.99</v>
      </c>
      <c r="F18" s="42" t="n">
        <f aca="false">'3'!D16</f>
        <v>7451.5</v>
      </c>
      <c r="G18" s="42" t="n">
        <f aca="false">'4'!D16</f>
        <v>3314.43</v>
      </c>
      <c r="H18" s="42" t="n">
        <f aca="false">'5'!D16</f>
        <v>3187.34</v>
      </c>
      <c r="I18" s="42" t="n">
        <f aca="false">'6'!D16</f>
        <v>5235.63</v>
      </c>
      <c r="J18" s="42" t="n">
        <f aca="false">'7'!D16</f>
        <v>16671.18</v>
      </c>
      <c r="K18" s="42" t="n">
        <f aca="false">'8'!D16</f>
        <v>6797.75</v>
      </c>
      <c r="L18" s="42" t="n">
        <f aca="false">'9'!D16</f>
        <v>5902.85</v>
      </c>
      <c r="M18" s="42" t="n">
        <f aca="false">'10'!D16</f>
        <v>2059.32</v>
      </c>
      <c r="N18" s="42" t="n">
        <f aca="false">'11'!D16</f>
        <v>5017.43</v>
      </c>
      <c r="O18" s="42" t="n">
        <f aca="false">'12'!D16</f>
        <v>4549.9</v>
      </c>
      <c r="P18" s="42" t="n">
        <f aca="false">'1'!E16</f>
        <v>15213.91</v>
      </c>
      <c r="Q18" s="42" t="n">
        <f aca="false">'2'!E16</f>
        <v>12501.56</v>
      </c>
      <c r="R18" s="42" t="n">
        <f aca="false">'3'!E16</f>
        <v>2138.43</v>
      </c>
      <c r="S18" s="42" t="n">
        <f aca="false">'4'!E16</f>
        <v>5898.37</v>
      </c>
      <c r="T18" s="42" t="n">
        <f aca="false">'5'!E16</f>
        <v>707.660000000001</v>
      </c>
      <c r="U18" s="42" t="n">
        <f aca="false">'6'!E16</f>
        <v>17697.58</v>
      </c>
      <c r="V18" s="42" t="n">
        <f aca="false">'7'!E16</f>
        <v>7828.72</v>
      </c>
      <c r="W18" s="42" t="n">
        <f aca="false">'8'!E16</f>
        <v>5704.97</v>
      </c>
      <c r="X18" s="42" t="n">
        <f aca="false">'9'!E16</f>
        <v>9679.47</v>
      </c>
      <c r="Y18" s="42" t="n">
        <f aca="false">'10'!E16</f>
        <v>4038.81</v>
      </c>
      <c r="Z18" s="42" t="n">
        <f aca="false">'11'!E16</f>
        <v>12930.62</v>
      </c>
      <c r="AA18" s="42" t="n">
        <f aca="false">'12'!E16</f>
        <v>361.5</v>
      </c>
      <c r="AB18" s="42" t="n">
        <f aca="false">'1'!F16</f>
        <v>11467.92</v>
      </c>
      <c r="AC18" s="42" t="n">
        <f aca="false">'2'!F16</f>
        <v>15269.72</v>
      </c>
      <c r="AD18" s="42" t="n">
        <f aca="false">'3'!F16</f>
        <v>6672.87</v>
      </c>
      <c r="AE18" s="42" t="n">
        <f aca="false">'4'!F16</f>
        <v>33906.96</v>
      </c>
      <c r="AF18" s="42" t="n">
        <f aca="false">'5'!F16</f>
        <v>6150.22</v>
      </c>
      <c r="AG18" s="42" t="n">
        <f aca="false">'6'!F16</f>
        <v>15643.41</v>
      </c>
      <c r="AH18" s="42" t="n">
        <f aca="false">'7'!F16</f>
        <v>10025.73</v>
      </c>
      <c r="AI18" s="42" t="n">
        <f aca="false">'8'!F16</f>
        <v>10118.69</v>
      </c>
      <c r="AJ18" s="42" t="n">
        <f aca="false">'9'!F16</f>
        <v>9421.74</v>
      </c>
      <c r="AK18" s="42" t="n">
        <f aca="false">'10'!F16</f>
        <v>0</v>
      </c>
      <c r="AL18" s="42" t="n">
        <f aca="false">'11'!F16</f>
        <v>0</v>
      </c>
      <c r="AM18" s="42" t="n">
        <f aca="false">'12'!F16</f>
        <v>0</v>
      </c>
      <c r="AN18" s="42" t="n">
        <f aca="false">'1'!G16</f>
        <v>0</v>
      </c>
      <c r="AO18" s="42" t="n">
        <f aca="false">'2'!G16</f>
        <v>0</v>
      </c>
      <c r="AP18" s="42" t="n">
        <f aca="false">'3'!G16</f>
        <v>0</v>
      </c>
      <c r="AQ18" s="42" t="n">
        <f aca="false">'4'!G16</f>
        <v>0</v>
      </c>
      <c r="AR18" s="42" t="n">
        <f aca="false">'5'!G16</f>
        <v>0</v>
      </c>
      <c r="AS18" s="42" t="n">
        <f aca="false">'6'!G16</f>
        <v>0</v>
      </c>
      <c r="AT18" s="42" t="n">
        <f aca="false">'7'!G16</f>
        <v>0</v>
      </c>
      <c r="AU18" s="42" t="n">
        <f aca="false">'8'!G16</f>
        <v>0</v>
      </c>
      <c r="AV18" s="42" t="n">
        <f aca="false">'9'!G16</f>
        <v>0</v>
      </c>
      <c r="AW18" s="42" t="n">
        <f aca="false">'10'!G16</f>
        <v>0</v>
      </c>
      <c r="AX18" s="42" t="n">
        <f aca="false">'11'!G16</f>
        <v>0</v>
      </c>
      <c r="AY18" s="42" t="n">
        <f aca="false">'12'!G16</f>
        <v>0</v>
      </c>
    </row>
    <row r="19" customFormat="false" ht="15" hidden="false" customHeight="true" outlineLevel="0" collapsed="false">
      <c r="A19" s="41" t="n">
        <f aca="false">'1'!A18</f>
        <v>114</v>
      </c>
      <c r="B19" s="1" t="str">
        <f aca="false">'1'!B18</f>
        <v>לקוחות אינטרנט</v>
      </c>
      <c r="C19" s="1" t="str">
        <f aca="false">'1'!C18</f>
        <v>ISR</v>
      </c>
      <c r="D19" s="42" t="n">
        <f aca="false">'1'!D18</f>
        <v>42663.04</v>
      </c>
      <c r="E19" s="42" t="n">
        <f aca="false">'2'!D18</f>
        <v>40630.42</v>
      </c>
      <c r="F19" s="42" t="n">
        <f aca="false">'3'!D18</f>
        <v>45122.89</v>
      </c>
      <c r="G19" s="42" t="n">
        <f aca="false">'4'!D18</f>
        <v>43476.43</v>
      </c>
      <c r="H19" s="42" t="n">
        <f aca="false">'5'!D18</f>
        <v>49304.7</v>
      </c>
      <c r="I19" s="42" t="n">
        <f aca="false">'6'!D18</f>
        <v>52569.54</v>
      </c>
      <c r="J19" s="42" t="n">
        <f aca="false">'7'!D18</f>
        <v>56033.8100000001</v>
      </c>
      <c r="K19" s="42" t="n">
        <f aca="false">'8'!D18</f>
        <v>43626.89</v>
      </c>
      <c r="L19" s="42" t="n">
        <f aca="false">'9'!D18</f>
        <v>56193.1900000001</v>
      </c>
      <c r="M19" s="42" t="n">
        <f aca="false">'10'!D18</f>
        <v>71675.5700000002</v>
      </c>
      <c r="N19" s="42" t="n">
        <f aca="false">'11'!D18</f>
        <v>87038.7499999997</v>
      </c>
      <c r="O19" s="42" t="n">
        <f aca="false">'12'!D18</f>
        <v>95223.2699999995</v>
      </c>
      <c r="P19" s="42" t="n">
        <f aca="false">'1'!E18</f>
        <v>92988.1699999996</v>
      </c>
      <c r="Q19" s="42" t="n">
        <f aca="false">'2'!E18</f>
        <v>97231.1799999998</v>
      </c>
      <c r="R19" s="42" t="n">
        <f aca="false">'3'!E18</f>
        <v>98819.24</v>
      </c>
      <c r="S19" s="42" t="n">
        <f aca="false">'4'!E18</f>
        <v>96447.3100000002</v>
      </c>
      <c r="T19" s="42" t="n">
        <f aca="false">'5'!E18</f>
        <v>99302.9500000002</v>
      </c>
      <c r="U19" s="42" t="n">
        <f aca="false">'6'!E18</f>
        <v>128892.76</v>
      </c>
      <c r="V19" s="42" t="n">
        <f aca="false">'7'!E18</f>
        <v>163496.619999998</v>
      </c>
      <c r="W19" s="42" t="n">
        <f aca="false">'8'!E18</f>
        <v>136844.33</v>
      </c>
      <c r="X19" s="42" t="n">
        <f aca="false">'9'!E18</f>
        <v>143120.649999998</v>
      </c>
      <c r="Y19" s="42" t="n">
        <f aca="false">'10'!E18</f>
        <v>136200.54</v>
      </c>
      <c r="Z19" s="42" t="n">
        <f aca="false">'11'!E18</f>
        <v>249690.080000002</v>
      </c>
      <c r="AA19" s="42" t="n">
        <f aca="false">'12'!E18</f>
        <v>213224.459999998</v>
      </c>
      <c r="AB19" s="42" t="n">
        <f aca="false">'1'!F18</f>
        <v>212354.119999999</v>
      </c>
      <c r="AC19" s="42" t="n">
        <f aca="false">'2'!F18</f>
        <v>236431.199999999</v>
      </c>
      <c r="AD19" s="42" t="n">
        <f aca="false">'3'!F18</f>
        <v>409497.070000013</v>
      </c>
      <c r="AE19" s="42" t="n">
        <f aca="false">'4'!F18</f>
        <v>544858.410000022</v>
      </c>
      <c r="AF19" s="42" t="n">
        <f aca="false">'5'!F18</f>
        <v>404699.340000001</v>
      </c>
      <c r="AG19" s="42" t="n">
        <f aca="false">'6'!F18</f>
        <v>423398.059999998</v>
      </c>
      <c r="AH19" s="42" t="n">
        <f aca="false">'7'!F18</f>
        <v>398018.329999997</v>
      </c>
      <c r="AI19" s="42" t="n">
        <f aca="false">'8'!F18</f>
        <v>391167.74</v>
      </c>
      <c r="AJ19" s="42" t="n">
        <f aca="false">'9'!F18</f>
        <v>347579.04</v>
      </c>
      <c r="AK19" s="42" t="n">
        <f aca="false">'10'!F18</f>
        <v>0</v>
      </c>
      <c r="AL19" s="42" t="n">
        <f aca="false">'11'!F18</f>
        <v>0</v>
      </c>
      <c r="AM19" s="42" t="n">
        <f aca="false">'12'!F18</f>
        <v>0</v>
      </c>
      <c r="AN19" s="42" t="n">
        <f aca="false">'1'!G18</f>
        <v>0</v>
      </c>
      <c r="AO19" s="42" t="n">
        <f aca="false">'2'!G18</f>
        <v>0</v>
      </c>
      <c r="AP19" s="42" t="n">
        <f aca="false">'3'!G18</f>
        <v>0</v>
      </c>
      <c r="AQ19" s="42" t="n">
        <f aca="false">'4'!G18</f>
        <v>0</v>
      </c>
      <c r="AR19" s="42" t="n">
        <f aca="false">'5'!G18</f>
        <v>0</v>
      </c>
      <c r="AS19" s="42" t="n">
        <f aca="false">'6'!G18</f>
        <v>0</v>
      </c>
      <c r="AT19" s="42" t="n">
        <f aca="false">'7'!G18</f>
        <v>0</v>
      </c>
      <c r="AU19" s="42" t="n">
        <f aca="false">'8'!G18</f>
        <v>0</v>
      </c>
      <c r="AV19" s="42" t="n">
        <f aca="false">'9'!G18</f>
        <v>0</v>
      </c>
      <c r="AW19" s="42" t="n">
        <f aca="false">'10'!G18</f>
        <v>0</v>
      </c>
      <c r="AX19" s="42" t="n">
        <f aca="false">'11'!G18</f>
        <v>0</v>
      </c>
      <c r="AY19" s="42" t="n">
        <f aca="false">'12'!G18</f>
        <v>0</v>
      </c>
    </row>
    <row r="20" customFormat="false" ht="15" hidden="false" customHeight="true" outlineLevel="0" collapsed="false">
      <c r="A20" s="41" t="n">
        <f aca="false">'1'!A19</f>
        <v>115</v>
      </c>
      <c r="B20" s="1" t="str">
        <f aca="false">'1'!B19</f>
        <v>סופר פארם מרקט פלייס</v>
      </c>
      <c r="C20" s="1" t="str">
        <f aca="false">'1'!C19</f>
        <v>ISR</v>
      </c>
      <c r="D20" s="42" t="n">
        <f aca="false">'1'!D19</f>
        <v>1654.88</v>
      </c>
      <c r="E20" s="42" t="n">
        <f aca="false">'2'!D19</f>
        <v>2455.66</v>
      </c>
      <c r="F20" s="42" t="n">
        <f aca="false">'3'!D19</f>
        <v>2233.52</v>
      </c>
      <c r="G20" s="42" t="n">
        <f aca="false">'4'!D19</f>
        <v>2046.43</v>
      </c>
      <c r="H20" s="42" t="n">
        <f aca="false">'5'!D19</f>
        <v>2364.29</v>
      </c>
      <c r="I20" s="42" t="n">
        <f aca="false">'6'!D19</f>
        <v>5374.81</v>
      </c>
      <c r="J20" s="42" t="n">
        <f aca="false">'7'!D19</f>
        <v>1788.03</v>
      </c>
      <c r="K20" s="42" t="n">
        <f aca="false">'8'!D19</f>
        <v>4027.72</v>
      </c>
      <c r="L20" s="42" t="n">
        <f aca="false">'9'!D19</f>
        <v>3358.59</v>
      </c>
      <c r="M20" s="42" t="n">
        <f aca="false">'10'!D19</f>
        <v>3795.33</v>
      </c>
      <c r="N20" s="42" t="n">
        <f aca="false">'11'!D19</f>
        <v>3533.44</v>
      </c>
      <c r="O20" s="42" t="n">
        <f aca="false">'12'!D19</f>
        <v>3126.19</v>
      </c>
      <c r="P20" s="42" t="n">
        <f aca="false">'1'!E19</f>
        <v>2032.3</v>
      </c>
      <c r="Q20" s="42" t="n">
        <f aca="false">'2'!E19</f>
        <v>3188.82</v>
      </c>
      <c r="R20" s="42" t="n">
        <f aca="false">'3'!E19</f>
        <v>3577.56</v>
      </c>
      <c r="S20" s="42" t="n">
        <f aca="false">'4'!E19</f>
        <v>2606.4</v>
      </c>
      <c r="T20" s="42" t="n">
        <f aca="false">'5'!E19</f>
        <v>1491.14</v>
      </c>
      <c r="U20" s="42" t="n">
        <f aca="false">'6'!E19</f>
        <v>4432.93</v>
      </c>
      <c r="V20" s="42" t="n">
        <f aca="false">'7'!E19</f>
        <v>1318.12</v>
      </c>
      <c r="W20" s="42" t="n">
        <f aca="false">'8'!E19</f>
        <v>2497.52</v>
      </c>
      <c r="X20" s="42" t="n">
        <f aca="false">'9'!E19</f>
        <v>1798.35</v>
      </c>
      <c r="Y20" s="42" t="n">
        <f aca="false">'10'!E19</f>
        <v>1762.26</v>
      </c>
      <c r="Z20" s="42" t="n">
        <f aca="false">'11'!E19</f>
        <v>1058.88</v>
      </c>
      <c r="AA20" s="42" t="n">
        <f aca="false">'12'!E19</f>
        <v>1561.46</v>
      </c>
      <c r="AB20" s="42" t="n">
        <f aca="false">'1'!F19</f>
        <v>1274.4</v>
      </c>
      <c r="AC20" s="42" t="n">
        <f aca="false">'2'!F19</f>
        <v>1747</v>
      </c>
      <c r="AD20" s="42" t="n">
        <f aca="false">'3'!F19</f>
        <v>2065.63</v>
      </c>
      <c r="AE20" s="42" t="n">
        <f aca="false">'4'!F19</f>
        <v>1302.94</v>
      </c>
      <c r="AF20" s="42" t="n">
        <f aca="false">'5'!F19</f>
        <v>2347.76</v>
      </c>
      <c r="AG20" s="42" t="n">
        <f aca="false">'6'!F19</f>
        <v>1069.29</v>
      </c>
      <c r="AH20" s="42" t="n">
        <f aca="false">'7'!F19</f>
        <v>1741.74</v>
      </c>
      <c r="AI20" s="42" t="n">
        <f aca="false">'8'!F19</f>
        <v>1484.7</v>
      </c>
      <c r="AJ20" s="42" t="n">
        <f aca="false">'9'!F19</f>
        <v>547.02</v>
      </c>
      <c r="AK20" s="42" t="n">
        <f aca="false">'10'!F19</f>
        <v>0</v>
      </c>
      <c r="AL20" s="42" t="n">
        <f aca="false">'11'!F19</f>
        <v>0</v>
      </c>
      <c r="AM20" s="42" t="n">
        <f aca="false">'12'!F19</f>
        <v>0</v>
      </c>
      <c r="AN20" s="42" t="n">
        <f aca="false">'1'!G19</f>
        <v>0</v>
      </c>
      <c r="AO20" s="42" t="n">
        <f aca="false">'2'!G19</f>
        <v>0</v>
      </c>
      <c r="AP20" s="42" t="n">
        <f aca="false">'3'!G19</f>
        <v>0</v>
      </c>
      <c r="AQ20" s="42" t="n">
        <f aca="false">'4'!G19</f>
        <v>0</v>
      </c>
      <c r="AR20" s="42" t="n">
        <f aca="false">'5'!G19</f>
        <v>0</v>
      </c>
      <c r="AS20" s="42" t="n">
        <f aca="false">'6'!G19</f>
        <v>0</v>
      </c>
      <c r="AT20" s="42" t="n">
        <f aca="false">'7'!G19</f>
        <v>0</v>
      </c>
      <c r="AU20" s="42" t="n">
        <f aca="false">'8'!G19</f>
        <v>0</v>
      </c>
      <c r="AV20" s="42" t="n">
        <f aca="false">'9'!G19</f>
        <v>0</v>
      </c>
      <c r="AW20" s="42" t="n">
        <f aca="false">'10'!G19</f>
        <v>0</v>
      </c>
      <c r="AX20" s="42" t="n">
        <f aca="false">'11'!G19</f>
        <v>0</v>
      </c>
      <c r="AY20" s="42" t="n">
        <f aca="false">'12'!G19</f>
        <v>0</v>
      </c>
    </row>
    <row r="21" customFormat="false" ht="15" hidden="false" customHeight="true" outlineLevel="0" collapsed="false">
      <c r="A21" s="41" t="n">
        <f aca="false">'1'!A21</f>
        <v>301</v>
      </c>
      <c r="B21" s="1" t="str">
        <f aca="false">'1'!B21</f>
        <v>AMAZON</v>
      </c>
      <c r="C21" s="1" t="str">
        <f aca="false">'1'!C21</f>
        <v>USA</v>
      </c>
      <c r="D21" s="42" t="n">
        <f aca="false">'1'!D21</f>
        <v>391520.95</v>
      </c>
      <c r="E21" s="42" t="n">
        <f aca="false">'2'!D21</f>
        <v>377981.61</v>
      </c>
      <c r="F21" s="42" t="n">
        <f aca="false">'3'!D21</f>
        <v>334336.04</v>
      </c>
      <c r="G21" s="42" t="n">
        <f aca="false">'4'!D21</f>
        <v>264520.55</v>
      </c>
      <c r="H21" s="42" t="n">
        <f aca="false">'5'!D21</f>
        <v>318316.8</v>
      </c>
      <c r="I21" s="42" t="n">
        <f aca="false">'6'!D21</f>
        <v>371311.12</v>
      </c>
      <c r="J21" s="42" t="n">
        <f aca="false">'7'!D21</f>
        <v>316462.25</v>
      </c>
      <c r="K21" s="42" t="n">
        <f aca="false">'8'!D21</f>
        <v>273201.5</v>
      </c>
      <c r="L21" s="42" t="n">
        <f aca="false">'9'!D21</f>
        <v>258929.86</v>
      </c>
      <c r="M21" s="42" t="n">
        <f aca="false">'10'!D21</f>
        <v>234970.3</v>
      </c>
      <c r="N21" s="42" t="n">
        <f aca="false">'11'!D21</f>
        <v>169336.07</v>
      </c>
      <c r="O21" s="42" t="n">
        <f aca="false">'12'!D21</f>
        <v>190607.48</v>
      </c>
      <c r="P21" s="42" t="n">
        <f aca="false">'1'!E21</f>
        <v>187395.64</v>
      </c>
      <c r="Q21" s="42" t="n">
        <f aca="false">'2'!E21</f>
        <v>188313.47</v>
      </c>
      <c r="R21" s="42" t="n">
        <f aca="false">'3'!E21</f>
        <v>239973.2</v>
      </c>
      <c r="S21" s="42" t="n">
        <f aca="false">'4'!E21</f>
        <v>238431.78</v>
      </c>
      <c r="T21" s="42" t="n">
        <f aca="false">'5'!E21</f>
        <v>252540.02</v>
      </c>
      <c r="U21" s="42" t="n">
        <f aca="false">'6'!E21</f>
        <v>68328.76</v>
      </c>
      <c r="V21" s="42" t="n">
        <f aca="false">'7'!E21</f>
        <v>353503.85</v>
      </c>
      <c r="W21" s="42" t="n">
        <f aca="false">'8'!E21</f>
        <v>252496.44</v>
      </c>
      <c r="X21" s="42" t="n">
        <f aca="false">'9'!E21</f>
        <v>247434.35</v>
      </c>
      <c r="Y21" s="42" t="n">
        <f aca="false">'10'!E21</f>
        <v>223589.21</v>
      </c>
      <c r="Z21" s="42" t="n">
        <f aca="false">'11'!E21</f>
        <v>271266.06</v>
      </c>
      <c r="AA21" s="42" t="n">
        <f aca="false">'12'!E21</f>
        <v>182118.44</v>
      </c>
      <c r="AB21" s="42" t="n">
        <f aca="false">'1'!F21</f>
        <v>178026.69</v>
      </c>
      <c r="AC21" s="42" t="n">
        <f aca="false">'2'!F21</f>
        <v>194189.2</v>
      </c>
      <c r="AD21" s="42" t="n">
        <f aca="false">'3'!F21</f>
        <v>213959.66</v>
      </c>
      <c r="AE21" s="42" t="n">
        <f aca="false">'4'!F21</f>
        <v>214988.69</v>
      </c>
      <c r="AF21" s="42" t="n">
        <f aca="false">'5'!F21</f>
        <v>224163.96</v>
      </c>
      <c r="AG21" s="42" t="n">
        <f aca="false">'6'!F21</f>
        <v>229029.21</v>
      </c>
      <c r="AH21" s="42" t="n">
        <f aca="false">'7'!F21</f>
        <v>223994.55</v>
      </c>
      <c r="AI21" s="42" t="n">
        <f aca="false">'8'!F21</f>
        <v>202592.25</v>
      </c>
      <c r="AJ21" s="42" t="n">
        <f aca="false">'9'!F21</f>
        <v>198718.53</v>
      </c>
      <c r="AK21" s="42" t="n">
        <f aca="false">'10'!F21</f>
        <v>0</v>
      </c>
      <c r="AL21" s="42" t="n">
        <f aca="false">'11'!F21</f>
        <v>0</v>
      </c>
      <c r="AM21" s="42" t="n">
        <f aca="false">'12'!F21</f>
        <v>0</v>
      </c>
      <c r="AN21" s="42" t="n">
        <f aca="false">'1'!G21</f>
        <v>0</v>
      </c>
      <c r="AO21" s="42" t="n">
        <f aca="false">'2'!G21</f>
        <v>0</v>
      </c>
      <c r="AP21" s="42" t="n">
        <f aca="false">'3'!G21</f>
        <v>0</v>
      </c>
      <c r="AQ21" s="42" t="n">
        <f aca="false">'4'!G21</f>
        <v>0</v>
      </c>
      <c r="AR21" s="42" t="n">
        <f aca="false">'5'!G21</f>
        <v>0</v>
      </c>
      <c r="AS21" s="42" t="n">
        <f aca="false">'6'!G21</f>
        <v>0</v>
      </c>
      <c r="AT21" s="42" t="n">
        <f aca="false">'7'!G21</f>
        <v>0</v>
      </c>
      <c r="AU21" s="42" t="n">
        <f aca="false">'8'!G21</f>
        <v>0</v>
      </c>
      <c r="AV21" s="42" t="n">
        <f aca="false">'9'!G21</f>
        <v>0</v>
      </c>
      <c r="AW21" s="42" t="n">
        <f aca="false">'10'!G21</f>
        <v>0</v>
      </c>
      <c r="AX21" s="42" t="n">
        <f aca="false">'11'!G21</f>
        <v>0</v>
      </c>
      <c r="AY21" s="42" t="n">
        <f aca="false">'12'!G21</f>
        <v>0</v>
      </c>
    </row>
    <row r="22" customFormat="false" ht="15" hidden="false" customHeight="true" outlineLevel="0" collapsed="false">
      <c r="A22" s="41" t="n">
        <f aca="false">'1'!A22</f>
        <v>202</v>
      </c>
      <c r="B22" s="1" t="str">
        <f aca="false">'1'!B22</f>
        <v>SUPER PHARM POLAND</v>
      </c>
      <c r="C22" s="1" t="str">
        <f aca="false">'1'!C22</f>
        <v>POLAND</v>
      </c>
      <c r="D22" s="42" t="n">
        <f aca="false">'1'!D22</f>
        <v>203.73</v>
      </c>
      <c r="E22" s="42" t="n">
        <f aca="false">'2'!D22</f>
        <v>255841.44</v>
      </c>
      <c r="F22" s="42" t="n">
        <f aca="false">'3'!D22</f>
        <v>0</v>
      </c>
      <c r="G22" s="42" t="n">
        <f aca="false">'4'!D22</f>
        <v>184350.47</v>
      </c>
      <c r="H22" s="42" t="n">
        <f aca="false">'5'!D22</f>
        <v>0</v>
      </c>
      <c r="I22" s="42" t="n">
        <f aca="false">'6'!D22</f>
        <v>0</v>
      </c>
      <c r="J22" s="42" t="n">
        <f aca="false">'7'!D22</f>
        <v>143527.77</v>
      </c>
      <c r="K22" s="42" t="n">
        <f aca="false">'8'!D22</f>
        <v>-2422.68</v>
      </c>
      <c r="L22" s="42" t="n">
        <f aca="false">'9'!D22</f>
        <v>159908.54</v>
      </c>
      <c r="M22" s="42" t="n">
        <f aca="false">'10'!D22</f>
        <v>0</v>
      </c>
      <c r="N22" s="42" t="n">
        <f aca="false">'11'!D22</f>
        <v>0</v>
      </c>
      <c r="O22" s="42" t="n">
        <f aca="false">'12'!D22</f>
        <v>137974.18</v>
      </c>
      <c r="P22" s="42" t="n">
        <f aca="false">'1'!E22</f>
        <v>0</v>
      </c>
      <c r="Q22" s="42" t="n">
        <f aca="false">'2'!E22</f>
        <v>213082.56</v>
      </c>
      <c r="R22" s="42" t="n">
        <f aca="false">'3'!E22</f>
        <v>0</v>
      </c>
      <c r="S22" s="42" t="n">
        <f aca="false">'4'!E22</f>
        <v>217182.24</v>
      </c>
      <c r="T22" s="42" t="n">
        <f aca="false">'5'!E22</f>
        <v>0</v>
      </c>
      <c r="U22" s="42" t="n">
        <f aca="false">'6'!E22</f>
        <v>0</v>
      </c>
      <c r="V22" s="42" t="n">
        <f aca="false">'7'!E22</f>
        <v>187405.66</v>
      </c>
      <c r="W22" s="42" t="n">
        <f aca="false">'8'!E22</f>
        <v>0</v>
      </c>
      <c r="X22" s="42" t="n">
        <f aca="false">'9'!E22</f>
        <v>0</v>
      </c>
      <c r="Y22" s="42" t="n">
        <f aca="false">'10'!E22</f>
        <v>140125.45</v>
      </c>
      <c r="Z22" s="42" t="n">
        <f aca="false">'11'!E22</f>
        <v>0</v>
      </c>
      <c r="AA22" s="42" t="n">
        <f aca="false">'12'!E22</f>
        <v>144741.73</v>
      </c>
      <c r="AB22" s="42" t="n">
        <f aca="false">'1'!F22</f>
        <v>0</v>
      </c>
      <c r="AC22" s="42" t="n">
        <f aca="false">'2'!F22</f>
        <v>137198.2</v>
      </c>
      <c r="AD22" s="42" t="n">
        <f aca="false">'3'!F22</f>
        <v>0</v>
      </c>
      <c r="AE22" s="42" t="n">
        <f aca="false">'4'!F22</f>
        <v>0</v>
      </c>
      <c r="AF22" s="42" t="n">
        <f aca="false">'5'!F22</f>
        <v>204882.82</v>
      </c>
      <c r="AG22" s="42" t="n">
        <f aca="false">'6'!F22</f>
        <v>0</v>
      </c>
      <c r="AH22" s="42" t="n">
        <f aca="false">'7'!F22</f>
        <v>0</v>
      </c>
      <c r="AI22" s="42" t="n">
        <f aca="false">'8'!F22</f>
        <v>132101.57</v>
      </c>
      <c r="AJ22" s="42" t="n">
        <f aca="false">'9'!F22</f>
        <v>0</v>
      </c>
      <c r="AK22" s="42" t="n">
        <f aca="false">'10'!F22</f>
        <v>0</v>
      </c>
      <c r="AL22" s="42" t="n">
        <f aca="false">'11'!F22</f>
        <v>0</v>
      </c>
      <c r="AM22" s="42" t="n">
        <f aca="false">'12'!F22</f>
        <v>0</v>
      </c>
      <c r="AN22" s="42" t="n">
        <f aca="false">'1'!G22</f>
        <v>0</v>
      </c>
      <c r="AO22" s="42" t="n">
        <f aca="false">'2'!G22</f>
        <v>0</v>
      </c>
      <c r="AP22" s="42" t="n">
        <f aca="false">'3'!G22</f>
        <v>0</v>
      </c>
      <c r="AQ22" s="42" t="n">
        <f aca="false">'4'!G22</f>
        <v>0</v>
      </c>
      <c r="AR22" s="42" t="n">
        <f aca="false">'5'!G22</f>
        <v>0</v>
      </c>
      <c r="AS22" s="42" t="n">
        <f aca="false">'6'!G22</f>
        <v>0</v>
      </c>
      <c r="AT22" s="42" t="n">
        <f aca="false">'7'!G22</f>
        <v>0</v>
      </c>
      <c r="AU22" s="42" t="n">
        <f aca="false">'8'!G22</f>
        <v>0</v>
      </c>
      <c r="AV22" s="42" t="n">
        <f aca="false">'9'!G22</f>
        <v>0</v>
      </c>
      <c r="AW22" s="42" t="n">
        <f aca="false">'10'!G22</f>
        <v>0</v>
      </c>
      <c r="AX22" s="42" t="n">
        <f aca="false">'11'!G22</f>
        <v>0</v>
      </c>
      <c r="AY22" s="42" t="n">
        <f aca="false">'12'!G22</f>
        <v>0</v>
      </c>
    </row>
    <row r="23" customFormat="false" ht="15" hidden="false" customHeight="true" outlineLevel="0" collapsed="false">
      <c r="A23" s="41" t="n">
        <f aca="false">'1'!A23</f>
        <v>203</v>
      </c>
      <c r="B23" s="1" t="str">
        <f aca="false">'1'!B23</f>
        <v>ORTHO- PARTNER AG.</v>
      </c>
      <c r="C23" s="1" t="str">
        <f aca="false">'1'!C23</f>
        <v>SWITZERLAND</v>
      </c>
      <c r="D23" s="42" t="n">
        <f aca="false">'1'!D23</f>
        <v>49158.59</v>
      </c>
      <c r="E23" s="42" t="n">
        <f aca="false">'2'!D23</f>
        <v>73976.74</v>
      </c>
      <c r="F23" s="42" t="n">
        <f aca="false">'3'!D23</f>
        <v>11470.17</v>
      </c>
      <c r="G23" s="42" t="n">
        <f aca="false">'4'!D23</f>
        <v>0</v>
      </c>
      <c r="H23" s="42" t="n">
        <f aca="false">'5'!D23</f>
        <v>169505.88</v>
      </c>
      <c r="I23" s="42" t="n">
        <f aca="false">'6'!D23</f>
        <v>14810.7</v>
      </c>
      <c r="J23" s="42" t="n">
        <f aca="false">'7'!D23</f>
        <v>61466.82</v>
      </c>
      <c r="K23" s="42" t="n">
        <f aca="false">'8'!D23</f>
        <v>16110.54</v>
      </c>
      <c r="L23" s="42" t="n">
        <f aca="false">'9'!D23</f>
        <v>16422.81</v>
      </c>
      <c r="M23" s="42" t="n">
        <f aca="false">'10'!D23</f>
        <v>92018.45</v>
      </c>
      <c r="N23" s="42" t="n">
        <f aca="false">'11'!D23</f>
        <v>127411.06</v>
      </c>
      <c r="O23" s="42" t="n">
        <f aca="false">'12'!D23</f>
        <v>1400.99</v>
      </c>
      <c r="P23" s="42" t="n">
        <f aca="false">'1'!E23</f>
        <v>18517.61</v>
      </c>
      <c r="Q23" s="42" t="n">
        <f aca="false">'2'!E23</f>
        <v>35605.91</v>
      </c>
      <c r="R23" s="42" t="n">
        <f aca="false">'3'!E23</f>
        <v>26449.51</v>
      </c>
      <c r="S23" s="42" t="n">
        <f aca="false">'4'!E23</f>
        <v>0</v>
      </c>
      <c r="T23" s="42" t="n">
        <f aca="false">'5'!E23</f>
        <v>1513.3</v>
      </c>
      <c r="U23" s="42" t="n">
        <f aca="false">'6'!E23</f>
        <v>0</v>
      </c>
      <c r="V23" s="42" t="n">
        <f aca="false">'7'!E23</f>
        <v>194396.85</v>
      </c>
      <c r="W23" s="42" t="n">
        <f aca="false">'8'!E23</f>
        <v>64506.58</v>
      </c>
      <c r="X23" s="42" t="n">
        <f aca="false">'9'!E23</f>
        <v>10281.02</v>
      </c>
      <c r="Y23" s="42" t="n">
        <f aca="false">'10'!E23</f>
        <v>596.73</v>
      </c>
      <c r="Z23" s="42" t="n">
        <f aca="false">'11'!E23</f>
        <v>53932.22</v>
      </c>
      <c r="AA23" s="42" t="n">
        <f aca="false">'12'!E23</f>
        <v>121.12</v>
      </c>
      <c r="AB23" s="42" t="n">
        <f aca="false">'1'!F23</f>
        <v>124895.37</v>
      </c>
      <c r="AC23" s="42" t="n">
        <f aca="false">'2'!F23</f>
        <v>17835.42</v>
      </c>
      <c r="AD23" s="42" t="n">
        <f aca="false">'3'!F23</f>
        <v>6418.64</v>
      </c>
      <c r="AE23" s="42" t="n">
        <f aca="false">'4'!F23</f>
        <v>123835.02</v>
      </c>
      <c r="AF23" s="42" t="n">
        <f aca="false">'5'!F23</f>
        <v>5036.8</v>
      </c>
      <c r="AG23" s="42" t="n">
        <f aca="false">'6'!F23</f>
        <v>55255.27</v>
      </c>
      <c r="AH23" s="42" t="n">
        <f aca="false">'7'!F23</f>
        <v>0</v>
      </c>
      <c r="AI23" s="42" t="n">
        <f aca="false">'8'!F23</f>
        <v>10986.57</v>
      </c>
      <c r="AJ23" s="42" t="n">
        <f aca="false">'9'!F23</f>
        <v>0</v>
      </c>
      <c r="AK23" s="42" t="n">
        <f aca="false">'10'!F23</f>
        <v>0</v>
      </c>
      <c r="AL23" s="42" t="n">
        <f aca="false">'11'!F23</f>
        <v>0</v>
      </c>
      <c r="AM23" s="42" t="n">
        <f aca="false">'12'!F23</f>
        <v>0</v>
      </c>
      <c r="AN23" s="42" t="n">
        <f aca="false">'1'!G23</f>
        <v>0</v>
      </c>
      <c r="AO23" s="42" t="n">
        <f aca="false">'2'!G23</f>
        <v>0</v>
      </c>
      <c r="AP23" s="42" t="n">
        <f aca="false">'3'!G23</f>
        <v>0</v>
      </c>
      <c r="AQ23" s="42" t="n">
        <f aca="false">'4'!G23</f>
        <v>0</v>
      </c>
      <c r="AR23" s="42" t="n">
        <f aca="false">'5'!G23</f>
        <v>0</v>
      </c>
      <c r="AS23" s="42" t="n">
        <f aca="false">'6'!G23</f>
        <v>0</v>
      </c>
      <c r="AT23" s="42" t="n">
        <f aca="false">'7'!G23</f>
        <v>0</v>
      </c>
      <c r="AU23" s="42" t="n">
        <f aca="false">'8'!G23</f>
        <v>0</v>
      </c>
      <c r="AV23" s="42" t="n">
        <f aca="false">'9'!G23</f>
        <v>0</v>
      </c>
      <c r="AW23" s="42" t="n">
        <f aca="false">'10'!G23</f>
        <v>0</v>
      </c>
      <c r="AX23" s="42" t="n">
        <f aca="false">'11'!G23</f>
        <v>0</v>
      </c>
      <c r="AY23" s="42" t="n">
        <f aca="false">'12'!G23</f>
        <v>0</v>
      </c>
    </row>
    <row r="24" customFormat="false" ht="15" hidden="false" customHeight="true" outlineLevel="0" collapsed="false">
      <c r="A24" s="41" t="n">
        <f aca="false">'1'!A24</f>
        <v>204</v>
      </c>
      <c r="B24" s="1" t="str">
        <f aca="false">'1'!B24</f>
        <v>SANAFLEX ANATOMIC</v>
      </c>
      <c r="C24" s="1" t="str">
        <f aca="false">'1'!C24</f>
        <v>GREECE</v>
      </c>
      <c r="D24" s="42" t="n">
        <f aca="false">'1'!D24</f>
        <v>68604.55</v>
      </c>
      <c r="E24" s="42" t="n">
        <f aca="false">'2'!D24</f>
        <v>0</v>
      </c>
      <c r="F24" s="42" t="n">
        <f aca="false">'3'!D24</f>
        <v>84607.51</v>
      </c>
      <c r="G24" s="42" t="n">
        <f aca="false">'4'!D24</f>
        <v>0</v>
      </c>
      <c r="H24" s="42" t="n">
        <f aca="false">'5'!D24</f>
        <v>0</v>
      </c>
      <c r="I24" s="42" t="n">
        <f aca="false">'6'!D24</f>
        <v>83128.56</v>
      </c>
      <c r="J24" s="42" t="n">
        <f aca="false">'7'!D24</f>
        <v>90587.54</v>
      </c>
      <c r="K24" s="42" t="n">
        <f aca="false">'8'!D24</f>
        <v>0</v>
      </c>
      <c r="L24" s="42" t="n">
        <f aca="false">'9'!D24</f>
        <v>-4343.69</v>
      </c>
      <c r="M24" s="42" t="n">
        <f aca="false">'10'!D24</f>
        <v>86858.25</v>
      </c>
      <c r="N24" s="42" t="n">
        <f aca="false">'11'!D24</f>
        <v>0</v>
      </c>
      <c r="O24" s="42" t="n">
        <f aca="false">'12'!D24</f>
        <v>80366.28</v>
      </c>
      <c r="P24" s="42" t="n">
        <f aca="false">'1'!E24</f>
        <v>0</v>
      </c>
      <c r="Q24" s="42" t="n">
        <f aca="false">'2'!E24</f>
        <v>85563.25</v>
      </c>
      <c r="R24" s="42" t="n">
        <f aca="false">'3'!E24</f>
        <v>0</v>
      </c>
      <c r="S24" s="42" t="n">
        <f aca="false">'4'!E24</f>
        <v>88706.82</v>
      </c>
      <c r="T24" s="42" t="n">
        <f aca="false">'5'!E24</f>
        <v>0</v>
      </c>
      <c r="U24" s="42" t="n">
        <f aca="false">'6'!E24</f>
        <v>0</v>
      </c>
      <c r="V24" s="42" t="n">
        <f aca="false">'7'!E24</f>
        <v>87907.48</v>
      </c>
      <c r="W24" s="42" t="n">
        <f aca="false">'8'!E24</f>
        <v>68497.3</v>
      </c>
      <c r="X24" s="42" t="n">
        <f aca="false">'9'!E24</f>
        <v>0</v>
      </c>
      <c r="Y24" s="42" t="n">
        <f aca="false">'10'!E24</f>
        <v>0</v>
      </c>
      <c r="Z24" s="42" t="n">
        <f aca="false">'11'!E24</f>
        <v>83397.79</v>
      </c>
      <c r="AA24" s="42" t="n">
        <f aca="false">'12'!E24</f>
        <v>0</v>
      </c>
      <c r="AB24" s="42" t="n">
        <f aca="false">'1'!F24</f>
        <v>67158.97</v>
      </c>
      <c r="AC24" s="42" t="n">
        <f aca="false">'2'!F24</f>
        <v>0</v>
      </c>
      <c r="AD24" s="42" t="n">
        <f aca="false">'3'!F24</f>
        <v>0</v>
      </c>
      <c r="AE24" s="42" t="n">
        <f aca="false">'4'!F24</f>
        <v>92404.96</v>
      </c>
      <c r="AF24" s="42" t="n">
        <f aca="false">'5'!F24</f>
        <v>0</v>
      </c>
      <c r="AG24" s="42" t="n">
        <f aca="false">'6'!F24</f>
        <v>147489.2</v>
      </c>
      <c r="AH24" s="42" t="n">
        <f aca="false">'7'!F24</f>
        <v>0</v>
      </c>
      <c r="AI24" s="42" t="n">
        <f aca="false">'8'!F24</f>
        <v>0</v>
      </c>
      <c r="AJ24" s="42" t="n">
        <f aca="false">'9'!F24</f>
        <v>51223.23</v>
      </c>
      <c r="AK24" s="42" t="n">
        <f aca="false">'10'!F24</f>
        <v>0</v>
      </c>
      <c r="AL24" s="42" t="n">
        <f aca="false">'11'!F24</f>
        <v>0</v>
      </c>
      <c r="AM24" s="42" t="n">
        <f aca="false">'12'!F24</f>
        <v>0</v>
      </c>
      <c r="AN24" s="42" t="n">
        <f aca="false">'1'!G24</f>
        <v>0</v>
      </c>
      <c r="AO24" s="42" t="n">
        <f aca="false">'2'!G24</f>
        <v>0</v>
      </c>
      <c r="AP24" s="42" t="n">
        <f aca="false">'3'!G24</f>
        <v>0</v>
      </c>
      <c r="AQ24" s="42" t="n">
        <f aca="false">'4'!G24</f>
        <v>0</v>
      </c>
      <c r="AR24" s="42" t="n">
        <f aca="false">'5'!G24</f>
        <v>0</v>
      </c>
      <c r="AS24" s="42" t="n">
        <f aca="false">'6'!G24</f>
        <v>0</v>
      </c>
      <c r="AT24" s="42" t="n">
        <f aca="false">'7'!G24</f>
        <v>0</v>
      </c>
      <c r="AU24" s="42" t="n">
        <f aca="false">'8'!G24</f>
        <v>0</v>
      </c>
      <c r="AV24" s="42" t="n">
        <f aca="false">'9'!G24</f>
        <v>0</v>
      </c>
      <c r="AW24" s="42" t="n">
        <f aca="false">'10'!G24</f>
        <v>0</v>
      </c>
      <c r="AX24" s="42" t="n">
        <f aca="false">'11'!G24</f>
        <v>0</v>
      </c>
      <c r="AY24" s="42" t="n">
        <f aca="false">'12'!G24</f>
        <v>0</v>
      </c>
    </row>
    <row r="25" customFormat="false" ht="15" hidden="false" customHeight="true" outlineLevel="0" collapsed="false">
      <c r="A25" s="41" t="n">
        <f aca="false">'1'!A25</f>
        <v>205</v>
      </c>
      <c r="B25" s="1" t="str">
        <f aca="false">'1'!B25</f>
        <v>HEALTH CARE PROD. GMBH</v>
      </c>
      <c r="C25" s="1" t="str">
        <f aca="false">'1'!C25</f>
        <v>GERMANY</v>
      </c>
      <c r="D25" s="42" t="n">
        <f aca="false">'1'!D25</f>
        <v>15923.68</v>
      </c>
      <c r="E25" s="42" t="n">
        <f aca="false">'2'!D25</f>
        <v>0</v>
      </c>
      <c r="F25" s="42" t="n">
        <f aca="false">'3'!D25</f>
        <v>16377.13</v>
      </c>
      <c r="G25" s="42" t="n">
        <f aca="false">'4'!D25</f>
        <v>17556.44</v>
      </c>
      <c r="H25" s="42" t="n">
        <f aca="false">'5'!D25</f>
        <v>0</v>
      </c>
      <c r="I25" s="42" t="n">
        <f aca="false">'6'!D25</f>
        <v>14559.92</v>
      </c>
      <c r="J25" s="42" t="n">
        <f aca="false">'7'!D25</f>
        <v>16222.13</v>
      </c>
      <c r="K25" s="42" t="n">
        <f aca="false">'8'!D25</f>
        <v>19066.6</v>
      </c>
      <c r="L25" s="42" t="n">
        <f aca="false">'9'!D25</f>
        <v>11239.03</v>
      </c>
      <c r="M25" s="42" t="n">
        <f aca="false">'10'!D25</f>
        <v>0</v>
      </c>
      <c r="N25" s="42" t="n">
        <f aca="false">'11'!D25</f>
        <v>17813.97</v>
      </c>
      <c r="O25" s="42" t="n">
        <f aca="false">'12'!D25</f>
        <v>0</v>
      </c>
      <c r="P25" s="42" t="n">
        <f aca="false">'1'!E25</f>
        <v>0</v>
      </c>
      <c r="Q25" s="42" t="n">
        <f aca="false">'2'!E25</f>
        <v>16335.18</v>
      </c>
      <c r="R25" s="42" t="n">
        <f aca="false">'3'!E25</f>
        <v>13664.6</v>
      </c>
      <c r="S25" s="42" t="n">
        <f aca="false">'4'!E25</f>
        <v>11888.32</v>
      </c>
      <c r="T25" s="42" t="n">
        <f aca="false">'5'!E25</f>
        <v>0</v>
      </c>
      <c r="U25" s="42" t="n">
        <f aca="false">'6'!E25</f>
        <v>0</v>
      </c>
      <c r="V25" s="42" t="n">
        <f aca="false">'7'!E25</f>
        <v>30796.16</v>
      </c>
      <c r="W25" s="42" t="n">
        <f aca="false">'8'!E25</f>
        <v>18496.39</v>
      </c>
      <c r="X25" s="42" t="n">
        <f aca="false">'9'!E25</f>
        <v>0</v>
      </c>
      <c r="Y25" s="42" t="n">
        <f aca="false">'10'!E25</f>
        <v>15474.02</v>
      </c>
      <c r="Z25" s="42" t="n">
        <f aca="false">'11'!E25</f>
        <v>15684.33</v>
      </c>
      <c r="AA25" s="42" t="n">
        <f aca="false">'12'!E25</f>
        <v>0</v>
      </c>
      <c r="AB25" s="42" t="n">
        <f aca="false">'1'!F25</f>
        <v>15774.92</v>
      </c>
      <c r="AC25" s="42" t="n">
        <f aca="false">'2'!F25</f>
        <v>0</v>
      </c>
      <c r="AD25" s="42" t="n">
        <f aca="false">'3'!F25</f>
        <v>29021.19</v>
      </c>
      <c r="AE25" s="42" t="n">
        <f aca="false">'4'!F25</f>
        <v>0</v>
      </c>
      <c r="AF25" s="42" t="n">
        <f aca="false">'5'!F25</f>
        <v>16087.48</v>
      </c>
      <c r="AG25" s="42" t="n">
        <f aca="false">'6'!F25</f>
        <v>15795</v>
      </c>
      <c r="AH25" s="42" t="n">
        <f aca="false">'7'!F25</f>
        <v>19451.36</v>
      </c>
      <c r="AI25" s="42" t="n">
        <f aca="false">'8'!F25</f>
        <v>0</v>
      </c>
      <c r="AJ25" s="42" t="n">
        <f aca="false">'9'!F25</f>
        <v>15160.58</v>
      </c>
      <c r="AK25" s="42" t="n">
        <f aca="false">'10'!F25</f>
        <v>0</v>
      </c>
      <c r="AL25" s="42" t="n">
        <f aca="false">'11'!F25</f>
        <v>0</v>
      </c>
      <c r="AM25" s="42" t="n">
        <f aca="false">'12'!F25</f>
        <v>0</v>
      </c>
      <c r="AN25" s="42" t="n">
        <f aca="false">'1'!G25</f>
        <v>0</v>
      </c>
      <c r="AO25" s="42" t="n">
        <f aca="false">'2'!G25</f>
        <v>0</v>
      </c>
      <c r="AP25" s="42" t="n">
        <f aca="false">'3'!G25</f>
        <v>0</v>
      </c>
      <c r="AQ25" s="42" t="n">
        <f aca="false">'4'!G25</f>
        <v>0</v>
      </c>
      <c r="AR25" s="42" t="n">
        <f aca="false">'5'!G25</f>
        <v>0</v>
      </c>
      <c r="AS25" s="42" t="n">
        <f aca="false">'6'!G25</f>
        <v>0</v>
      </c>
      <c r="AT25" s="42" t="n">
        <f aca="false">'7'!G25</f>
        <v>0</v>
      </c>
      <c r="AU25" s="42" t="n">
        <f aca="false">'8'!G25</f>
        <v>0</v>
      </c>
      <c r="AV25" s="42" t="n">
        <f aca="false">'9'!G25</f>
        <v>0</v>
      </c>
      <c r="AW25" s="42" t="n">
        <f aca="false">'10'!G25</f>
        <v>0</v>
      </c>
      <c r="AX25" s="42" t="n">
        <f aca="false">'11'!G25</f>
        <v>0</v>
      </c>
      <c r="AY25" s="42" t="n">
        <f aca="false">'12'!G25</f>
        <v>0</v>
      </c>
    </row>
    <row r="26" customFormat="false" ht="15" hidden="false" customHeight="true" outlineLevel="0" collapsed="false">
      <c r="A26" s="41" t="n">
        <f aca="false">'1'!A26</f>
        <v>206</v>
      </c>
      <c r="B26" s="1" t="str">
        <f aca="false">'1'!B26</f>
        <v>ORTHOMED  LTD</v>
      </c>
      <c r="C26" s="1" t="str">
        <f aca="false">'1'!C26</f>
        <v>BULGARIA</v>
      </c>
      <c r="D26" s="42" t="n">
        <f aca="false">'1'!D26</f>
        <v>50777.76</v>
      </c>
      <c r="E26" s="42" t="n">
        <f aca="false">'2'!D26</f>
        <v>0</v>
      </c>
      <c r="F26" s="42" t="n">
        <f aca="false">'3'!D26</f>
        <v>0</v>
      </c>
      <c r="G26" s="42" t="n">
        <f aca="false">'4'!D26</f>
        <v>0</v>
      </c>
      <c r="H26" s="42" t="n">
        <f aca="false">'5'!D26</f>
        <v>0</v>
      </c>
      <c r="I26" s="42" t="n">
        <f aca="false">'6'!D26</f>
        <v>65362.29</v>
      </c>
      <c r="J26" s="42" t="n">
        <f aca="false">'7'!D26</f>
        <v>0</v>
      </c>
      <c r="K26" s="42" t="n">
        <f aca="false">'8'!D26</f>
        <v>0</v>
      </c>
      <c r="L26" s="42" t="n">
        <f aca="false">'9'!D26</f>
        <v>0</v>
      </c>
      <c r="M26" s="42" t="n">
        <f aca="false">'10'!D26</f>
        <v>0</v>
      </c>
      <c r="N26" s="42" t="n">
        <f aca="false">'11'!D26</f>
        <v>44572.45</v>
      </c>
      <c r="O26" s="42" t="n">
        <f aca="false">'12'!D26</f>
        <v>0</v>
      </c>
      <c r="P26" s="42" t="n">
        <f aca="false">'1'!E26</f>
        <v>0</v>
      </c>
      <c r="Q26" s="42" t="n">
        <f aca="false">'2'!E26</f>
        <v>0</v>
      </c>
      <c r="R26" s="42" t="n">
        <f aca="false">'3'!E26</f>
        <v>42132.93</v>
      </c>
      <c r="S26" s="42" t="n">
        <f aca="false">'4'!E26</f>
        <v>0</v>
      </c>
      <c r="T26" s="42" t="n">
        <f aca="false">'5'!E26</f>
        <v>10766.89</v>
      </c>
      <c r="U26" s="42" t="n">
        <f aca="false">'6'!E26</f>
        <v>0</v>
      </c>
      <c r="V26" s="42" t="n">
        <f aca="false">'7'!E26</f>
        <v>0</v>
      </c>
      <c r="W26" s="42" t="n">
        <f aca="false">'8'!E26</f>
        <v>0</v>
      </c>
      <c r="X26" s="42" t="n">
        <f aca="false">'9'!E26</f>
        <v>0</v>
      </c>
      <c r="Y26" s="42" t="n">
        <f aca="false">'10'!E26</f>
        <v>0</v>
      </c>
      <c r="Z26" s="42" t="n">
        <f aca="false">'11'!E26</f>
        <v>0</v>
      </c>
      <c r="AA26" s="42" t="n">
        <f aca="false">'12'!E26</f>
        <v>0</v>
      </c>
      <c r="AB26" s="42" t="n">
        <f aca="false">'1'!F26</f>
        <v>0</v>
      </c>
      <c r="AC26" s="42" t="n">
        <f aca="false">'2'!F26</f>
        <v>0</v>
      </c>
      <c r="AD26" s="42" t="n">
        <f aca="false">'3'!F26</f>
        <v>0</v>
      </c>
      <c r="AE26" s="42" t="n">
        <f aca="false">'4'!F26</f>
        <v>0</v>
      </c>
      <c r="AF26" s="42" t="n">
        <f aca="false">'5'!F26</f>
        <v>0</v>
      </c>
      <c r="AG26" s="42" t="n">
        <f aca="false">'6'!F26</f>
        <v>0</v>
      </c>
      <c r="AH26" s="42" t="n">
        <f aca="false">'7'!F26</f>
        <v>0</v>
      </c>
      <c r="AI26" s="42" t="n">
        <f aca="false">'8'!F26</f>
        <v>0</v>
      </c>
      <c r="AJ26" s="42" t="n">
        <f aca="false">'9'!F26</f>
        <v>0</v>
      </c>
      <c r="AK26" s="42" t="n">
        <f aca="false">'10'!F26</f>
        <v>0</v>
      </c>
      <c r="AL26" s="42" t="n">
        <f aca="false">'11'!F26</f>
        <v>0</v>
      </c>
      <c r="AM26" s="42" t="n">
        <f aca="false">'12'!F26</f>
        <v>0</v>
      </c>
      <c r="AN26" s="42" t="n">
        <f aca="false">'1'!G26</f>
        <v>0</v>
      </c>
      <c r="AO26" s="42" t="n">
        <f aca="false">'2'!G26</f>
        <v>0</v>
      </c>
      <c r="AP26" s="42" t="n">
        <f aca="false">'3'!G26</f>
        <v>0</v>
      </c>
      <c r="AQ26" s="42" t="n">
        <f aca="false">'4'!G26</f>
        <v>0</v>
      </c>
      <c r="AR26" s="42" t="n">
        <f aca="false">'5'!G26</f>
        <v>0</v>
      </c>
      <c r="AS26" s="42" t="n">
        <f aca="false">'6'!G26</f>
        <v>0</v>
      </c>
      <c r="AT26" s="42" t="n">
        <f aca="false">'7'!G26</f>
        <v>0</v>
      </c>
      <c r="AU26" s="42" t="n">
        <f aca="false">'8'!G26</f>
        <v>0</v>
      </c>
      <c r="AV26" s="42" t="n">
        <f aca="false">'9'!G26</f>
        <v>0</v>
      </c>
      <c r="AW26" s="42" t="n">
        <f aca="false">'10'!G26</f>
        <v>0</v>
      </c>
      <c r="AX26" s="42" t="n">
        <f aca="false">'11'!G26</f>
        <v>0</v>
      </c>
      <c r="AY26" s="42" t="n">
        <f aca="false">'12'!G26</f>
        <v>0</v>
      </c>
    </row>
    <row r="27" customFormat="false" ht="15" hidden="false" customHeight="true" outlineLevel="0" collapsed="false">
      <c r="A27" s="41" t="n">
        <f aca="false">'1'!A27</f>
        <v>207</v>
      </c>
      <c r="B27" s="1" t="str">
        <f aca="false">'1'!B27</f>
        <v>SALUS</v>
      </c>
      <c r="C27" s="1" t="str">
        <f aca="false">'1'!C27</f>
        <v>HUNGARY</v>
      </c>
      <c r="D27" s="42" t="n">
        <f aca="false">'1'!D27</f>
        <v>249206.12</v>
      </c>
      <c r="E27" s="42" t="n">
        <f aca="false">'2'!D27</f>
        <v>0</v>
      </c>
      <c r="F27" s="42" t="n">
        <f aca="false">'3'!D27</f>
        <v>0</v>
      </c>
      <c r="G27" s="42" t="n">
        <f aca="false">'4'!D27</f>
        <v>0</v>
      </c>
      <c r="H27" s="42" t="n">
        <f aca="false">'5'!D27</f>
        <v>0</v>
      </c>
      <c r="I27" s="42" t="n">
        <f aca="false">'6'!D27</f>
        <v>0</v>
      </c>
      <c r="J27" s="42" t="n">
        <f aca="false">'7'!D27</f>
        <v>0</v>
      </c>
      <c r="K27" s="42" t="n">
        <f aca="false">'8'!D27</f>
        <v>0</v>
      </c>
      <c r="L27" s="42" t="n">
        <f aca="false">'9'!D27</f>
        <v>0</v>
      </c>
      <c r="M27" s="42" t="n">
        <f aca="false">'10'!D27</f>
        <v>0</v>
      </c>
      <c r="N27" s="42" t="n">
        <f aca="false">'11'!D27</f>
        <v>0</v>
      </c>
      <c r="O27" s="42" t="n">
        <f aca="false">'12'!D27</f>
        <v>222074.04</v>
      </c>
      <c r="P27" s="42" t="n">
        <f aca="false">'1'!E27</f>
        <v>0</v>
      </c>
      <c r="Q27" s="42" t="n">
        <f aca="false">'2'!E27</f>
        <v>0</v>
      </c>
      <c r="R27" s="42" t="n">
        <f aca="false">'3'!E27</f>
        <v>0</v>
      </c>
      <c r="S27" s="42" t="n">
        <f aca="false">'4'!E27</f>
        <v>0</v>
      </c>
      <c r="T27" s="42" t="n">
        <f aca="false">'5'!E27</f>
        <v>172805.6</v>
      </c>
      <c r="U27" s="42" t="n">
        <f aca="false">'6'!E27</f>
        <v>0.33</v>
      </c>
      <c r="V27" s="42" t="n">
        <f aca="false">'7'!E27</f>
        <v>0</v>
      </c>
      <c r="W27" s="42" t="n">
        <f aca="false">'8'!E27</f>
        <v>0</v>
      </c>
      <c r="X27" s="42" t="n">
        <f aca="false">'9'!E27</f>
        <v>0</v>
      </c>
      <c r="Y27" s="42" t="n">
        <f aca="false">'10'!E27</f>
        <v>0</v>
      </c>
      <c r="Z27" s="42" t="n">
        <f aca="false">'11'!E27</f>
        <v>0</v>
      </c>
      <c r="AA27" s="42" t="n">
        <f aca="false">'12'!E27</f>
        <v>146752.62</v>
      </c>
      <c r="AB27" s="42" t="n">
        <f aca="false">'1'!F27</f>
        <v>-1269.06</v>
      </c>
      <c r="AC27" s="42" t="n">
        <f aca="false">'2'!F27</f>
        <v>0</v>
      </c>
      <c r="AD27" s="42" t="n">
        <f aca="false">'3'!F27</f>
        <v>0</v>
      </c>
      <c r="AE27" s="42" t="n">
        <f aca="false">'4'!F27</f>
        <v>165356.86</v>
      </c>
      <c r="AF27" s="42" t="n">
        <f aca="false">'5'!F27</f>
        <v>-19940.33</v>
      </c>
      <c r="AG27" s="42" t="n">
        <f aca="false">'6'!F27</f>
        <v>0</v>
      </c>
      <c r="AH27" s="42" t="n">
        <f aca="false">'7'!F27</f>
        <v>221407.78</v>
      </c>
      <c r="AI27" s="42" t="n">
        <f aca="false">'8'!F27</f>
        <v>0</v>
      </c>
      <c r="AJ27" s="42" t="n">
        <f aca="false">'9'!F27</f>
        <v>0</v>
      </c>
      <c r="AK27" s="42" t="n">
        <f aca="false">'10'!F27</f>
        <v>0</v>
      </c>
      <c r="AL27" s="42" t="n">
        <f aca="false">'11'!F27</f>
        <v>0</v>
      </c>
      <c r="AM27" s="42" t="n">
        <f aca="false">'12'!F27</f>
        <v>0</v>
      </c>
      <c r="AN27" s="42" t="n">
        <f aca="false">'1'!G27</f>
        <v>0</v>
      </c>
      <c r="AO27" s="42" t="n">
        <f aca="false">'2'!G27</f>
        <v>0</v>
      </c>
      <c r="AP27" s="42" t="n">
        <f aca="false">'3'!G27</f>
        <v>0</v>
      </c>
      <c r="AQ27" s="42" t="n">
        <f aca="false">'4'!G27</f>
        <v>0</v>
      </c>
      <c r="AR27" s="42" t="n">
        <f aca="false">'5'!G27</f>
        <v>0</v>
      </c>
      <c r="AS27" s="42" t="n">
        <f aca="false">'6'!G27</f>
        <v>0</v>
      </c>
      <c r="AT27" s="42" t="n">
        <f aca="false">'7'!G27</f>
        <v>0</v>
      </c>
      <c r="AU27" s="42" t="n">
        <f aca="false">'8'!G27</f>
        <v>0</v>
      </c>
      <c r="AV27" s="42" t="n">
        <f aca="false">'9'!G27</f>
        <v>0</v>
      </c>
      <c r="AW27" s="42" t="n">
        <f aca="false">'10'!G27</f>
        <v>0</v>
      </c>
      <c r="AX27" s="42" t="n">
        <f aca="false">'11'!G27</f>
        <v>0</v>
      </c>
      <c r="AY27" s="42" t="n">
        <f aca="false">'12'!G27</f>
        <v>0</v>
      </c>
    </row>
    <row r="28" customFormat="false" ht="15" hidden="false" customHeight="true" outlineLevel="0" collapsed="false">
      <c r="A28" s="41" t="n">
        <f aca="false">'1'!A28</f>
        <v>216</v>
      </c>
      <c r="B28" s="1" t="str">
        <f aca="false">'1'!B28</f>
        <v>MAX KONNARIS LTD</v>
      </c>
      <c r="C28" s="1" t="str">
        <f aca="false">'1'!C28</f>
        <v>CYPRUS</v>
      </c>
      <c r="D28" s="42" t="n">
        <f aca="false">'1'!D28</f>
        <v>0</v>
      </c>
      <c r="E28" s="42" t="n">
        <f aca="false">'2'!D28</f>
        <v>23907.35</v>
      </c>
      <c r="F28" s="42" t="n">
        <f aca="false">'3'!D28</f>
        <v>38588.13</v>
      </c>
      <c r="G28" s="42" t="n">
        <f aca="false">'4'!D28</f>
        <v>0</v>
      </c>
      <c r="H28" s="42" t="n">
        <f aca="false">'5'!D28</f>
        <v>-0.48</v>
      </c>
      <c r="I28" s="42" t="n">
        <f aca="false">'6'!D28</f>
        <v>37671.79</v>
      </c>
      <c r="J28" s="42" t="n">
        <f aca="false">'7'!D28</f>
        <v>609.99</v>
      </c>
      <c r="K28" s="42" t="n">
        <f aca="false">'8'!D28</f>
        <v>41467.05</v>
      </c>
      <c r="L28" s="42" t="n">
        <f aca="false">'9'!D28</f>
        <v>0</v>
      </c>
      <c r="M28" s="42" t="n">
        <f aca="false">'10'!D28</f>
        <v>20724.08</v>
      </c>
      <c r="N28" s="42" t="n">
        <f aca="false">'11'!D28</f>
        <v>0</v>
      </c>
      <c r="O28" s="42" t="n">
        <f aca="false">'12'!D28</f>
        <v>0</v>
      </c>
      <c r="P28" s="42" t="n">
        <f aca="false">'1'!E28</f>
        <v>0</v>
      </c>
      <c r="Q28" s="42" t="n">
        <f aca="false">'2'!E28</f>
        <v>0</v>
      </c>
      <c r="R28" s="42" t="n">
        <f aca="false">'3'!E28</f>
        <v>0</v>
      </c>
      <c r="S28" s="42" t="n">
        <f aca="false">'4'!E28</f>
        <v>35240.62</v>
      </c>
      <c r="T28" s="42" t="n">
        <f aca="false">'5'!E28</f>
        <v>0</v>
      </c>
      <c r="U28" s="42" t="n">
        <f aca="false">'6'!E28</f>
        <v>0</v>
      </c>
      <c r="V28" s="42" t="n">
        <f aca="false">'7'!E28</f>
        <v>31010.8</v>
      </c>
      <c r="W28" s="42" t="n">
        <f aca="false">'8'!E28</f>
        <v>0</v>
      </c>
      <c r="X28" s="42" t="n">
        <f aca="false">'9'!E28</f>
        <v>0</v>
      </c>
      <c r="Y28" s="42" t="n">
        <f aca="false">'10'!E28</f>
        <v>20604.23</v>
      </c>
      <c r="Z28" s="42" t="n">
        <f aca="false">'11'!E28</f>
        <v>0</v>
      </c>
      <c r="AA28" s="42" t="n">
        <f aca="false">'12'!E28</f>
        <v>0</v>
      </c>
      <c r="AB28" s="42" t="n">
        <f aca="false">'1'!F28</f>
        <v>0</v>
      </c>
      <c r="AC28" s="42" t="n">
        <f aca="false">'2'!F28</f>
        <v>42152.31</v>
      </c>
      <c r="AD28" s="42" t="n">
        <f aca="false">'3'!F28</f>
        <v>0</v>
      </c>
      <c r="AE28" s="42" t="n">
        <f aca="false">'4'!F28</f>
        <v>0</v>
      </c>
      <c r="AF28" s="42" t="n">
        <f aca="false">'5'!F28</f>
        <v>18541.7</v>
      </c>
      <c r="AG28" s="42" t="n">
        <f aca="false">'6'!F28</f>
        <v>0</v>
      </c>
      <c r="AH28" s="42" t="n">
        <f aca="false">'7'!F28</f>
        <v>0</v>
      </c>
      <c r="AI28" s="42" t="n">
        <f aca="false">'8'!F28</f>
        <v>0</v>
      </c>
      <c r="AJ28" s="42" t="n">
        <f aca="false">'9'!F28</f>
        <v>0</v>
      </c>
      <c r="AK28" s="42" t="n">
        <f aca="false">'10'!F28</f>
        <v>0</v>
      </c>
      <c r="AL28" s="42" t="n">
        <f aca="false">'11'!F28</f>
        <v>0</v>
      </c>
      <c r="AM28" s="42" t="n">
        <f aca="false">'12'!F28</f>
        <v>0</v>
      </c>
      <c r="AN28" s="42" t="n">
        <f aca="false">'1'!G28</f>
        <v>0</v>
      </c>
      <c r="AO28" s="42" t="n">
        <f aca="false">'2'!G28</f>
        <v>0</v>
      </c>
      <c r="AP28" s="42" t="n">
        <f aca="false">'3'!G28</f>
        <v>0</v>
      </c>
      <c r="AQ28" s="42" t="n">
        <f aca="false">'4'!G28</f>
        <v>0</v>
      </c>
      <c r="AR28" s="42" t="n">
        <f aca="false">'5'!G28</f>
        <v>0</v>
      </c>
      <c r="AS28" s="42" t="n">
        <f aca="false">'6'!G28</f>
        <v>0</v>
      </c>
      <c r="AT28" s="42" t="n">
        <f aca="false">'7'!G28</f>
        <v>0</v>
      </c>
      <c r="AU28" s="42" t="n">
        <f aca="false">'8'!G28</f>
        <v>0</v>
      </c>
      <c r="AV28" s="42" t="n">
        <f aca="false">'9'!G28</f>
        <v>0</v>
      </c>
      <c r="AW28" s="42" t="n">
        <f aca="false">'10'!G28</f>
        <v>0</v>
      </c>
      <c r="AX28" s="42" t="n">
        <f aca="false">'11'!G28</f>
        <v>0</v>
      </c>
      <c r="AY28" s="42" t="n">
        <f aca="false">'12'!G28</f>
        <v>0</v>
      </c>
    </row>
    <row r="29" customFormat="false" ht="15" hidden="false" customHeight="true" outlineLevel="0" collapsed="false">
      <c r="A29" s="41" t="n">
        <f aca="false">'1'!A29</f>
        <v>208</v>
      </c>
      <c r="B29" s="1" t="str">
        <f aca="false">'1'!B29</f>
        <v>MEDIPAL COMPANY</v>
      </c>
      <c r="C29" s="1" t="str">
        <f aca="false">'1'!C29</f>
        <v>NABLUS</v>
      </c>
      <c r="D29" s="42" t="n">
        <f aca="false">'1'!D29</f>
        <v>0</v>
      </c>
      <c r="E29" s="42" t="n">
        <f aca="false">'2'!D29</f>
        <v>0</v>
      </c>
      <c r="F29" s="42" t="n">
        <f aca="false">'3'!D29</f>
        <v>171813.81</v>
      </c>
      <c r="G29" s="42" t="n">
        <f aca="false">'4'!D29</f>
        <v>0</v>
      </c>
      <c r="H29" s="42" t="n">
        <f aca="false">'5'!D29</f>
        <v>0</v>
      </c>
      <c r="I29" s="42" t="n">
        <f aca="false">'6'!D29</f>
        <v>0</v>
      </c>
      <c r="J29" s="42" t="n">
        <f aca="false">'7'!D29</f>
        <v>0</v>
      </c>
      <c r="K29" s="42" t="n">
        <f aca="false">'8'!D29</f>
        <v>0</v>
      </c>
      <c r="L29" s="42" t="n">
        <f aca="false">'9'!D29</f>
        <v>0</v>
      </c>
      <c r="M29" s="42" t="n">
        <f aca="false">'10'!D29</f>
        <v>0</v>
      </c>
      <c r="N29" s="42" t="n">
        <f aca="false">'11'!D29</f>
        <v>115405.87</v>
      </c>
      <c r="O29" s="42" t="n">
        <f aca="false">'12'!D29</f>
        <v>83394.96</v>
      </c>
      <c r="P29" s="42" t="n">
        <f aca="false">'1'!E29</f>
        <v>0</v>
      </c>
      <c r="Q29" s="42" t="n">
        <f aca="false">'2'!E29</f>
        <v>0</v>
      </c>
      <c r="R29" s="42" t="n">
        <f aca="false">'3'!E29</f>
        <v>0.22</v>
      </c>
      <c r="S29" s="42" t="n">
        <f aca="false">'4'!E29</f>
        <v>0</v>
      </c>
      <c r="T29" s="42" t="n">
        <f aca="false">'5'!E29</f>
        <v>0</v>
      </c>
      <c r="U29" s="42" t="n">
        <f aca="false">'6'!E29</f>
        <v>0</v>
      </c>
      <c r="V29" s="42" t="n">
        <f aca="false">'7'!E29</f>
        <v>0</v>
      </c>
      <c r="W29" s="42" t="n">
        <f aca="false">'8'!E29</f>
        <v>0</v>
      </c>
      <c r="X29" s="42" t="n">
        <f aca="false">'9'!E29</f>
        <v>0</v>
      </c>
      <c r="Y29" s="42" t="n">
        <f aca="false">'10'!E29</f>
        <v>0</v>
      </c>
      <c r="Z29" s="42" t="n">
        <f aca="false">'11'!E29</f>
        <v>256771.88</v>
      </c>
      <c r="AA29" s="42" t="n">
        <f aca="false">'12'!E29</f>
        <v>0</v>
      </c>
      <c r="AB29" s="42" t="n">
        <f aca="false">'1'!F29</f>
        <v>0</v>
      </c>
      <c r="AC29" s="42" t="n">
        <f aca="false">'2'!F29</f>
        <v>0</v>
      </c>
      <c r="AD29" s="42" t="n">
        <f aca="false">'3'!F29</f>
        <v>0</v>
      </c>
      <c r="AE29" s="42" t="n">
        <f aca="false">'4'!F29</f>
        <v>0</v>
      </c>
      <c r="AF29" s="42" t="n">
        <f aca="false">'5'!F29</f>
        <v>0</v>
      </c>
      <c r="AG29" s="42" t="n">
        <f aca="false">'6'!F29</f>
        <v>0</v>
      </c>
      <c r="AH29" s="42" t="n">
        <f aca="false">'7'!F29</f>
        <v>0</v>
      </c>
      <c r="AI29" s="42" t="n">
        <f aca="false">'8'!F29</f>
        <v>0</v>
      </c>
      <c r="AJ29" s="42" t="n">
        <f aca="false">'9'!F29</f>
        <v>0</v>
      </c>
      <c r="AK29" s="42" t="n">
        <f aca="false">'10'!F29</f>
        <v>0</v>
      </c>
      <c r="AL29" s="42" t="n">
        <f aca="false">'11'!F29</f>
        <v>0</v>
      </c>
      <c r="AM29" s="42" t="n">
        <f aca="false">'12'!F29</f>
        <v>0</v>
      </c>
      <c r="AN29" s="42" t="n">
        <f aca="false">'1'!G29</f>
        <v>0</v>
      </c>
      <c r="AO29" s="42" t="n">
        <f aca="false">'2'!G29</f>
        <v>0</v>
      </c>
      <c r="AP29" s="42" t="n">
        <f aca="false">'3'!G29</f>
        <v>0</v>
      </c>
      <c r="AQ29" s="42" t="n">
        <f aca="false">'4'!G29</f>
        <v>0</v>
      </c>
      <c r="AR29" s="42" t="n">
        <f aca="false">'5'!G29</f>
        <v>0</v>
      </c>
      <c r="AS29" s="42" t="n">
        <f aca="false">'6'!G29</f>
        <v>0</v>
      </c>
      <c r="AT29" s="42" t="n">
        <f aca="false">'7'!G29</f>
        <v>0</v>
      </c>
      <c r="AU29" s="42" t="n">
        <f aca="false">'8'!G29</f>
        <v>0</v>
      </c>
      <c r="AV29" s="42" t="n">
        <f aca="false">'9'!G29</f>
        <v>0</v>
      </c>
      <c r="AW29" s="42" t="n">
        <f aca="false">'10'!G29</f>
        <v>0</v>
      </c>
      <c r="AX29" s="42" t="n">
        <f aca="false">'11'!G29</f>
        <v>0</v>
      </c>
      <c r="AY29" s="42" t="n">
        <f aca="false">'12'!G29</f>
        <v>0</v>
      </c>
    </row>
    <row r="30" customFormat="false" ht="15" hidden="false" customHeight="true" outlineLevel="0" collapsed="false">
      <c r="A30" s="41" t="n">
        <f aca="false">'1'!A30</f>
        <v>209</v>
      </c>
      <c r="B30" s="1" t="str">
        <f aca="false">'1'!B30</f>
        <v>ORTOPROFIL PROD</v>
      </c>
      <c r="C30" s="1" t="str">
        <f aca="false">'1'!C30</f>
        <v>ROMANIA</v>
      </c>
      <c r="D30" s="42" t="n">
        <f aca="false">'1'!D30</f>
        <v>0</v>
      </c>
      <c r="E30" s="42" t="n">
        <f aca="false">'2'!D30</f>
        <v>49906.61</v>
      </c>
      <c r="F30" s="42" t="n">
        <f aca="false">'3'!D30</f>
        <v>25514.68</v>
      </c>
      <c r="G30" s="42" t="n">
        <f aca="false">'4'!D30</f>
        <v>27828.48</v>
      </c>
      <c r="H30" s="42" t="n">
        <f aca="false">'5'!D30</f>
        <v>31259.76</v>
      </c>
      <c r="I30" s="42" t="n">
        <f aca="false">'6'!D30</f>
        <v>37331.12</v>
      </c>
      <c r="J30" s="42" t="n">
        <f aca="false">'7'!D30</f>
        <v>27604.14</v>
      </c>
      <c r="K30" s="42" t="n">
        <f aca="false">'8'!D30</f>
        <v>21966.81</v>
      </c>
      <c r="L30" s="42" t="n">
        <f aca="false">'9'!D30</f>
        <v>64828.58</v>
      </c>
      <c r="M30" s="42" t="n">
        <f aca="false">'10'!D30</f>
        <v>0</v>
      </c>
      <c r="N30" s="42" t="n">
        <f aca="false">'11'!D30</f>
        <v>62633.86</v>
      </c>
      <c r="O30" s="42" t="n">
        <f aca="false">'12'!D30</f>
        <v>0</v>
      </c>
      <c r="P30" s="42" t="n">
        <f aca="false">'1'!E30</f>
        <v>0</v>
      </c>
      <c r="Q30" s="42" t="n">
        <f aca="false">'2'!E30</f>
        <v>49474.45</v>
      </c>
      <c r="R30" s="42" t="n">
        <f aca="false">'3'!E30</f>
        <v>43871.72</v>
      </c>
      <c r="S30" s="42" t="n">
        <f aca="false">'4'!E30</f>
        <v>38170.88</v>
      </c>
      <c r="T30" s="42" t="n">
        <f aca="false">'5'!E30</f>
        <v>56732.32</v>
      </c>
      <c r="U30" s="42" t="n">
        <f aca="false">'6'!E30</f>
        <v>53.7</v>
      </c>
      <c r="V30" s="42" t="n">
        <f aca="false">'7'!E30</f>
        <v>56344.52</v>
      </c>
      <c r="W30" s="42" t="n">
        <f aca="false">'8'!E30</f>
        <v>26937.54</v>
      </c>
      <c r="X30" s="42" t="n">
        <f aca="false">'9'!E30</f>
        <v>27485.96</v>
      </c>
      <c r="Y30" s="42" t="n">
        <f aca="false">'10'!E30</f>
        <v>36333.04</v>
      </c>
      <c r="Z30" s="42" t="n">
        <f aca="false">'11'!E30</f>
        <v>29107.59</v>
      </c>
      <c r="AA30" s="42" t="n">
        <f aca="false">'12'!E30</f>
        <v>41441.91</v>
      </c>
      <c r="AB30" s="42" t="n">
        <f aca="false">'1'!F30</f>
        <v>27429.74</v>
      </c>
      <c r="AC30" s="42" t="n">
        <f aca="false">'2'!F30</f>
        <v>24695.01</v>
      </c>
      <c r="AD30" s="42" t="n">
        <f aca="false">'3'!F30</f>
        <v>0</v>
      </c>
      <c r="AE30" s="42" t="n">
        <f aca="false">'4'!F30</f>
        <v>60931.15</v>
      </c>
      <c r="AF30" s="42" t="n">
        <f aca="false">'5'!F30</f>
        <v>33066.23</v>
      </c>
      <c r="AG30" s="42" t="n">
        <f aca="false">'6'!F30</f>
        <v>57084.96</v>
      </c>
      <c r="AH30" s="42" t="n">
        <f aca="false">'7'!F30</f>
        <v>41960.14</v>
      </c>
      <c r="AI30" s="42" t="n">
        <f aca="false">'8'!F30</f>
        <v>30237.69</v>
      </c>
      <c r="AJ30" s="42" t="n">
        <f aca="false">'9'!F30</f>
        <v>25430.19</v>
      </c>
      <c r="AK30" s="42" t="n">
        <f aca="false">'10'!F30</f>
        <v>0</v>
      </c>
      <c r="AL30" s="42" t="n">
        <f aca="false">'11'!F30</f>
        <v>0</v>
      </c>
      <c r="AM30" s="42" t="n">
        <f aca="false">'12'!F30</f>
        <v>0</v>
      </c>
      <c r="AN30" s="42" t="n">
        <f aca="false">'1'!G30</f>
        <v>0</v>
      </c>
      <c r="AO30" s="42" t="n">
        <f aca="false">'2'!G30</f>
        <v>0</v>
      </c>
      <c r="AP30" s="42" t="n">
        <f aca="false">'3'!G30</f>
        <v>0</v>
      </c>
      <c r="AQ30" s="42" t="n">
        <f aca="false">'4'!G30</f>
        <v>0</v>
      </c>
      <c r="AR30" s="42" t="n">
        <f aca="false">'5'!G30</f>
        <v>0</v>
      </c>
      <c r="AS30" s="42" t="n">
        <f aca="false">'6'!G30</f>
        <v>0</v>
      </c>
      <c r="AT30" s="42" t="n">
        <f aca="false">'7'!G30</f>
        <v>0</v>
      </c>
      <c r="AU30" s="42" t="n">
        <f aca="false">'8'!G30</f>
        <v>0</v>
      </c>
      <c r="AV30" s="42" t="n">
        <f aca="false">'9'!G30</f>
        <v>0</v>
      </c>
      <c r="AW30" s="42" t="n">
        <f aca="false">'10'!G30</f>
        <v>0</v>
      </c>
      <c r="AX30" s="42" t="n">
        <f aca="false">'11'!G30</f>
        <v>0</v>
      </c>
      <c r="AY30" s="42" t="n">
        <f aca="false">'12'!G30</f>
        <v>0</v>
      </c>
    </row>
    <row r="31" customFormat="false" ht="15" hidden="false" customHeight="true" outlineLevel="0" collapsed="false">
      <c r="A31" s="41" t="n">
        <f aca="false">'1'!A31</f>
        <v>210</v>
      </c>
      <c r="B31" s="1" t="str">
        <f aca="false">'1'!B31</f>
        <v>OY. EA. AB.</v>
      </c>
      <c r="C31" s="1" t="str">
        <f aca="false">'1'!C31</f>
        <v>FINLAND</v>
      </c>
      <c r="D31" s="42" t="n">
        <f aca="false">'1'!D31</f>
        <v>0</v>
      </c>
      <c r="E31" s="42" t="n">
        <f aca="false">'2'!D31</f>
        <v>0</v>
      </c>
      <c r="F31" s="42" t="n">
        <f aca="false">'3'!D31</f>
        <v>0</v>
      </c>
      <c r="G31" s="42" t="n">
        <f aca="false">'4'!D31</f>
        <v>49617.59</v>
      </c>
      <c r="H31" s="42" t="n">
        <f aca="false">'5'!D31</f>
        <v>0</v>
      </c>
      <c r="I31" s="42" t="n">
        <f aca="false">'6'!D31</f>
        <v>0</v>
      </c>
      <c r="J31" s="42" t="n">
        <f aca="false">'7'!D31</f>
        <v>0</v>
      </c>
      <c r="K31" s="42" t="n">
        <f aca="false">'8'!D31</f>
        <v>0</v>
      </c>
      <c r="L31" s="42" t="n">
        <f aca="false">'9'!D31</f>
        <v>54153.1</v>
      </c>
      <c r="M31" s="42" t="n">
        <f aca="false">'10'!D31</f>
        <v>3920.16</v>
      </c>
      <c r="N31" s="42" t="n">
        <f aca="false">'11'!D31</f>
        <v>0</v>
      </c>
      <c r="O31" s="42" t="n">
        <f aca="false">'12'!D31</f>
        <v>0</v>
      </c>
      <c r="P31" s="42" t="n">
        <f aca="false">'1'!E31</f>
        <v>0</v>
      </c>
      <c r="Q31" s="42" t="n">
        <f aca="false">'2'!E31</f>
        <v>0</v>
      </c>
      <c r="R31" s="42" t="n">
        <f aca="false">'3'!E31</f>
        <v>32010.18</v>
      </c>
      <c r="S31" s="42" t="n">
        <f aca="false">'4'!E31</f>
        <v>0</v>
      </c>
      <c r="T31" s="42" t="n">
        <f aca="false">'5'!E31</f>
        <v>0</v>
      </c>
      <c r="U31" s="42" t="n">
        <f aca="false">'6'!E31</f>
        <v>0</v>
      </c>
      <c r="V31" s="42" t="n">
        <f aca="false">'7'!E31</f>
        <v>0</v>
      </c>
      <c r="W31" s="42" t="n">
        <f aca="false">'8'!E31</f>
        <v>0</v>
      </c>
      <c r="X31" s="42" t="n">
        <f aca="false">'9'!E31</f>
        <v>0</v>
      </c>
      <c r="Y31" s="42" t="n">
        <f aca="false">'10'!E31</f>
        <v>0</v>
      </c>
      <c r="Z31" s="42" t="n">
        <f aca="false">'11'!E31</f>
        <v>32544.41</v>
      </c>
      <c r="AA31" s="42" t="n">
        <f aca="false">'12'!E31</f>
        <v>0</v>
      </c>
      <c r="AB31" s="42" t="n">
        <f aca="false">'1'!F31</f>
        <v>0</v>
      </c>
      <c r="AC31" s="42" t="n">
        <f aca="false">'2'!F31</f>
        <v>0</v>
      </c>
      <c r="AD31" s="42" t="n">
        <f aca="false">'3'!F31</f>
        <v>0</v>
      </c>
      <c r="AE31" s="42" t="n">
        <f aca="false">'4'!F31</f>
        <v>0</v>
      </c>
      <c r="AF31" s="42" t="n">
        <f aca="false">'5'!F31</f>
        <v>43116.44</v>
      </c>
      <c r="AG31" s="42" t="n">
        <f aca="false">'6'!F31</f>
        <v>0</v>
      </c>
      <c r="AH31" s="42" t="n">
        <f aca="false">'7'!F31</f>
        <v>0</v>
      </c>
      <c r="AI31" s="42" t="n">
        <f aca="false">'8'!F31</f>
        <v>0</v>
      </c>
      <c r="AJ31" s="42" t="n">
        <f aca="false">'9'!F31</f>
        <v>0</v>
      </c>
      <c r="AK31" s="42" t="n">
        <f aca="false">'10'!F31</f>
        <v>0</v>
      </c>
      <c r="AL31" s="42" t="n">
        <f aca="false">'11'!F31</f>
        <v>0</v>
      </c>
      <c r="AM31" s="42" t="n">
        <f aca="false">'12'!F31</f>
        <v>0</v>
      </c>
      <c r="AN31" s="42" t="n">
        <f aca="false">'1'!G31</f>
        <v>0</v>
      </c>
      <c r="AO31" s="42" t="n">
        <f aca="false">'2'!G31</f>
        <v>0</v>
      </c>
      <c r="AP31" s="42" t="n">
        <f aca="false">'3'!G31</f>
        <v>0</v>
      </c>
      <c r="AQ31" s="42" t="n">
        <f aca="false">'4'!G31</f>
        <v>0</v>
      </c>
      <c r="AR31" s="42" t="n">
        <f aca="false">'5'!G31</f>
        <v>0</v>
      </c>
      <c r="AS31" s="42" t="n">
        <f aca="false">'6'!G31</f>
        <v>0</v>
      </c>
      <c r="AT31" s="42" t="n">
        <f aca="false">'7'!G31</f>
        <v>0</v>
      </c>
      <c r="AU31" s="42" t="n">
        <f aca="false">'8'!G31</f>
        <v>0</v>
      </c>
      <c r="AV31" s="42" t="n">
        <f aca="false">'9'!G31</f>
        <v>0</v>
      </c>
      <c r="AW31" s="42" t="n">
        <f aca="false">'10'!G31</f>
        <v>0</v>
      </c>
      <c r="AX31" s="42" t="n">
        <f aca="false">'11'!G31</f>
        <v>0</v>
      </c>
      <c r="AY31" s="42" t="n">
        <f aca="false">'12'!G31</f>
        <v>0</v>
      </c>
    </row>
    <row r="32" customFormat="false" ht="15" hidden="false" customHeight="true" outlineLevel="0" collapsed="false">
      <c r="A32" s="41" t="n">
        <f aca="false">'1'!A32</f>
        <v>201</v>
      </c>
      <c r="B32" s="1" t="str">
        <f aca="false">'1'!B32</f>
        <v>SEVEN GEAR</v>
      </c>
      <c r="C32" s="1" t="str">
        <f aca="false">'1'!C32</f>
        <v>FINLAND</v>
      </c>
      <c r="D32" s="42" t="n">
        <f aca="false">'1'!D32</f>
        <v>0</v>
      </c>
      <c r="E32" s="42" t="n">
        <f aca="false">'2'!D32</f>
        <v>0</v>
      </c>
      <c r="F32" s="42" t="n">
        <f aca="false">'3'!D32</f>
        <v>0</v>
      </c>
      <c r="G32" s="42" t="n">
        <f aca="false">'4'!D32</f>
        <v>20354.79</v>
      </c>
      <c r="H32" s="42" t="n">
        <f aca="false">'5'!D32</f>
        <v>0</v>
      </c>
      <c r="I32" s="42" t="n">
        <f aca="false">'6'!D32</f>
        <v>0</v>
      </c>
      <c r="J32" s="42" t="n">
        <f aca="false">'7'!D32</f>
        <v>0</v>
      </c>
      <c r="K32" s="42" t="n">
        <f aca="false">'8'!D32</f>
        <v>0</v>
      </c>
      <c r="L32" s="42" t="n">
        <f aca="false">'9'!D32</f>
        <v>20673.57</v>
      </c>
      <c r="M32" s="42" t="n">
        <f aca="false">'10'!D32</f>
        <v>0</v>
      </c>
      <c r="N32" s="42" t="n">
        <f aca="false">'11'!D32</f>
        <v>0</v>
      </c>
      <c r="O32" s="42" t="n">
        <f aca="false">'12'!D32</f>
        <v>0</v>
      </c>
      <c r="P32" s="42" t="n">
        <f aca="false">'1'!E32</f>
        <v>19897.57</v>
      </c>
      <c r="Q32" s="42" t="n">
        <f aca="false">'2'!E32</f>
        <v>0</v>
      </c>
      <c r="R32" s="42" t="n">
        <f aca="false">'3'!E32</f>
        <v>0</v>
      </c>
      <c r="S32" s="42" t="n">
        <f aca="false">'4'!E32</f>
        <v>0</v>
      </c>
      <c r="T32" s="42" t="n">
        <f aca="false">'5'!E32</f>
        <v>18835.73</v>
      </c>
      <c r="U32" s="42" t="n">
        <f aca="false">'6'!E32</f>
        <v>0</v>
      </c>
      <c r="V32" s="42" t="n">
        <f aca="false">'7'!E32</f>
        <v>0</v>
      </c>
      <c r="W32" s="42" t="n">
        <f aca="false">'8'!E32</f>
        <v>0</v>
      </c>
      <c r="X32" s="42" t="n">
        <f aca="false">'9'!E32</f>
        <v>0</v>
      </c>
      <c r="Y32" s="42" t="n">
        <f aca="false">'10'!E32</f>
        <v>22174.82</v>
      </c>
      <c r="Z32" s="42" t="n">
        <f aca="false">'11'!E32</f>
        <v>0.08</v>
      </c>
      <c r="AA32" s="42" t="n">
        <f aca="false">'12'!E32</f>
        <v>0</v>
      </c>
      <c r="AB32" s="42" t="n">
        <f aca="false">'1'!F32</f>
        <v>0</v>
      </c>
      <c r="AC32" s="42" t="n">
        <f aca="false">'2'!F32</f>
        <v>0</v>
      </c>
      <c r="AD32" s="42" t="n">
        <f aca="false">'3'!F32</f>
        <v>0</v>
      </c>
      <c r="AE32" s="42" t="n">
        <f aca="false">'4'!F32</f>
        <v>17809.5</v>
      </c>
      <c r="AF32" s="42" t="n">
        <f aca="false">'5'!F32</f>
        <v>0</v>
      </c>
      <c r="AG32" s="42" t="n">
        <f aca="false">'6'!F32</f>
        <v>0</v>
      </c>
      <c r="AH32" s="42" t="n">
        <f aca="false">'7'!F32</f>
        <v>0</v>
      </c>
      <c r="AI32" s="42" t="n">
        <f aca="false">'8'!F32</f>
        <v>0</v>
      </c>
      <c r="AJ32" s="42" t="n">
        <f aca="false">'9'!F32</f>
        <v>21590.63</v>
      </c>
      <c r="AK32" s="42" t="n">
        <f aca="false">'10'!F32</f>
        <v>0</v>
      </c>
      <c r="AL32" s="42" t="n">
        <f aca="false">'11'!F32</f>
        <v>0</v>
      </c>
      <c r="AM32" s="42" t="n">
        <f aca="false">'12'!F32</f>
        <v>0</v>
      </c>
      <c r="AN32" s="42" t="n">
        <f aca="false">'1'!G32</f>
        <v>0</v>
      </c>
      <c r="AO32" s="42" t="n">
        <f aca="false">'2'!G32</f>
        <v>0</v>
      </c>
      <c r="AP32" s="42" t="n">
        <f aca="false">'3'!G32</f>
        <v>0</v>
      </c>
      <c r="AQ32" s="42" t="n">
        <f aca="false">'4'!G32</f>
        <v>0</v>
      </c>
      <c r="AR32" s="42" t="n">
        <f aca="false">'5'!G32</f>
        <v>0</v>
      </c>
      <c r="AS32" s="42" t="n">
        <f aca="false">'6'!G32</f>
        <v>0</v>
      </c>
      <c r="AT32" s="42" t="n">
        <f aca="false">'7'!G32</f>
        <v>0</v>
      </c>
      <c r="AU32" s="42" t="n">
        <f aca="false">'8'!G32</f>
        <v>0</v>
      </c>
      <c r="AV32" s="42" t="n">
        <f aca="false">'9'!G32</f>
        <v>0</v>
      </c>
      <c r="AW32" s="42" t="n">
        <f aca="false">'10'!G32</f>
        <v>0</v>
      </c>
      <c r="AX32" s="42" t="n">
        <f aca="false">'11'!G32</f>
        <v>0</v>
      </c>
      <c r="AY32" s="42" t="n">
        <f aca="false">'12'!G32</f>
        <v>0</v>
      </c>
    </row>
    <row r="33" customFormat="false" ht="15" hidden="false" customHeight="true" outlineLevel="0" collapsed="false">
      <c r="A33" s="41" t="n">
        <f aca="false">'1'!A33</f>
        <v>211</v>
      </c>
      <c r="B33" s="1" t="str">
        <f aca="false">'1'!B33</f>
        <v>PHARMAG LACHMAIR GES. MBH</v>
      </c>
      <c r="C33" s="1" t="str">
        <f aca="false">'1'!C33</f>
        <v>AUSTRIA</v>
      </c>
      <c r="D33" s="42" t="n">
        <f aca="false">'1'!D33</f>
        <v>0</v>
      </c>
      <c r="E33" s="42" t="n">
        <f aca="false">'2'!D33</f>
        <v>0</v>
      </c>
      <c r="F33" s="42" t="n">
        <f aca="false">'3'!D33</f>
        <v>0</v>
      </c>
      <c r="G33" s="42" t="n">
        <f aca="false">'4'!D33</f>
        <v>0</v>
      </c>
      <c r="H33" s="42" t="n">
        <f aca="false">'5'!D33</f>
        <v>0</v>
      </c>
      <c r="I33" s="42" t="n">
        <f aca="false">'6'!D33</f>
        <v>0</v>
      </c>
      <c r="J33" s="42" t="n">
        <f aca="false">'7'!D33</f>
        <v>0</v>
      </c>
      <c r="K33" s="42" t="n">
        <f aca="false">'8'!D33</f>
        <v>0</v>
      </c>
      <c r="L33" s="42" t="n">
        <f aca="false">'9'!D33</f>
        <v>31722.98</v>
      </c>
      <c r="M33" s="42" t="n">
        <f aca="false">'10'!D33</f>
        <v>0</v>
      </c>
      <c r="N33" s="42" t="n">
        <f aca="false">'11'!D33</f>
        <v>0</v>
      </c>
      <c r="O33" s="42" t="n">
        <f aca="false">'12'!D33</f>
        <v>0</v>
      </c>
      <c r="P33" s="42" t="n">
        <f aca="false">'1'!E33</f>
        <v>0</v>
      </c>
      <c r="Q33" s="42" t="n">
        <f aca="false">'2'!E33</f>
        <v>0</v>
      </c>
      <c r="R33" s="42" t="n">
        <f aca="false">'3'!E33</f>
        <v>16024.5</v>
      </c>
      <c r="S33" s="42" t="n">
        <f aca="false">'4'!E33</f>
        <v>0</v>
      </c>
      <c r="T33" s="42" t="n">
        <f aca="false">'5'!E33</f>
        <v>0</v>
      </c>
      <c r="U33" s="42" t="n">
        <f aca="false">'6'!E33</f>
        <v>0</v>
      </c>
      <c r="V33" s="42" t="n">
        <f aca="false">'7'!E33</f>
        <v>15559.58</v>
      </c>
      <c r="W33" s="42" t="n">
        <f aca="false">'8'!E33</f>
        <v>0</v>
      </c>
      <c r="X33" s="42" t="n">
        <f aca="false">'9'!E33</f>
        <v>50202.49</v>
      </c>
      <c r="Y33" s="42" t="n">
        <f aca="false">'10'!E33</f>
        <v>0</v>
      </c>
      <c r="Z33" s="42" t="n">
        <f aca="false">'11'!E33</f>
        <v>0</v>
      </c>
      <c r="AA33" s="42" t="n">
        <f aca="false">'12'!E33</f>
        <v>0</v>
      </c>
      <c r="AB33" s="42" t="n">
        <f aca="false">'1'!F33</f>
        <v>0</v>
      </c>
      <c r="AC33" s="42" t="n">
        <f aca="false">'2'!F33</f>
        <v>0</v>
      </c>
      <c r="AD33" s="42" t="n">
        <f aca="false">'3'!F33</f>
        <v>0</v>
      </c>
      <c r="AE33" s="42" t="n">
        <f aca="false">'4'!F33</f>
        <v>0</v>
      </c>
      <c r="AF33" s="42" t="n">
        <f aca="false">'5'!F33</f>
        <v>0</v>
      </c>
      <c r="AG33" s="42" t="n">
        <f aca="false">'6'!F33</f>
        <v>0</v>
      </c>
      <c r="AH33" s="42" t="n">
        <f aca="false">'7'!F33</f>
        <v>0</v>
      </c>
      <c r="AI33" s="42" t="n">
        <f aca="false">'8'!F33</f>
        <v>10037.15</v>
      </c>
      <c r="AJ33" s="42" t="n">
        <f aca="false">'9'!F33</f>
        <v>0</v>
      </c>
      <c r="AK33" s="42" t="n">
        <f aca="false">'10'!F33</f>
        <v>0</v>
      </c>
      <c r="AL33" s="42" t="n">
        <f aca="false">'11'!F33</f>
        <v>0</v>
      </c>
      <c r="AM33" s="42" t="n">
        <f aca="false">'12'!F33</f>
        <v>0</v>
      </c>
      <c r="AN33" s="42" t="n">
        <f aca="false">'1'!G33</f>
        <v>0</v>
      </c>
      <c r="AO33" s="42" t="n">
        <f aca="false">'2'!G33</f>
        <v>0</v>
      </c>
      <c r="AP33" s="42" t="n">
        <f aca="false">'3'!G33</f>
        <v>0</v>
      </c>
      <c r="AQ33" s="42" t="n">
        <f aca="false">'4'!G33</f>
        <v>0</v>
      </c>
      <c r="AR33" s="42" t="n">
        <f aca="false">'5'!G33</f>
        <v>0</v>
      </c>
      <c r="AS33" s="42" t="n">
        <f aca="false">'6'!G33</f>
        <v>0</v>
      </c>
      <c r="AT33" s="42" t="n">
        <f aca="false">'7'!G33</f>
        <v>0</v>
      </c>
      <c r="AU33" s="42" t="n">
        <f aca="false">'8'!G33</f>
        <v>0</v>
      </c>
      <c r="AV33" s="42" t="n">
        <f aca="false">'9'!G33</f>
        <v>0</v>
      </c>
      <c r="AW33" s="42" t="n">
        <f aca="false">'10'!G33</f>
        <v>0</v>
      </c>
      <c r="AX33" s="42" t="n">
        <f aca="false">'11'!G33</f>
        <v>0</v>
      </c>
      <c r="AY33" s="42" t="n">
        <f aca="false">'12'!G33</f>
        <v>0</v>
      </c>
    </row>
    <row r="34" customFormat="false" ht="15" hidden="false" customHeight="true" outlineLevel="0" collapsed="false">
      <c r="A34" s="41" t="n">
        <f aca="false">'1'!A34</f>
        <v>304</v>
      </c>
      <c r="B34" s="1" t="str">
        <f aca="false">'1'!B34</f>
        <v>REMEDICARE B.V.</v>
      </c>
      <c r="C34" s="1" t="str">
        <f aca="false">'1'!C34</f>
        <v>HOLLAND</v>
      </c>
      <c r="D34" s="42" t="n">
        <f aca="false">'1'!D34</f>
        <v>0</v>
      </c>
      <c r="E34" s="42" t="n">
        <f aca="false">'2'!D34</f>
        <v>0</v>
      </c>
      <c r="F34" s="42" t="n">
        <f aca="false">'3'!D34</f>
        <v>0</v>
      </c>
      <c r="G34" s="42" t="n">
        <f aca="false">'4'!D34</f>
        <v>0</v>
      </c>
      <c r="H34" s="42" t="n">
        <f aca="false">'5'!D34</f>
        <v>0</v>
      </c>
      <c r="I34" s="42" t="n">
        <f aca="false">'6'!D34</f>
        <v>0</v>
      </c>
      <c r="J34" s="42" t="n">
        <f aca="false">'7'!D34</f>
        <v>0</v>
      </c>
      <c r="K34" s="42" t="n">
        <f aca="false">'8'!D34</f>
        <v>0</v>
      </c>
      <c r="L34" s="42" t="n">
        <f aca="false">'9'!D34</f>
        <v>0</v>
      </c>
      <c r="M34" s="42" t="n">
        <f aca="false">'10'!D34</f>
        <v>0</v>
      </c>
      <c r="N34" s="42" t="n">
        <f aca="false">'11'!D34</f>
        <v>0</v>
      </c>
      <c r="O34" s="42" t="n">
        <f aca="false">'12'!D34</f>
        <v>0</v>
      </c>
      <c r="P34" s="42" t="n">
        <f aca="false">'1'!E34</f>
        <v>0</v>
      </c>
      <c r="Q34" s="42" t="n">
        <f aca="false">'2'!E34</f>
        <v>0</v>
      </c>
      <c r="R34" s="42" t="n">
        <f aca="false">'3'!E34</f>
        <v>0</v>
      </c>
      <c r="S34" s="42" t="n">
        <f aca="false">'4'!E34</f>
        <v>0</v>
      </c>
      <c r="T34" s="42" t="n">
        <f aca="false">'5'!E34</f>
        <v>0</v>
      </c>
      <c r="U34" s="42" t="n">
        <f aca="false">'6'!E34</f>
        <v>0</v>
      </c>
      <c r="V34" s="42" t="n">
        <f aca="false">'7'!E34</f>
        <v>0</v>
      </c>
      <c r="W34" s="42" t="n">
        <f aca="false">'8'!E34</f>
        <v>0</v>
      </c>
      <c r="X34" s="42" t="n">
        <f aca="false">'9'!E34</f>
        <v>0</v>
      </c>
      <c r="Y34" s="42" t="n">
        <f aca="false">'10'!E34</f>
        <v>0</v>
      </c>
      <c r="Z34" s="42" t="n">
        <f aca="false">'11'!E34</f>
        <v>0</v>
      </c>
      <c r="AA34" s="42" t="n">
        <f aca="false">'12'!E34</f>
        <v>0</v>
      </c>
      <c r="AB34" s="42" t="n">
        <f aca="false">'1'!F34</f>
        <v>0</v>
      </c>
      <c r="AC34" s="42" t="n">
        <f aca="false">'2'!F34</f>
        <v>0</v>
      </c>
      <c r="AD34" s="42" t="n">
        <f aca="false">'3'!F34</f>
        <v>0</v>
      </c>
      <c r="AE34" s="42" t="n">
        <f aca="false">'4'!F34</f>
        <v>0</v>
      </c>
      <c r="AF34" s="42" t="n">
        <f aca="false">'5'!F34</f>
        <v>0</v>
      </c>
      <c r="AG34" s="42" t="n">
        <f aca="false">'6'!F34</f>
        <v>0</v>
      </c>
      <c r="AH34" s="42" t="n">
        <f aca="false">'7'!F34</f>
        <v>0</v>
      </c>
      <c r="AI34" s="42" t="n">
        <f aca="false">'8'!F34</f>
        <v>0</v>
      </c>
      <c r="AJ34" s="42" t="n">
        <f aca="false">'9'!F34</f>
        <v>0</v>
      </c>
      <c r="AK34" s="42" t="n">
        <f aca="false">'10'!F34</f>
        <v>0</v>
      </c>
      <c r="AL34" s="42" t="n">
        <f aca="false">'11'!F34</f>
        <v>0</v>
      </c>
      <c r="AM34" s="42" t="n">
        <f aca="false">'12'!F34</f>
        <v>0</v>
      </c>
      <c r="AN34" s="42" t="n">
        <f aca="false">'1'!G34</f>
        <v>0</v>
      </c>
      <c r="AO34" s="42" t="n">
        <f aca="false">'2'!G34</f>
        <v>0</v>
      </c>
      <c r="AP34" s="42" t="n">
        <f aca="false">'3'!G34</f>
        <v>0</v>
      </c>
      <c r="AQ34" s="42" t="n">
        <f aca="false">'4'!G34</f>
        <v>0</v>
      </c>
      <c r="AR34" s="42" t="n">
        <f aca="false">'5'!G34</f>
        <v>0</v>
      </c>
      <c r="AS34" s="42" t="n">
        <f aca="false">'6'!G34</f>
        <v>0</v>
      </c>
      <c r="AT34" s="42" t="n">
        <f aca="false">'7'!G34</f>
        <v>0</v>
      </c>
      <c r="AU34" s="42" t="n">
        <f aca="false">'8'!G34</f>
        <v>0</v>
      </c>
      <c r="AV34" s="42" t="n">
        <f aca="false">'9'!G34</f>
        <v>0</v>
      </c>
      <c r="AW34" s="42" t="n">
        <f aca="false">'10'!G34</f>
        <v>0</v>
      </c>
      <c r="AX34" s="42" t="n">
        <f aca="false">'11'!G34</f>
        <v>0</v>
      </c>
      <c r="AY34" s="42" t="n">
        <f aca="false">'12'!G34</f>
        <v>0</v>
      </c>
    </row>
    <row r="35" customFormat="false" ht="15" hidden="false" customHeight="true" outlineLevel="0" collapsed="false">
      <c r="A35" s="41" t="n">
        <f aca="false">'1'!A35</f>
        <v>213</v>
      </c>
      <c r="B35" s="1" t="str">
        <f aca="false">'1'!B35</f>
        <v>E.F.M.O.</v>
      </c>
      <c r="C35" s="1" t="str">
        <f aca="false">'1'!C35</f>
        <v>SPAIN</v>
      </c>
      <c r="D35" s="42" t="n">
        <f aca="false">'1'!D35</f>
        <v>20732.48</v>
      </c>
      <c r="E35" s="42" t="n">
        <f aca="false">'2'!D35</f>
        <v>19941.82</v>
      </c>
      <c r="F35" s="42" t="n">
        <f aca="false">'3'!D35</f>
        <v>-20732.48</v>
      </c>
      <c r="G35" s="42" t="n">
        <f aca="false">'4'!D35</f>
        <v>0</v>
      </c>
      <c r="H35" s="42" t="n">
        <f aca="false">'5'!D35</f>
        <v>0</v>
      </c>
      <c r="I35" s="42" t="n">
        <f aca="false">'6'!D35</f>
        <v>0</v>
      </c>
      <c r="J35" s="42" t="n">
        <f aca="false">'7'!D35</f>
        <v>13897.42</v>
      </c>
      <c r="K35" s="42" t="n">
        <f aca="false">'8'!D35</f>
        <v>0</v>
      </c>
      <c r="L35" s="42" t="n">
        <f aca="false">'9'!D35</f>
        <v>1987.54</v>
      </c>
      <c r="M35" s="42" t="n">
        <f aca="false">'10'!D35</f>
        <v>0</v>
      </c>
      <c r="N35" s="42" t="n">
        <f aca="false">'11'!D35</f>
        <v>0</v>
      </c>
      <c r="O35" s="42" t="n">
        <f aca="false">'12'!D35</f>
        <v>0</v>
      </c>
      <c r="P35" s="42" t="n">
        <f aca="false">'1'!E35</f>
        <v>19111.37</v>
      </c>
      <c r="Q35" s="42" t="n">
        <f aca="false">'2'!E35</f>
        <v>1584.32</v>
      </c>
      <c r="R35" s="42" t="n">
        <f aca="false">'3'!E35</f>
        <v>0</v>
      </c>
      <c r="S35" s="42" t="n">
        <f aca="false">'4'!E35</f>
        <v>0</v>
      </c>
      <c r="T35" s="42" t="n">
        <f aca="false">'5'!E35</f>
        <v>19017.88</v>
      </c>
      <c r="U35" s="42" t="n">
        <f aca="false">'6'!E35</f>
        <v>0</v>
      </c>
      <c r="V35" s="42" t="n">
        <f aca="false">'7'!E35</f>
        <v>0</v>
      </c>
      <c r="W35" s="42" t="n">
        <f aca="false">'8'!E35</f>
        <v>0</v>
      </c>
      <c r="X35" s="42" t="n">
        <f aca="false">'9'!E35</f>
        <v>0</v>
      </c>
      <c r="Y35" s="42" t="n">
        <f aca="false">'10'!E35</f>
        <v>0</v>
      </c>
      <c r="Z35" s="42" t="n">
        <f aca="false">'11'!E35</f>
        <v>0</v>
      </c>
      <c r="AA35" s="42" t="n">
        <f aca="false">'12'!E35</f>
        <v>0</v>
      </c>
      <c r="AB35" s="42" t="n">
        <f aca="false">'1'!F35</f>
        <v>18792.66</v>
      </c>
      <c r="AC35" s="42" t="n">
        <f aca="false">'2'!F35</f>
        <v>0</v>
      </c>
      <c r="AD35" s="42" t="n">
        <f aca="false">'3'!F35</f>
        <v>0</v>
      </c>
      <c r="AE35" s="42" t="n">
        <f aca="false">'4'!F35</f>
        <v>0</v>
      </c>
      <c r="AF35" s="42" t="n">
        <f aca="false">'5'!F35</f>
        <v>0</v>
      </c>
      <c r="AG35" s="42" t="n">
        <f aca="false">'6'!F35</f>
        <v>0</v>
      </c>
      <c r="AH35" s="42" t="n">
        <f aca="false">'7'!F35</f>
        <v>0</v>
      </c>
      <c r="AI35" s="42" t="n">
        <f aca="false">'8'!F35</f>
        <v>18350.05</v>
      </c>
      <c r="AJ35" s="42" t="n">
        <f aca="false">'9'!F35</f>
        <v>0</v>
      </c>
      <c r="AK35" s="42" t="n">
        <f aca="false">'10'!F35</f>
        <v>0</v>
      </c>
      <c r="AL35" s="42" t="n">
        <f aca="false">'11'!F35</f>
        <v>0</v>
      </c>
      <c r="AM35" s="42" t="n">
        <f aca="false">'12'!F35</f>
        <v>0</v>
      </c>
      <c r="AN35" s="42" t="n">
        <f aca="false">'1'!G35</f>
        <v>0</v>
      </c>
      <c r="AO35" s="42" t="n">
        <f aca="false">'2'!G35</f>
        <v>0</v>
      </c>
      <c r="AP35" s="42" t="n">
        <f aca="false">'3'!G35</f>
        <v>0</v>
      </c>
      <c r="AQ35" s="42" t="n">
        <f aca="false">'4'!G35</f>
        <v>0</v>
      </c>
      <c r="AR35" s="42" t="n">
        <f aca="false">'5'!G35</f>
        <v>0</v>
      </c>
      <c r="AS35" s="42" t="n">
        <f aca="false">'6'!G35</f>
        <v>0</v>
      </c>
      <c r="AT35" s="42" t="n">
        <f aca="false">'7'!G35</f>
        <v>0</v>
      </c>
      <c r="AU35" s="42" t="n">
        <f aca="false">'8'!G35</f>
        <v>0</v>
      </c>
      <c r="AV35" s="42" t="n">
        <f aca="false">'9'!G35</f>
        <v>0</v>
      </c>
      <c r="AW35" s="42" t="n">
        <f aca="false">'10'!G35</f>
        <v>0</v>
      </c>
      <c r="AX35" s="42" t="n">
        <f aca="false">'11'!G35</f>
        <v>0</v>
      </c>
      <c r="AY35" s="42" t="n">
        <f aca="false">'12'!G35</f>
        <v>0</v>
      </c>
    </row>
    <row r="36" customFormat="false" ht="15" hidden="false" customHeight="true" outlineLevel="0" collapsed="false">
      <c r="A36" s="41" t="n">
        <f aca="false">'1'!A36</f>
        <v>214</v>
      </c>
      <c r="B36" s="1" t="str">
        <f aca="false">'1'!B36</f>
        <v>ALFRED GERA</v>
      </c>
      <c r="C36" s="1" t="str">
        <f aca="false">'1'!C36</f>
        <v>MALTA</v>
      </c>
      <c r="D36" s="42" t="n">
        <f aca="false">'1'!D36</f>
        <v>0</v>
      </c>
      <c r="E36" s="42" t="n">
        <f aca="false">'2'!D36</f>
        <v>34034.18</v>
      </c>
      <c r="F36" s="42" t="n">
        <f aca="false">'3'!D36</f>
        <v>0</v>
      </c>
      <c r="G36" s="42" t="n">
        <f aca="false">'4'!D36</f>
        <v>0</v>
      </c>
      <c r="H36" s="42" t="n">
        <f aca="false">'5'!D36</f>
        <v>0</v>
      </c>
      <c r="I36" s="42" t="n">
        <f aca="false">'6'!D36</f>
        <v>0</v>
      </c>
      <c r="J36" s="42" t="n">
        <f aca="false">'7'!D36</f>
        <v>0</v>
      </c>
      <c r="K36" s="42" t="n">
        <f aca="false">'8'!D36</f>
        <v>25140.85</v>
      </c>
      <c r="L36" s="42" t="n">
        <f aca="false">'9'!D36</f>
        <v>0</v>
      </c>
      <c r="M36" s="42" t="n">
        <f aca="false">'10'!D36</f>
        <v>0</v>
      </c>
      <c r="N36" s="42" t="n">
        <f aca="false">'11'!D36</f>
        <v>0</v>
      </c>
      <c r="O36" s="42" t="n">
        <f aca="false">'12'!D36</f>
        <v>0</v>
      </c>
      <c r="P36" s="42" t="n">
        <f aca="false">'1'!E36</f>
        <v>0</v>
      </c>
      <c r="Q36" s="42" t="n">
        <f aca="false">'2'!E36</f>
        <v>0</v>
      </c>
      <c r="R36" s="42" t="n">
        <f aca="false">'3'!E36</f>
        <v>0</v>
      </c>
      <c r="S36" s="42" t="n">
        <f aca="false">'4'!E36</f>
        <v>0</v>
      </c>
      <c r="T36" s="42" t="n">
        <f aca="false">'5'!E36</f>
        <v>30531.53</v>
      </c>
      <c r="U36" s="42" t="n">
        <f aca="false">'6'!E36</f>
        <v>0</v>
      </c>
      <c r="V36" s="42" t="n">
        <f aca="false">'7'!E36</f>
        <v>0</v>
      </c>
      <c r="W36" s="42" t="n">
        <f aca="false">'8'!E36</f>
        <v>0</v>
      </c>
      <c r="X36" s="42" t="n">
        <f aca="false">'9'!E36</f>
        <v>0</v>
      </c>
      <c r="Y36" s="42" t="n">
        <f aca="false">'10'!E36</f>
        <v>0</v>
      </c>
      <c r="Z36" s="42" t="n">
        <f aca="false">'11'!E36</f>
        <v>23331.65</v>
      </c>
      <c r="AA36" s="42" t="n">
        <f aca="false">'12'!E36</f>
        <v>0</v>
      </c>
      <c r="AB36" s="42" t="n">
        <f aca="false">'1'!F36</f>
        <v>0</v>
      </c>
      <c r="AC36" s="42" t="n">
        <f aca="false">'2'!F36</f>
        <v>0</v>
      </c>
      <c r="AD36" s="42" t="n">
        <f aca="false">'3'!F36</f>
        <v>0</v>
      </c>
      <c r="AE36" s="42" t="n">
        <f aca="false">'4'!F36</f>
        <v>0</v>
      </c>
      <c r="AF36" s="42" t="n">
        <f aca="false">'5'!F36</f>
        <v>0</v>
      </c>
      <c r="AG36" s="42" t="n">
        <f aca="false">'6'!F36</f>
        <v>0</v>
      </c>
      <c r="AH36" s="42" t="n">
        <f aca="false">'7'!F36</f>
        <v>0</v>
      </c>
      <c r="AI36" s="42" t="n">
        <f aca="false">'8'!F36</f>
        <v>26105.72</v>
      </c>
      <c r="AJ36" s="42" t="n">
        <f aca="false">'9'!F36</f>
        <v>0</v>
      </c>
      <c r="AK36" s="42" t="n">
        <f aca="false">'10'!F36</f>
        <v>0</v>
      </c>
      <c r="AL36" s="42" t="n">
        <f aca="false">'11'!F36</f>
        <v>0</v>
      </c>
      <c r="AM36" s="42" t="n">
        <f aca="false">'12'!F36</f>
        <v>0</v>
      </c>
      <c r="AN36" s="42" t="n">
        <f aca="false">'1'!G36</f>
        <v>0</v>
      </c>
      <c r="AO36" s="42" t="n">
        <f aca="false">'2'!G36</f>
        <v>0</v>
      </c>
      <c r="AP36" s="42" t="n">
        <f aca="false">'3'!G36</f>
        <v>0</v>
      </c>
      <c r="AQ36" s="42" t="n">
        <f aca="false">'4'!G36</f>
        <v>0</v>
      </c>
      <c r="AR36" s="42" t="n">
        <f aca="false">'5'!G36</f>
        <v>0</v>
      </c>
      <c r="AS36" s="42" t="n">
        <f aca="false">'6'!G36</f>
        <v>0</v>
      </c>
      <c r="AT36" s="42" t="n">
        <f aca="false">'7'!G36</f>
        <v>0</v>
      </c>
      <c r="AU36" s="42" t="n">
        <f aca="false">'8'!G36</f>
        <v>0</v>
      </c>
      <c r="AV36" s="42" t="n">
        <f aca="false">'9'!G36</f>
        <v>0</v>
      </c>
      <c r="AW36" s="42" t="n">
        <f aca="false">'10'!G36</f>
        <v>0</v>
      </c>
      <c r="AX36" s="42" t="n">
        <f aca="false">'11'!G36</f>
        <v>0</v>
      </c>
      <c r="AY36" s="42" t="n">
        <f aca="false">'12'!G36</f>
        <v>0</v>
      </c>
    </row>
    <row r="37" customFormat="false" ht="15" hidden="false" customHeight="true" outlineLevel="0" collapsed="false">
      <c r="A37" s="41" t="n">
        <f aca="false">'1'!A37</f>
        <v>212</v>
      </c>
      <c r="B37" s="1" t="str">
        <f aca="false">'1'!B37</f>
        <v>QUADRIFOGLIO MEDICAL</v>
      </c>
      <c r="C37" s="1" t="str">
        <f aca="false">'1'!C37</f>
        <v>ROMANIA</v>
      </c>
      <c r="D37" s="42" t="n">
        <f aca="false">'1'!D37</f>
        <v>0</v>
      </c>
      <c r="E37" s="42" t="n">
        <f aca="false">'2'!D37</f>
        <v>0</v>
      </c>
      <c r="F37" s="42" t="n">
        <f aca="false">'3'!D37</f>
        <v>0</v>
      </c>
      <c r="G37" s="42" t="n">
        <f aca="false">'4'!D37</f>
        <v>41531.96</v>
      </c>
      <c r="H37" s="42" t="n">
        <f aca="false">'5'!D37</f>
        <v>0</v>
      </c>
      <c r="I37" s="42" t="n">
        <f aca="false">'6'!D37</f>
        <v>0</v>
      </c>
      <c r="J37" s="42" t="n">
        <f aca="false">'7'!D37</f>
        <v>0</v>
      </c>
      <c r="K37" s="42" t="n">
        <f aca="false">'8'!D37</f>
        <v>0</v>
      </c>
      <c r="L37" s="42" t="n">
        <f aca="false">'9'!D37</f>
        <v>0</v>
      </c>
      <c r="M37" s="42" t="n">
        <f aca="false">'10'!D37</f>
        <v>0</v>
      </c>
      <c r="N37" s="42" t="n">
        <f aca="false">'11'!D37</f>
        <v>0</v>
      </c>
      <c r="O37" s="42" t="n">
        <f aca="false">'12'!D37</f>
        <v>0</v>
      </c>
      <c r="P37" s="42" t="n">
        <f aca="false">'1'!E37</f>
        <v>0</v>
      </c>
      <c r="Q37" s="42" t="n">
        <f aca="false">'2'!E37</f>
        <v>0</v>
      </c>
      <c r="R37" s="42" t="n">
        <f aca="false">'3'!E37</f>
        <v>0</v>
      </c>
      <c r="S37" s="42" t="n">
        <f aca="false">'4'!E37</f>
        <v>0</v>
      </c>
      <c r="T37" s="42" t="n">
        <f aca="false">'5'!E37</f>
        <v>0</v>
      </c>
      <c r="U37" s="42" t="n">
        <f aca="false">'6'!E37</f>
        <v>0</v>
      </c>
      <c r="V37" s="42" t="n">
        <f aca="false">'7'!E37</f>
        <v>0</v>
      </c>
      <c r="W37" s="42" t="n">
        <f aca="false">'8'!E37</f>
        <v>0</v>
      </c>
      <c r="X37" s="42" t="n">
        <f aca="false">'9'!E37</f>
        <v>0</v>
      </c>
      <c r="Y37" s="42" t="n">
        <f aca="false">'10'!E37</f>
        <v>0</v>
      </c>
      <c r="Z37" s="42" t="n">
        <f aca="false">'11'!E37</f>
        <v>0</v>
      </c>
      <c r="AA37" s="42" t="n">
        <f aca="false">'12'!E37</f>
        <v>0</v>
      </c>
      <c r="AB37" s="42" t="n">
        <f aca="false">'1'!F37</f>
        <v>0</v>
      </c>
      <c r="AC37" s="42" t="n">
        <f aca="false">'2'!F37</f>
        <v>0</v>
      </c>
      <c r="AD37" s="42" t="n">
        <f aca="false">'3'!F37</f>
        <v>0</v>
      </c>
      <c r="AE37" s="42" t="n">
        <f aca="false">'4'!F37</f>
        <v>0</v>
      </c>
      <c r="AF37" s="42" t="n">
        <f aca="false">'5'!F37</f>
        <v>0</v>
      </c>
      <c r="AG37" s="42" t="n">
        <f aca="false">'6'!F37</f>
        <v>0</v>
      </c>
      <c r="AH37" s="42" t="n">
        <f aca="false">'7'!F37</f>
        <v>0</v>
      </c>
      <c r="AI37" s="42" t="n">
        <f aca="false">'8'!F37</f>
        <v>0</v>
      </c>
      <c r="AJ37" s="42" t="n">
        <f aca="false">'9'!F37</f>
        <v>0</v>
      </c>
      <c r="AK37" s="42" t="n">
        <f aca="false">'10'!F37</f>
        <v>0</v>
      </c>
      <c r="AL37" s="42" t="n">
        <f aca="false">'11'!F37</f>
        <v>0</v>
      </c>
      <c r="AM37" s="42" t="n">
        <f aca="false">'12'!F37</f>
        <v>0</v>
      </c>
      <c r="AN37" s="42" t="n">
        <f aca="false">'1'!G37</f>
        <v>0</v>
      </c>
      <c r="AO37" s="42" t="n">
        <f aca="false">'2'!G37</f>
        <v>0</v>
      </c>
      <c r="AP37" s="42" t="n">
        <f aca="false">'3'!G37</f>
        <v>0</v>
      </c>
      <c r="AQ37" s="42" t="n">
        <f aca="false">'4'!G37</f>
        <v>0</v>
      </c>
      <c r="AR37" s="42" t="n">
        <f aca="false">'5'!G37</f>
        <v>0</v>
      </c>
      <c r="AS37" s="42" t="n">
        <f aca="false">'6'!G37</f>
        <v>0</v>
      </c>
      <c r="AT37" s="42" t="n">
        <f aca="false">'7'!G37</f>
        <v>0</v>
      </c>
      <c r="AU37" s="42" t="n">
        <f aca="false">'8'!G37</f>
        <v>0</v>
      </c>
      <c r="AV37" s="42" t="n">
        <f aca="false">'9'!G37</f>
        <v>0</v>
      </c>
      <c r="AW37" s="42" t="n">
        <f aca="false">'10'!G37</f>
        <v>0</v>
      </c>
      <c r="AX37" s="42" t="n">
        <f aca="false">'11'!G37</f>
        <v>0</v>
      </c>
      <c r="AY37" s="42" t="n">
        <f aca="false">'12'!G37</f>
        <v>0</v>
      </c>
    </row>
    <row r="38" customFormat="false" ht="15" hidden="false" customHeight="true" outlineLevel="0" collapsed="false">
      <c r="A38" s="41" t="n">
        <f aca="false">'1'!A38</f>
        <v>215</v>
      </c>
      <c r="B38" s="1" t="str">
        <f aca="false">'1'!B38</f>
        <v>YOUNG IN HEALTHCARE CO.,</v>
      </c>
      <c r="C38" s="1" t="str">
        <f aca="false">'1'!C38</f>
        <v>KOREA</v>
      </c>
      <c r="D38" s="42" t="n">
        <f aca="false">'1'!D38</f>
        <v>0</v>
      </c>
      <c r="E38" s="42" t="n">
        <f aca="false">'2'!D38</f>
        <v>0</v>
      </c>
      <c r="F38" s="42" t="n">
        <f aca="false">'3'!D38</f>
        <v>0</v>
      </c>
      <c r="G38" s="42" t="n">
        <f aca="false">'4'!D38</f>
        <v>0</v>
      </c>
      <c r="H38" s="42" t="n">
        <f aca="false">'5'!D38</f>
        <v>0</v>
      </c>
      <c r="I38" s="42" t="n">
        <f aca="false">'6'!D38</f>
        <v>22310.96</v>
      </c>
      <c r="J38" s="42" t="n">
        <f aca="false">'7'!D38</f>
        <v>0</v>
      </c>
      <c r="K38" s="42" t="n">
        <f aca="false">'8'!D38</f>
        <v>0</v>
      </c>
      <c r="L38" s="42" t="n">
        <f aca="false">'9'!D38</f>
        <v>0</v>
      </c>
      <c r="M38" s="42" t="n">
        <f aca="false">'10'!D38</f>
        <v>0</v>
      </c>
      <c r="N38" s="42" t="n">
        <f aca="false">'11'!D38</f>
        <v>0</v>
      </c>
      <c r="O38" s="42" t="n">
        <f aca="false">'12'!D38</f>
        <v>0</v>
      </c>
      <c r="P38" s="42" t="n">
        <f aca="false">'1'!E38</f>
        <v>0</v>
      </c>
      <c r="Q38" s="42" t="n">
        <f aca="false">'2'!E38</f>
        <v>0</v>
      </c>
      <c r="R38" s="42" t="n">
        <f aca="false">'3'!E38</f>
        <v>0</v>
      </c>
      <c r="S38" s="42" t="n">
        <f aca="false">'4'!E38</f>
        <v>0</v>
      </c>
      <c r="T38" s="42" t="n">
        <f aca="false">'5'!E38</f>
        <v>0</v>
      </c>
      <c r="U38" s="42" t="n">
        <f aca="false">'6'!E38</f>
        <v>0</v>
      </c>
      <c r="V38" s="42" t="n">
        <f aca="false">'7'!E38</f>
        <v>0</v>
      </c>
      <c r="W38" s="42" t="n">
        <f aca="false">'8'!E38</f>
        <v>0</v>
      </c>
      <c r="X38" s="42" t="n">
        <f aca="false">'9'!E38</f>
        <v>0</v>
      </c>
      <c r="Y38" s="42" t="n">
        <f aca="false">'10'!E38</f>
        <v>0</v>
      </c>
      <c r="Z38" s="42" t="n">
        <f aca="false">'11'!E38</f>
        <v>0</v>
      </c>
      <c r="AA38" s="42" t="n">
        <f aca="false">'12'!E38</f>
        <v>0</v>
      </c>
      <c r="AB38" s="42" t="n">
        <f aca="false">'1'!F38</f>
        <v>0</v>
      </c>
      <c r="AC38" s="42" t="n">
        <f aca="false">'2'!F38</f>
        <v>0</v>
      </c>
      <c r="AD38" s="42" t="n">
        <f aca="false">'3'!F38</f>
        <v>0</v>
      </c>
      <c r="AE38" s="42" t="n">
        <f aca="false">'4'!F38</f>
        <v>0</v>
      </c>
      <c r="AF38" s="42" t="n">
        <f aca="false">'5'!F38</f>
        <v>0</v>
      </c>
      <c r="AG38" s="42" t="n">
        <f aca="false">'6'!F38</f>
        <v>0</v>
      </c>
      <c r="AH38" s="42" t="n">
        <f aca="false">'7'!F38</f>
        <v>0</v>
      </c>
      <c r="AI38" s="42" t="n">
        <f aca="false">'8'!F38</f>
        <v>0</v>
      </c>
      <c r="AJ38" s="42" t="n">
        <f aca="false">'9'!F38</f>
        <v>0</v>
      </c>
      <c r="AK38" s="42" t="n">
        <f aca="false">'10'!F38</f>
        <v>0</v>
      </c>
      <c r="AL38" s="42" t="n">
        <f aca="false">'11'!F38</f>
        <v>0</v>
      </c>
      <c r="AM38" s="42" t="n">
        <f aca="false">'12'!F38</f>
        <v>0</v>
      </c>
      <c r="AN38" s="42" t="n">
        <f aca="false">'1'!G38</f>
        <v>0</v>
      </c>
      <c r="AO38" s="42" t="n">
        <f aca="false">'2'!G38</f>
        <v>0</v>
      </c>
      <c r="AP38" s="42" t="n">
        <f aca="false">'3'!G38</f>
        <v>0</v>
      </c>
      <c r="AQ38" s="42" t="n">
        <f aca="false">'4'!G38</f>
        <v>0</v>
      </c>
      <c r="AR38" s="42" t="n">
        <f aca="false">'5'!G38</f>
        <v>0</v>
      </c>
      <c r="AS38" s="42" t="n">
        <f aca="false">'6'!G38</f>
        <v>0</v>
      </c>
      <c r="AT38" s="42" t="n">
        <f aca="false">'7'!G38</f>
        <v>0</v>
      </c>
      <c r="AU38" s="42" t="n">
        <f aca="false">'8'!G38</f>
        <v>0</v>
      </c>
      <c r="AV38" s="42" t="n">
        <f aca="false">'9'!G38</f>
        <v>0</v>
      </c>
      <c r="AW38" s="42" t="n">
        <f aca="false">'10'!G38</f>
        <v>0</v>
      </c>
      <c r="AX38" s="42" t="n">
        <f aca="false">'11'!G38</f>
        <v>0</v>
      </c>
      <c r="AY38" s="42" t="n">
        <f aca="false">'12'!G38</f>
        <v>0</v>
      </c>
    </row>
    <row r="39" customFormat="false" ht="15" hidden="false" customHeight="true" outlineLevel="0" collapsed="false">
      <c r="A39" s="41" t="n">
        <f aca="false">'1'!A39</f>
        <v>217</v>
      </c>
      <c r="B39" s="1" t="str">
        <f aca="false">'1'!B39</f>
        <v>HANS</v>
      </c>
      <c r="C39" s="1" t="str">
        <f aca="false">'1'!C39</f>
        <v>USA</v>
      </c>
      <c r="D39" s="42" t="n">
        <f aca="false">'1'!D39</f>
        <v>0</v>
      </c>
      <c r="E39" s="42" t="n">
        <f aca="false">'2'!D39</f>
        <v>0</v>
      </c>
      <c r="F39" s="42" t="n">
        <f aca="false">'3'!D39</f>
        <v>0</v>
      </c>
      <c r="G39" s="42" t="n">
        <f aca="false">'4'!D39</f>
        <v>0</v>
      </c>
      <c r="H39" s="42" t="n">
        <f aca="false">'5'!D39</f>
        <v>0</v>
      </c>
      <c r="I39" s="42" t="n">
        <f aca="false">'6'!D39</f>
        <v>0</v>
      </c>
      <c r="J39" s="42" t="n">
        <f aca="false">'7'!D39</f>
        <v>0</v>
      </c>
      <c r="K39" s="42" t="n">
        <f aca="false">'8'!D39</f>
        <v>0</v>
      </c>
      <c r="L39" s="42" t="n">
        <f aca="false">'9'!D39</f>
        <v>-1.37</v>
      </c>
      <c r="M39" s="42" t="n">
        <f aca="false">'10'!D39</f>
        <v>0</v>
      </c>
      <c r="N39" s="42" t="n">
        <f aca="false">'11'!D39</f>
        <v>0</v>
      </c>
      <c r="O39" s="42" t="n">
        <f aca="false">'12'!D39</f>
        <v>161576.19</v>
      </c>
      <c r="P39" s="42" t="n">
        <f aca="false">'1'!E39</f>
        <v>0</v>
      </c>
      <c r="Q39" s="42" t="n">
        <f aca="false">'2'!E39</f>
        <v>0</v>
      </c>
      <c r="R39" s="42" t="n">
        <f aca="false">'3'!E39</f>
        <v>0</v>
      </c>
      <c r="S39" s="42" t="n">
        <f aca="false">'4'!E39</f>
        <v>0</v>
      </c>
      <c r="T39" s="42" t="n">
        <f aca="false">'5'!E39</f>
        <v>248.59</v>
      </c>
      <c r="U39" s="42" t="n">
        <f aca="false">'6'!E39</f>
        <v>0</v>
      </c>
      <c r="V39" s="42" t="n">
        <f aca="false">'7'!E39</f>
        <v>0</v>
      </c>
      <c r="W39" s="42" t="n">
        <f aca="false">'8'!E39</f>
        <v>0</v>
      </c>
      <c r="X39" s="42" t="n">
        <f aca="false">'9'!E39</f>
        <v>0</v>
      </c>
      <c r="Y39" s="42" t="n">
        <f aca="false">'10'!E39</f>
        <v>0</v>
      </c>
      <c r="Z39" s="42" t="n">
        <f aca="false">'11'!E39</f>
        <v>0</v>
      </c>
      <c r="AA39" s="42" t="n">
        <f aca="false">'12'!E39</f>
        <v>0</v>
      </c>
      <c r="AB39" s="42" t="n">
        <f aca="false">'1'!F39</f>
        <v>0</v>
      </c>
      <c r="AC39" s="42" t="n">
        <f aca="false">'2'!F39</f>
        <v>0</v>
      </c>
      <c r="AD39" s="42" t="n">
        <f aca="false">'3'!F39</f>
        <v>0</v>
      </c>
      <c r="AE39" s="42" t="n">
        <f aca="false">'4'!F39</f>
        <v>0</v>
      </c>
      <c r="AF39" s="42" t="n">
        <f aca="false">'5'!F39</f>
        <v>0</v>
      </c>
      <c r="AG39" s="42" t="n">
        <f aca="false">'6'!F39</f>
        <v>0</v>
      </c>
      <c r="AH39" s="42" t="n">
        <f aca="false">'7'!F39</f>
        <v>0</v>
      </c>
      <c r="AI39" s="42" t="n">
        <f aca="false">'8'!F39</f>
        <v>0</v>
      </c>
      <c r="AJ39" s="42" t="n">
        <f aca="false">'9'!F39</f>
        <v>0</v>
      </c>
      <c r="AK39" s="42" t="n">
        <f aca="false">'10'!F39</f>
        <v>0</v>
      </c>
      <c r="AL39" s="42" t="n">
        <f aca="false">'11'!F39</f>
        <v>0</v>
      </c>
      <c r="AM39" s="42" t="n">
        <f aca="false">'12'!F39</f>
        <v>0</v>
      </c>
      <c r="AN39" s="42" t="n">
        <f aca="false">'1'!G39</f>
        <v>0</v>
      </c>
      <c r="AO39" s="42" t="n">
        <f aca="false">'2'!G39</f>
        <v>0</v>
      </c>
      <c r="AP39" s="42" t="n">
        <f aca="false">'3'!G39</f>
        <v>0</v>
      </c>
      <c r="AQ39" s="42" t="n">
        <f aca="false">'4'!G39</f>
        <v>0</v>
      </c>
      <c r="AR39" s="42" t="n">
        <f aca="false">'5'!G39</f>
        <v>0</v>
      </c>
      <c r="AS39" s="42" t="n">
        <f aca="false">'6'!G39</f>
        <v>0</v>
      </c>
      <c r="AT39" s="42" t="n">
        <f aca="false">'7'!G39</f>
        <v>0</v>
      </c>
      <c r="AU39" s="42" t="n">
        <f aca="false">'8'!G39</f>
        <v>0</v>
      </c>
      <c r="AV39" s="42" t="n">
        <f aca="false">'9'!G39</f>
        <v>0</v>
      </c>
      <c r="AW39" s="42" t="n">
        <f aca="false">'10'!G39</f>
        <v>0</v>
      </c>
      <c r="AX39" s="42" t="n">
        <f aca="false">'11'!G39</f>
        <v>0</v>
      </c>
      <c r="AY39" s="42" t="n">
        <f aca="false">'12'!G39</f>
        <v>0</v>
      </c>
    </row>
    <row r="40" customFormat="false" ht="15" hidden="false" customHeight="true" outlineLevel="0" collapsed="false">
      <c r="A40" s="41" t="n">
        <f aca="false">'1'!A40</f>
        <v>303</v>
      </c>
      <c r="B40" s="1" t="str">
        <f aca="false">'1'!B40</f>
        <v>NEW DISTRIBUTORS</v>
      </c>
      <c r="C40" s="1" t="str">
        <f aca="false">'1'!C40</f>
        <v>Other </v>
      </c>
      <c r="D40" s="42" t="n">
        <f aca="false">'1'!D40</f>
        <v>0</v>
      </c>
      <c r="E40" s="42" t="n">
        <f aca="false">'2'!D40</f>
        <v>0</v>
      </c>
      <c r="F40" s="42" t="n">
        <f aca="false">'3'!D40</f>
        <v>0</v>
      </c>
      <c r="G40" s="42" t="n">
        <f aca="false">'4'!D40</f>
        <v>0</v>
      </c>
      <c r="H40" s="42" t="n">
        <f aca="false">'5'!D40</f>
        <v>0</v>
      </c>
      <c r="I40" s="42" t="n">
        <f aca="false">'6'!D40</f>
        <v>0</v>
      </c>
      <c r="J40" s="42" t="n">
        <f aca="false">'7'!D40</f>
        <v>0</v>
      </c>
      <c r="K40" s="42" t="n">
        <f aca="false">'8'!D40</f>
        <v>0</v>
      </c>
      <c r="L40" s="42" t="n">
        <f aca="false">'9'!D40</f>
        <v>0</v>
      </c>
      <c r="M40" s="42" t="n">
        <f aca="false">'10'!D40</f>
        <v>0</v>
      </c>
      <c r="N40" s="42" t="n">
        <f aca="false">'11'!D40</f>
        <v>0</v>
      </c>
      <c r="O40" s="42" t="n">
        <f aca="false">'12'!D40</f>
        <v>0</v>
      </c>
      <c r="P40" s="42" t="n">
        <f aca="false">'1'!E40</f>
        <v>0</v>
      </c>
      <c r="Q40" s="42" t="n">
        <f aca="false">'2'!E40</f>
        <v>0</v>
      </c>
      <c r="R40" s="42" t="n">
        <f aca="false">'3'!E40</f>
        <v>0</v>
      </c>
      <c r="S40" s="42" t="n">
        <f aca="false">'4'!E40</f>
        <v>0</v>
      </c>
      <c r="T40" s="42" t="n">
        <f aca="false">'5'!E40</f>
        <v>0</v>
      </c>
      <c r="U40" s="42" t="n">
        <f aca="false">'6'!E40</f>
        <v>0</v>
      </c>
      <c r="V40" s="42" t="n">
        <f aca="false">'7'!E40</f>
        <v>0</v>
      </c>
      <c r="W40" s="42" t="n">
        <f aca="false">'8'!E40</f>
        <v>0</v>
      </c>
      <c r="X40" s="42" t="n">
        <f aca="false">'9'!E40</f>
        <v>0</v>
      </c>
      <c r="Y40" s="42" t="n">
        <f aca="false">'10'!E40</f>
        <v>0</v>
      </c>
      <c r="Z40" s="42" t="n">
        <f aca="false">'11'!E40</f>
        <v>0</v>
      </c>
      <c r="AA40" s="42" t="n">
        <f aca="false">'12'!E40</f>
        <v>0</v>
      </c>
      <c r="AB40" s="42" t="n">
        <f aca="false">'1'!F40</f>
        <v>0</v>
      </c>
      <c r="AC40" s="42" t="n">
        <f aca="false">'2'!F40</f>
        <v>0</v>
      </c>
      <c r="AD40" s="42" t="n">
        <f aca="false">'3'!F40</f>
        <v>0</v>
      </c>
      <c r="AE40" s="42" t="n">
        <f aca="false">'4'!F40</f>
        <v>0</v>
      </c>
      <c r="AF40" s="42" t="n">
        <f aca="false">'5'!F40</f>
        <v>0</v>
      </c>
      <c r="AG40" s="42" t="n">
        <f aca="false">'6'!F40</f>
        <v>0</v>
      </c>
      <c r="AH40" s="42" t="n">
        <f aca="false">'7'!F40</f>
        <v>0</v>
      </c>
      <c r="AI40" s="42" t="n">
        <f aca="false">'8'!F40</f>
        <v>0</v>
      </c>
      <c r="AJ40" s="42" t="n">
        <f aca="false">'9'!F40</f>
        <v>0</v>
      </c>
      <c r="AK40" s="42" t="n">
        <f aca="false">'10'!F40</f>
        <v>0</v>
      </c>
      <c r="AL40" s="42" t="n">
        <f aca="false">'11'!F40</f>
        <v>0</v>
      </c>
      <c r="AM40" s="42" t="n">
        <f aca="false">'12'!F40</f>
        <v>0</v>
      </c>
      <c r="AN40" s="42" t="n">
        <f aca="false">'1'!G40</f>
        <v>0</v>
      </c>
      <c r="AO40" s="42" t="n">
        <f aca="false">'2'!G40</f>
        <v>0</v>
      </c>
      <c r="AP40" s="42" t="n">
        <f aca="false">'3'!G40</f>
        <v>0</v>
      </c>
      <c r="AQ40" s="42" t="n">
        <f aca="false">'4'!G40</f>
        <v>0</v>
      </c>
      <c r="AR40" s="42" t="n">
        <f aca="false">'5'!G40</f>
        <v>0</v>
      </c>
      <c r="AS40" s="42" t="n">
        <f aca="false">'6'!G40</f>
        <v>0</v>
      </c>
      <c r="AT40" s="42" t="n">
        <f aca="false">'7'!G40</f>
        <v>0</v>
      </c>
      <c r="AU40" s="42" t="n">
        <f aca="false">'8'!G40</f>
        <v>0</v>
      </c>
      <c r="AV40" s="42" t="n">
        <f aca="false">'9'!G40</f>
        <v>0</v>
      </c>
      <c r="AW40" s="42" t="n">
        <f aca="false">'10'!G40</f>
        <v>0</v>
      </c>
      <c r="AX40" s="42" t="n">
        <f aca="false">'11'!G40</f>
        <v>0</v>
      </c>
      <c r="AY40" s="42" t="n">
        <f aca="false">'12'!G40</f>
        <v>0</v>
      </c>
    </row>
    <row r="41" customFormat="false" ht="15" hidden="false" customHeight="true" outlineLevel="0" collapsed="false">
      <c r="A41" s="41" t="n">
        <f aca="false">'1'!A41</f>
        <v>305</v>
      </c>
      <c r="B41" s="1" t="str">
        <f aca="false">'1'!B41</f>
        <v>BAKU</v>
      </c>
      <c r="C41" s="1" t="str">
        <f aca="false">'1'!C41</f>
        <v>AZERBAIJAN</v>
      </c>
      <c r="D41" s="42" t="n">
        <f aca="false">'1'!D41</f>
        <v>0</v>
      </c>
      <c r="E41" s="42" t="n">
        <f aca="false">'2'!D41</f>
        <v>0</v>
      </c>
      <c r="F41" s="42" t="n">
        <f aca="false">'3'!D41</f>
        <v>0</v>
      </c>
      <c r="G41" s="42" t="n">
        <f aca="false">'4'!D41</f>
        <v>0</v>
      </c>
      <c r="H41" s="42" t="n">
        <f aca="false">'5'!D41</f>
        <v>0</v>
      </c>
      <c r="I41" s="42" t="n">
        <f aca="false">'6'!D41</f>
        <v>0</v>
      </c>
      <c r="J41" s="42" t="n">
        <f aca="false">'7'!D41</f>
        <v>0</v>
      </c>
      <c r="K41" s="42" t="n">
        <f aca="false">'8'!D41</f>
        <v>0</v>
      </c>
      <c r="L41" s="42" t="n">
        <f aca="false">'9'!D41</f>
        <v>0</v>
      </c>
      <c r="M41" s="42" t="n">
        <f aca="false">'10'!D41</f>
        <v>0</v>
      </c>
      <c r="N41" s="42" t="n">
        <f aca="false">'11'!D41</f>
        <v>0</v>
      </c>
      <c r="O41" s="42" t="n">
        <f aca="false">'12'!D41</f>
        <v>0</v>
      </c>
      <c r="P41" s="42" t="n">
        <f aca="false">'1'!E41</f>
        <v>0</v>
      </c>
      <c r="Q41" s="42" t="n">
        <f aca="false">'2'!E41</f>
        <v>0</v>
      </c>
      <c r="R41" s="42" t="n">
        <f aca="false">'3'!E41</f>
        <v>0</v>
      </c>
      <c r="S41" s="42" t="n">
        <f aca="false">'4'!E41</f>
        <v>0</v>
      </c>
      <c r="T41" s="42" t="n">
        <f aca="false">'5'!E41</f>
        <v>0</v>
      </c>
      <c r="U41" s="42" t="n">
        <f aca="false">'6'!E41</f>
        <v>0</v>
      </c>
      <c r="V41" s="42" t="n">
        <f aca="false">'7'!E41</f>
        <v>0</v>
      </c>
      <c r="W41" s="42" t="n">
        <f aca="false">'8'!E41</f>
        <v>0</v>
      </c>
      <c r="X41" s="42" t="n">
        <f aca="false">'9'!E41</f>
        <v>0</v>
      </c>
      <c r="Y41" s="42" t="n">
        <f aca="false">'10'!E41</f>
        <v>0</v>
      </c>
      <c r="Z41" s="42" t="n">
        <f aca="false">'11'!E41</f>
        <v>0</v>
      </c>
      <c r="AA41" s="42" t="n">
        <f aca="false">'12'!E41</f>
        <v>0</v>
      </c>
      <c r="AB41" s="42" t="n">
        <f aca="false">'1'!F41</f>
        <v>0</v>
      </c>
      <c r="AC41" s="42" t="n">
        <f aca="false">'2'!F41</f>
        <v>0</v>
      </c>
      <c r="AD41" s="42" t="n">
        <f aca="false">'3'!F41</f>
        <v>0</v>
      </c>
      <c r="AE41" s="42" t="n">
        <f aca="false">'4'!F41</f>
        <v>0</v>
      </c>
      <c r="AF41" s="42" t="n">
        <f aca="false">'5'!F41</f>
        <v>0</v>
      </c>
      <c r="AG41" s="42" t="n">
        <f aca="false">'6'!F41</f>
        <v>0</v>
      </c>
      <c r="AH41" s="42" t="n">
        <f aca="false">'7'!F41</f>
        <v>0</v>
      </c>
      <c r="AI41" s="42" t="n">
        <f aca="false">'8'!F41</f>
        <v>0</v>
      </c>
      <c r="AJ41" s="42" t="n">
        <f aca="false">'9'!F41</f>
        <v>0</v>
      </c>
      <c r="AK41" s="42" t="n">
        <f aca="false">'10'!F41</f>
        <v>0</v>
      </c>
      <c r="AL41" s="42" t="n">
        <f aca="false">'11'!F41</f>
        <v>0</v>
      </c>
      <c r="AM41" s="42" t="n">
        <f aca="false">'12'!F41</f>
        <v>0</v>
      </c>
      <c r="AN41" s="42" t="n">
        <f aca="false">'1'!G41</f>
        <v>0</v>
      </c>
      <c r="AO41" s="42" t="n">
        <f aca="false">'2'!G41</f>
        <v>0</v>
      </c>
      <c r="AP41" s="42" t="n">
        <f aca="false">'3'!G41</f>
        <v>0</v>
      </c>
      <c r="AQ41" s="42" t="n">
        <f aca="false">'4'!G41</f>
        <v>0</v>
      </c>
      <c r="AR41" s="42" t="n">
        <f aca="false">'5'!G41</f>
        <v>0</v>
      </c>
      <c r="AS41" s="42" t="n">
        <f aca="false">'6'!G41</f>
        <v>0</v>
      </c>
      <c r="AT41" s="42" t="n">
        <f aca="false">'7'!G41</f>
        <v>0</v>
      </c>
      <c r="AU41" s="42" t="n">
        <f aca="false">'8'!G41</f>
        <v>0</v>
      </c>
      <c r="AV41" s="42" t="n">
        <f aca="false">'9'!G41</f>
        <v>0</v>
      </c>
      <c r="AW41" s="42" t="n">
        <f aca="false">'10'!G41</f>
        <v>0</v>
      </c>
      <c r="AX41" s="42" t="n">
        <f aca="false">'11'!G41</f>
        <v>0</v>
      </c>
      <c r="AY41" s="42" t="n">
        <f aca="false">'12'!G41</f>
        <v>0</v>
      </c>
    </row>
    <row r="42" customFormat="false" ht="15" hidden="false" customHeight="true" outlineLevel="0" collapsed="false">
      <c r="A42" s="41" t="n">
        <f aca="false">'1'!A42</f>
        <v>302</v>
      </c>
      <c r="B42" s="1" t="str">
        <f aca="false">'1'!B42</f>
        <v>MEXICO</v>
      </c>
      <c r="C42" s="1" t="str">
        <f aca="false">'1'!C42</f>
        <v>MEXICO</v>
      </c>
      <c r="D42" s="42" t="n">
        <f aca="false">'1'!D42</f>
        <v>0</v>
      </c>
      <c r="E42" s="42" t="n">
        <f aca="false">'2'!D42</f>
        <v>0</v>
      </c>
      <c r="F42" s="42" t="n">
        <f aca="false">'3'!D42</f>
        <v>0</v>
      </c>
      <c r="G42" s="42" t="n">
        <f aca="false">'4'!D42</f>
        <v>0</v>
      </c>
      <c r="H42" s="42" t="n">
        <f aca="false">'5'!D42</f>
        <v>0</v>
      </c>
      <c r="I42" s="42" t="n">
        <f aca="false">'6'!D42</f>
        <v>0</v>
      </c>
      <c r="J42" s="42" t="n">
        <f aca="false">'7'!D42</f>
        <v>0</v>
      </c>
      <c r="K42" s="42" t="n">
        <f aca="false">'8'!D42</f>
        <v>0</v>
      </c>
      <c r="L42" s="42" t="n">
        <f aca="false">'9'!D42</f>
        <v>0</v>
      </c>
      <c r="M42" s="42" t="n">
        <f aca="false">'10'!D42</f>
        <v>0</v>
      </c>
      <c r="N42" s="42" t="n">
        <f aca="false">'11'!D42</f>
        <v>0</v>
      </c>
      <c r="O42" s="42" t="n">
        <f aca="false">'12'!D42</f>
        <v>0</v>
      </c>
      <c r="P42" s="42" t="n">
        <f aca="false">'1'!E42</f>
        <v>0</v>
      </c>
      <c r="Q42" s="42" t="n">
        <f aca="false">'2'!E42</f>
        <v>0</v>
      </c>
      <c r="R42" s="42" t="n">
        <f aca="false">'3'!E42</f>
        <v>0</v>
      </c>
      <c r="S42" s="42" t="n">
        <f aca="false">'4'!E42</f>
        <v>0</v>
      </c>
      <c r="T42" s="42" t="n">
        <f aca="false">'5'!E42</f>
        <v>0</v>
      </c>
      <c r="U42" s="42" t="n">
        <f aca="false">'6'!E42</f>
        <v>0</v>
      </c>
      <c r="V42" s="42" t="n">
        <f aca="false">'7'!E42</f>
        <v>0</v>
      </c>
      <c r="W42" s="42" t="n">
        <f aca="false">'8'!E42</f>
        <v>0</v>
      </c>
      <c r="X42" s="42" t="n">
        <f aca="false">'9'!E42</f>
        <v>0</v>
      </c>
      <c r="Y42" s="42" t="n">
        <f aca="false">'10'!E42</f>
        <v>0</v>
      </c>
      <c r="Z42" s="42" t="n">
        <f aca="false">'11'!E42</f>
        <v>0</v>
      </c>
      <c r="AA42" s="42" t="n">
        <f aca="false">'12'!E42</f>
        <v>0</v>
      </c>
      <c r="AB42" s="42" t="n">
        <f aca="false">'1'!F42</f>
        <v>0</v>
      </c>
      <c r="AC42" s="42" t="n">
        <f aca="false">'2'!F42</f>
        <v>0</v>
      </c>
      <c r="AD42" s="42" t="n">
        <f aca="false">'3'!F42</f>
        <v>0</v>
      </c>
      <c r="AE42" s="42" t="n">
        <f aca="false">'4'!F42</f>
        <v>0</v>
      </c>
      <c r="AF42" s="42" t="n">
        <f aca="false">'5'!F42</f>
        <v>0</v>
      </c>
      <c r="AG42" s="42" t="n">
        <f aca="false">'6'!F42</f>
        <v>0</v>
      </c>
      <c r="AH42" s="42" t="n">
        <f aca="false">'7'!F42</f>
        <v>0</v>
      </c>
      <c r="AI42" s="42" t="n">
        <f aca="false">'8'!F42</f>
        <v>0</v>
      </c>
      <c r="AJ42" s="42" t="n">
        <f aca="false">'9'!F42</f>
        <v>0</v>
      </c>
      <c r="AK42" s="42" t="n">
        <f aca="false">'10'!F42</f>
        <v>0</v>
      </c>
      <c r="AL42" s="42" t="n">
        <f aca="false">'11'!F42</f>
        <v>0</v>
      </c>
      <c r="AM42" s="42" t="n">
        <f aca="false">'12'!F42</f>
        <v>0</v>
      </c>
      <c r="AN42" s="42" t="n">
        <f aca="false">'1'!G42</f>
        <v>0</v>
      </c>
      <c r="AO42" s="42" t="n">
        <f aca="false">'2'!G42</f>
        <v>0</v>
      </c>
      <c r="AP42" s="42" t="n">
        <f aca="false">'3'!G42</f>
        <v>0</v>
      </c>
      <c r="AQ42" s="42" t="n">
        <f aca="false">'4'!G42</f>
        <v>0</v>
      </c>
      <c r="AR42" s="42" t="n">
        <f aca="false">'5'!G42</f>
        <v>0</v>
      </c>
      <c r="AS42" s="42" t="n">
        <f aca="false">'6'!G42</f>
        <v>0</v>
      </c>
      <c r="AT42" s="42" t="n">
        <f aca="false">'7'!G42</f>
        <v>0</v>
      </c>
      <c r="AU42" s="42" t="n">
        <f aca="false">'8'!G42</f>
        <v>0</v>
      </c>
      <c r="AV42" s="42" t="n">
        <f aca="false">'9'!G42</f>
        <v>0</v>
      </c>
      <c r="AW42" s="42" t="n">
        <f aca="false">'10'!G42</f>
        <v>0</v>
      </c>
      <c r="AX42" s="42" t="n">
        <f aca="false">'11'!G42</f>
        <v>0</v>
      </c>
      <c r="AY42" s="42" t="n">
        <f aca="false">'12'!G42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2026-10-02T07:23:51Z</dcterms:created>
  <dc:creator>openpyxl</dc:creator>
  <dc:description/>
  <dc:language>en-US</dc:language>
  <cp:lastModifiedBy/>
  <dcterms:modified xsi:type="dcterms:W3CDTF">2026-10-02T09:43:32Z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