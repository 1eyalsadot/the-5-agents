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" sheetId="1" state="visible" r:id="rId3"/>
    <sheet name="2" sheetId="2" state="visible" r:id="rId4"/>
    <sheet name="3" sheetId="3" state="visible" r:id="rId5"/>
    <sheet name="4" sheetId="4" state="visible" r:id="rId6"/>
    <sheet name="5" sheetId="5" state="visible" r:id="rId7"/>
    <sheet name="6" sheetId="6" state="visible" r:id="rId8"/>
    <sheet name="7" sheetId="7" state="visible" r:id="rId9"/>
    <sheet name="8" sheetId="8" state="visible" r:id="rId10"/>
    <sheet name="9" sheetId="9" state="visible" r:id="rId11"/>
    <sheet name="10" sheetId="10" state="visible" r:id="rId12"/>
    <sheet name="11" sheetId="11" state="visible" r:id="rId13"/>
    <sheet name="12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<sst xmlns="http://schemas.openxmlformats.org/spreadsheetml/2006/main" count="1092" uniqueCount="66">
  <si>
    <t xml:space="preserve">דוח מכירות ינואר 2027</t>
  </si>
  <si>
    <t xml:space="preserve">תאריך הכנת התשתית: 02/10/26</t>
  </si>
  <si>
    <t xml:space="preserve">מספר</t>
  </si>
  <si>
    <t xml:space="preserve">קטגוריה</t>
  </si>
  <si>
    <t xml:space="preserve">קבוצה</t>
  </si>
  <si>
    <t xml:space="preserve">2024</t>
  </si>
  <si>
    <t xml:space="preserve">2025</t>
  </si>
  <si>
    <t xml:space="preserve">2026</t>
  </si>
  <si>
    <t xml:space="preserve">2027</t>
  </si>
  <si>
    <t xml:space="preserve">אחוז מול 2026</t>
  </si>
  <si>
    <t xml:space="preserve">כספי מול 2026  </t>
  </si>
  <si>
    <t xml:space="preserve">סופר פארם לייף</t>
  </si>
  <si>
    <t xml:space="preserve">ישראל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</si>
  <si>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</si>
  <si>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</si>
  <si>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</si>
  <si>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</si>
  <si>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</si>
  <si>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מכבי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</si>
  <si>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</si>
  <si>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</si>
  <si>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</si>
  <si>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</si>
  <si>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נעליים</t>
  </si>
  <si>
    <t xml:space="preserve">בתי חולים ושרות</t>
  </si>
  <si>
    <t xml:space="preserve">מכוני פיזיותרפיה</t>
  </si>
  <si>
    <t xml:space="preserve">סה"כ ישראל ללא אונליין</t>
  </si>
  <si>
    <t xml:space="preserve">לקוחות אינטרנט</t>
  </si>
  <si>
    <t xml:space="preserve">סופר פארם מרקט פלייס</t>
  </si>
  <si>
    <t xml:space="preserve">סה"כ ישראל</t>
  </si>
  <si>
    <t xml:space="preserve">AMAZON</t>
  </si>
  <si>
    <t xml:space="preserve">יצוא</t>
  </si>
  <si>
    <t xml:space="preserve">SUPER PHARM POLAND</t>
  </si>
  <si>
    <t xml:space="preserve">ORTHO- PARTNER AG.</t>
  </si>
  <si>
    <t xml:space="preserve">SANAFLEX ANATOMIC</t>
  </si>
  <si>
    <t xml:space="preserve">HEALTH CARE PROD. GMBH</t>
  </si>
  <si>
    <t xml:space="preserve">ORTHOMED  LTD</t>
  </si>
  <si>
    <t xml:space="preserve">SALUS</t>
  </si>
  <si>
    <t xml:space="preserve">MAX KONNARIS LTD</t>
  </si>
  <si>
    <t xml:space="preserve">MEDIPAL COMPANY</t>
  </si>
  <si>
    <t xml:space="preserve">ORTOPROFIL PROD. ROMANIA</t>
  </si>
  <si>
    <t xml:space="preserve">OY. EA. AB.</t>
  </si>
  <si>
    <t xml:space="preserve">SEVEN GEAR</t>
  </si>
  <si>
    <t xml:space="preserve">PHARMAG LACHMAIR GES. MBH</t>
  </si>
  <si>
    <t xml:space="preserve">REMEDICARE B.V.</t>
  </si>
  <si>
    <t xml:space="preserve">E.F.M.O.</t>
  </si>
  <si>
    <t xml:space="preserve">ALFRED GERA</t>
  </si>
  <si>
    <t xml:space="preserve">QUADRIFOGLIO MEDICAL</t>
  </si>
  <si>
    <t xml:space="preserve">YOUNG IN HEALTHCARE CO.,</t>
  </si>
  <si>
    <t xml:space="preserve">HANS</t>
  </si>
  <si>
    <t xml:space="preserve">NEW DISTRIBUTORS</t>
  </si>
  <si>
    <t xml:space="preserve">BAKU</t>
  </si>
  <si>
    <t xml:space="preserve">MEXICO</t>
  </si>
  <si>
    <t xml:space="preserve">סה"כ חו"ל</t>
  </si>
  <si>
    <t xml:space="preserve">סה"כ מכירות </t>
  </si>
  <si>
    <t xml:space="preserve">דוח מכירות פברואר 2027</t>
  </si>
  <si>
    <t xml:space="preserve">דוח מכירות מרץ 2027</t>
  </si>
  <si>
    <t xml:space="preserve">דוח מכירות אפריל 2027</t>
  </si>
  <si>
    <t xml:space="preserve">דוח מכירות מאי 2027</t>
  </si>
  <si>
    <t xml:space="preserve">דוח מכירות יוני 2027</t>
  </si>
  <si>
    <t xml:space="preserve">דוח מכירות יולי 2027</t>
  </si>
  <si>
    <t xml:space="preserve">דוח מכירות אוגוסט 2027</t>
  </si>
  <si>
    <t xml:space="preserve">דוח מכירות ספטמבר 2027</t>
  </si>
  <si>
    <t xml:space="preserve">דוח מכירות אוקטובר 2027</t>
  </si>
  <si>
    <t xml:space="preserve">דוח מכירות נובמבר 2027</t>
  </si>
  <si>
    <t xml:space="preserve">דוח מכירות דצמבר 2027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</si>
</sst>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_ * #,##0_ ;_ * \-#,##0_ ;_ * \-??_ ;_ @_ "/>
    <numFmt numFmtId="167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2"/>
      <charset val="1"/>
    </font>
    <font>
      <i val="true"/>
      <sz val="8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 tint="-0.25"/>
        <bgColor rgb="FFB9CDE5"/>
      </patternFill>
    </fill>
    <fill>
      <patternFill patternType="solid">
        <fgColor theme="0" tint="-0.05"/>
        <bgColor rgb="FFFFFFFF"/>
      </patternFill>
    </fill>
    <fill>
      <patternFill patternType="solid">
        <fgColor theme="0"/>
        <bgColor rgb="FFF2F2F2"/>
      </patternFill>
    </fill>
    <fill>
      <patternFill patternType="solid">
        <fgColor theme="9" tint="0.5998"/>
        <bgColor rgb="FFF2F2F2"/>
      </patternFill>
    </fill>
    <fill>
      <patternFill patternType="solid">
        <fgColor theme="4" tint="0.5998"/>
        <bgColor rgb="FFBFBFBF"/>
      </patternFill>
    </fill>
    <fill>
      <patternFill patternType="solid">
        <fgColor rgb="FF92D050"/>
        <bgColor rgb="FFBFBFBF"/>
      </patternFill>
    </fill>
    <fill>
      <patternFill patternType="solid">
        <fgColor theme="7" tint="0.3998"/>
        <bgColor rgb="FFBFBFBF"/>
      </patternFill>
    </fill>
    <fill>
      <patternFill patternType="solid">
        <fgColor rgb="FFFFFF00"/>
        <bgColor rgb="FFFFFF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9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9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9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3A2C7"/>
      <rgbColor rgb="FFFCD5B5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0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-594.08</v>
      </c>
      <c r="E3" s="9" t="n">
        <v>58427.8</v>
      </c>
      <c r="F3" s="9" t="n">
        <v>63104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452441.08</v>
      </c>
      <c r="E4" s="9" t="n">
        <v>670882.199700005</v>
      </c>
      <c r="F4" s="9" t="n">
        <v>423956.26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63301.42</v>
      </c>
      <c r="E5" s="9" t="n">
        <v>54489.89</v>
      </c>
      <c r="F5" s="9" t="n">
        <v>67635.75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164714.584</v>
      </c>
      <c r="E6" s="9" t="n">
        <v>136160.380299998</v>
      </c>
      <c r="F6" s="9" t="n">
        <v>192169.79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414961</v>
      </c>
      <c r="E7" s="9" t="n">
        <v>326467.5</v>
      </c>
      <c r="F7" s="9" t="n">
        <v>320186.2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74817.97</v>
      </c>
      <c r="E8" s="9" t="n">
        <v>57834.64</v>
      </c>
      <c r="F8" s="9" t="n">
        <v>60425.14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91890.1</v>
      </c>
      <c r="E10" s="9" t="n">
        <v>72633.3</v>
      </c>
      <c r="F10" s="9" t="n">
        <v>86618.03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15878.93</v>
      </c>
      <c r="E11" s="9" t="n">
        <v>16402.68</v>
      </c>
      <c r="F11" s="9" t="n">
        <v>18073.66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5667.68</v>
      </c>
      <c r="E12" s="9" t="n">
        <v>6025.5</v>
      </c>
      <c r="F12" s="9" t="n">
        <v>5894.68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0</v>
      </c>
      <c r="E13" s="9" t="n">
        <v>1162.85</v>
      </c>
      <c r="F13" s="9" t="n">
        <v>810.6</v>
      </c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/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0</v>
      </c>
      <c r="E15" s="9" t="n">
        <v>0</v>
      </c>
      <c r="F15" s="9" t="n">
        <v>2523.6</v>
      </c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4135.49</v>
      </c>
      <c r="E16" s="9" t="n">
        <v>15213.91</v>
      </c>
      <c r="F16" s="9" t="n">
        <v>11467.92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1287214.174</v>
      </c>
      <c r="E17" s="13" t="n">
        <f aca="false">SUM(E3:E16)</f>
        <v>1415700.65</v>
      </c>
      <c r="F17" s="13" t="n">
        <f aca="false">SUM(F3:F16)</f>
        <v>1252865.63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-1252865.63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42663.04</v>
      </c>
      <c r="E18" s="9" t="n">
        <v>92988.1699999996</v>
      </c>
      <c r="F18" s="9" t="n">
        <v>212354.119999999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1654.88</v>
      </c>
      <c r="E19" s="9" t="n">
        <v>2032.3</v>
      </c>
      <c r="F19" s="9" t="n">
        <v>1274.4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1331532.094</v>
      </c>
      <c r="E20" s="16" t="n">
        <f aca="false">E17+E18+E19</f>
        <v>1510721.12</v>
      </c>
      <c r="F20" s="16" t="n">
        <f aca="false">F17+F18+F19</f>
        <v>1466494.15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-1466494.15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391520.95</v>
      </c>
      <c r="E21" s="9" t="n">
        <v>187395.64</v>
      </c>
      <c r="F21" s="9" t="n">
        <v>178026.69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203.73</v>
      </c>
      <c r="E22" s="9" t="n">
        <v>0</v>
      </c>
      <c r="F22" s="9"/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49158.59</v>
      </c>
      <c r="E23" s="9" t="n">
        <v>18517.61</v>
      </c>
      <c r="F23" s="9" t="n">
        <v>124895.37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68604.55</v>
      </c>
      <c r="E24" s="9" t="n">
        <v>0</v>
      </c>
      <c r="F24" s="9" t="n">
        <v>67158.97</v>
      </c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15923.68</v>
      </c>
      <c r="E25" s="9" t="n">
        <v>0</v>
      </c>
      <c r="F25" s="9" t="n">
        <v>15774.92</v>
      </c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50777.76</v>
      </c>
      <c r="E26" s="9" t="n">
        <v>0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249206.12</v>
      </c>
      <c r="E27" s="9" t="n">
        <v>0</v>
      </c>
      <c r="F27" s="9" t="n">
        <v>-1269.06</v>
      </c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0</v>
      </c>
      <c r="E28" s="9" t="n">
        <v>0</v>
      </c>
      <c r="F28" s="9"/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0</v>
      </c>
      <c r="E30" s="9" t="n">
        <v>0</v>
      </c>
      <c r="F30" s="9" t="n">
        <v>27429.74</v>
      </c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0</v>
      </c>
      <c r="F31" s="9"/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19897.57</v>
      </c>
      <c r="F32" s="9"/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20732.48</v>
      </c>
      <c r="E35" s="9" t="n">
        <v>19111.37</v>
      </c>
      <c r="F35" s="9" t="n">
        <v>18792.66</v>
      </c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0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846127.86</v>
      </c>
      <c r="E43" s="19" t="n">
        <f aca="false">SUM(E21:E42)</f>
        <v>244922.19</v>
      </c>
      <c r="F43" s="19" t="n">
        <f aca="false">SUM(F21:F42)</f>
        <v>430809.29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-430809.29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2177659.954</v>
      </c>
      <c r="E44" s="22" t="n">
        <f aca="false">E43+E20</f>
        <v>1755643.31</v>
      </c>
      <c r="F44" s="22" t="n">
        <f aca="false">F43+F20</f>
        <v>1897303.44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-1897303.44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55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347582.74</v>
      </c>
      <c r="E3" s="9" t="n">
        <v>233209.9</v>
      </c>
      <c r="F3" s="9" t="n">
        <v>364352.2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422279.312</v>
      </c>
      <c r="E4" s="9" t="n">
        <v>406825.346200003</v>
      </c>
      <c r="F4" s="9" t="n">
        <v>469684.033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82457.193</v>
      </c>
      <c r="E5" s="9" t="n">
        <v>65962.26</v>
      </c>
      <c r="F5" s="9" t="n">
        <v>68397.329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163451.946</v>
      </c>
      <c r="E6" s="9" t="n">
        <v>133409.823800003</v>
      </c>
      <c r="F6" s="9" t="n">
        <v>140722.24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385135</v>
      </c>
      <c r="E7" s="9" t="n">
        <v>371734.5</v>
      </c>
      <c r="F7" s="9" t="n">
        <v>299047.35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91523.03</v>
      </c>
      <c r="E8" s="9" t="n">
        <v>82146.14</v>
      </c>
      <c r="F8" s="9" t="n">
        <v>59215.28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85829.2</v>
      </c>
      <c r="E10" s="9" t="n">
        <v>46378.11</v>
      </c>
      <c r="F10" s="9" t="n">
        <v>81282.23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11131.68</v>
      </c>
      <c r="E11" s="9" t="n">
        <v>17589.94</v>
      </c>
      <c r="F11" s="9" t="n">
        <v>11368.09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0</v>
      </c>
      <c r="E12" s="9" t="n">
        <v>4045.81</v>
      </c>
      <c r="F12" s="9" t="n">
        <v>3319.04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0</v>
      </c>
      <c r="E13" s="9" t="n">
        <v>569.45</v>
      </c>
      <c r="F13" s="9"/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/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0</v>
      </c>
      <c r="E15" s="9" t="n">
        <v>11067.51</v>
      </c>
      <c r="F15" s="9" t="n">
        <v>947.38</v>
      </c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8592.99</v>
      </c>
      <c r="E16" s="9" t="n">
        <v>12501.56</v>
      </c>
      <c r="F16" s="9" t="n">
        <v>15269.72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1597983.091</v>
      </c>
      <c r="E17" s="13" t="n">
        <f aca="false">SUM(E3:E16)</f>
        <v>1385440.35000001</v>
      </c>
      <c r="F17" s="13" t="n">
        <f aca="false">SUM(F3:F16)</f>
        <v>1513604.892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-1513604.892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40630.42</v>
      </c>
      <c r="E18" s="9" t="n">
        <v>97231.1799999998</v>
      </c>
      <c r="F18" s="9" t="n">
        <v>236431.199999999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2455.66</v>
      </c>
      <c r="E19" s="9" t="n">
        <v>3188.82</v>
      </c>
      <c r="F19" s="9" t="n">
        <v>1747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1641069.171</v>
      </c>
      <c r="E20" s="16" t="n">
        <f aca="false">E17+E18+E19</f>
        <v>1485860.35000001</v>
      </c>
      <c r="F20" s="16" t="n">
        <f aca="false">F17+F18+F19</f>
        <v>1751783.092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-1751783.092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377981.61</v>
      </c>
      <c r="E21" s="9" t="n">
        <v>188313.47</v>
      </c>
      <c r="F21" s="9" t="n">
        <v>194189.2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255841.44</v>
      </c>
      <c r="E22" s="9" t="n">
        <v>213082.56</v>
      </c>
      <c r="F22" s="9" t="n">
        <v>137198.2</v>
      </c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73976.74</v>
      </c>
      <c r="E23" s="9" t="n">
        <v>35605.91</v>
      </c>
      <c r="F23" s="9" t="n">
        <v>17835.42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0</v>
      </c>
      <c r="E24" s="9" t="n">
        <v>85563.25</v>
      </c>
      <c r="F24" s="9"/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0</v>
      </c>
      <c r="E25" s="9" t="n">
        <v>16335.18</v>
      </c>
      <c r="F25" s="9"/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0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</v>
      </c>
      <c r="F27" s="9"/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23907.35</v>
      </c>
      <c r="E28" s="9" t="n">
        <v>0</v>
      </c>
      <c r="F28" s="9" t="n">
        <v>42152.31</v>
      </c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49906.61</v>
      </c>
      <c r="E30" s="9" t="n">
        <v>49474.45</v>
      </c>
      <c r="F30" s="9" t="n">
        <v>24695.01</v>
      </c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0</v>
      </c>
      <c r="F31" s="9"/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0</v>
      </c>
      <c r="F32" s="9"/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19941.82</v>
      </c>
      <c r="E35" s="9" t="n">
        <v>1584.32</v>
      </c>
      <c r="F35" s="9"/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34034.18</v>
      </c>
      <c r="E36" s="9" t="n">
        <v>0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835589.75</v>
      </c>
      <c r="E43" s="19" t="n">
        <f aca="false">SUM(E21:E42)</f>
        <v>589959.14</v>
      </c>
      <c r="F43" s="19" t="n">
        <f aca="false">SUM(F21:F42)</f>
        <v>416070.14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-416070.14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2476658.921</v>
      </c>
      <c r="E44" s="22" t="n">
        <f aca="false">E43+E20</f>
        <v>2075819.49000001</v>
      </c>
      <c r="F44" s="22" t="n">
        <f aca="false">F43+F20</f>
        <v>2167853.232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-2167853.232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56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0</v>
      </c>
      <c r="E3" s="9" t="n">
        <v>66608.1</v>
      </c>
      <c r="F3" s="9" t="n">
        <v>123280.14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442108.94</v>
      </c>
      <c r="E4" s="9" t="n">
        <v>437918.572000002</v>
      </c>
      <c r="F4" s="9" t="n">
        <v>418342.47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98496.489</v>
      </c>
      <c r="E5" s="9" t="n">
        <v>58257.29</v>
      </c>
      <c r="F5" s="9" t="n">
        <v>59847.151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155174.617</v>
      </c>
      <c r="E6" s="9" t="n">
        <v>153012.03</v>
      </c>
      <c r="F6" s="9" t="n">
        <v>122676.557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389673.5</v>
      </c>
      <c r="E7" s="9" t="n">
        <v>376182</v>
      </c>
      <c r="F7" s="9" t="n">
        <v>244180.55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77394.37</v>
      </c>
      <c r="E8" s="9" t="n">
        <v>74502.3</v>
      </c>
      <c r="F8" s="9" t="n">
        <v>55389.04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87247.96</v>
      </c>
      <c r="E10" s="9" t="n">
        <v>65531.82</v>
      </c>
      <c r="F10" s="9" t="n">
        <v>48951.14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21528.06</v>
      </c>
      <c r="E11" s="9" t="n">
        <v>21300.79</v>
      </c>
      <c r="F11" s="9" t="n">
        <v>6765.24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3573.08</v>
      </c>
      <c r="E12" s="9" t="n">
        <v>11352.51</v>
      </c>
      <c r="F12" s="9" t="n">
        <v>3196.2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0</v>
      </c>
      <c r="E13" s="9" t="n">
        <v>0</v>
      </c>
      <c r="F13" s="9" t="n">
        <v>1106.56</v>
      </c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/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1275.21</v>
      </c>
      <c r="E15" s="9" t="n">
        <v>0</v>
      </c>
      <c r="F15" s="9"/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7451.5</v>
      </c>
      <c r="E16" s="9" t="n">
        <v>2138.43</v>
      </c>
      <c r="F16" s="9" t="n">
        <v>6672.87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1283923.726</v>
      </c>
      <c r="E17" s="13" t="n">
        <f aca="false">SUM(E3:E16)</f>
        <v>1266803.842</v>
      </c>
      <c r="F17" s="13" t="n">
        <f aca="false">SUM(F3:F16)</f>
        <v>1090407.918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-1090407.918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45122.89</v>
      </c>
      <c r="E18" s="9" t="n">
        <v>98819.24</v>
      </c>
      <c r="F18" s="9" t="n">
        <v>409497.070000013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2233.52</v>
      </c>
      <c r="E19" s="9" t="n">
        <v>3577.56</v>
      </c>
      <c r="F19" s="9" t="n">
        <v>2065.63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1331280.136</v>
      </c>
      <c r="E20" s="16" t="n">
        <f aca="false">E17+E18+E19</f>
        <v>1369200.642</v>
      </c>
      <c r="F20" s="16" t="n">
        <f aca="false">F17+F18+F19</f>
        <v>1501970.61800001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-1501970.61800001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334336.04</v>
      </c>
      <c r="E21" s="9" t="n">
        <v>239973.2</v>
      </c>
      <c r="F21" s="9" t="n">
        <v>213959.66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0</v>
      </c>
      <c r="E22" s="9" t="n">
        <v>0</v>
      </c>
      <c r="F22" s="9"/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11470.17</v>
      </c>
      <c r="E23" s="9" t="n">
        <v>26449.51</v>
      </c>
      <c r="F23" s="9" t="n">
        <v>6418.64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84607.51</v>
      </c>
      <c r="E24" s="9" t="n">
        <v>0</v>
      </c>
      <c r="F24" s="9"/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16377.13</v>
      </c>
      <c r="E25" s="9" t="n">
        <v>13664.6</v>
      </c>
      <c r="F25" s="9" t="n">
        <v>29021.19</v>
      </c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42132.93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</v>
      </c>
      <c r="F27" s="9"/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38588.13</v>
      </c>
      <c r="E28" s="9" t="n">
        <v>0</v>
      </c>
      <c r="F28" s="9"/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171813.81</v>
      </c>
      <c r="E29" s="9" t="n">
        <v>0.22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25514.68</v>
      </c>
      <c r="E30" s="9" t="n">
        <v>43871.72</v>
      </c>
      <c r="F30" s="9"/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32010.18</v>
      </c>
      <c r="F31" s="9"/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0</v>
      </c>
      <c r="F32" s="9"/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16024.5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-20732.48</v>
      </c>
      <c r="E35" s="9" t="n">
        <v>0</v>
      </c>
      <c r="F35" s="9"/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0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661974.99</v>
      </c>
      <c r="E43" s="19" t="n">
        <f aca="false">SUM(E21:E42)</f>
        <v>414126.86</v>
      </c>
      <c r="F43" s="19" t="n">
        <f aca="false">SUM(F21:F42)</f>
        <v>249399.49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-249399.49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1993255.126</v>
      </c>
      <c r="E44" s="22" t="n">
        <f aca="false">E43+E20</f>
        <v>1783327.502</v>
      </c>
      <c r="F44" s="22" t="n">
        <f aca="false">F43+F20</f>
        <v>1751370.10800001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-1751370.10800001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57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263037.5</v>
      </c>
      <c r="E3" s="9" t="n">
        <v>336937.6</v>
      </c>
      <c r="F3" s="9" t="n">
        <v>124575.26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473814.796</v>
      </c>
      <c r="E4" s="9" t="n">
        <v>549545.830000007</v>
      </c>
      <c r="F4" s="9" t="n">
        <v>429718.198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100846.291</v>
      </c>
      <c r="E5" s="9" t="n">
        <v>75168</v>
      </c>
      <c r="F5" s="9" t="n">
        <v>83501.964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132554.789</v>
      </c>
      <c r="E6" s="9" t="n">
        <v>173213.55</v>
      </c>
      <c r="F6" s="9" t="n">
        <v>125615.726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244648</v>
      </c>
      <c r="E7" s="9" t="n">
        <v>263457</v>
      </c>
      <c r="F7" s="9" t="n">
        <v>220778.2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59971.53</v>
      </c>
      <c r="E8" s="9" t="n">
        <v>62433.13</v>
      </c>
      <c r="F8" s="9" t="n">
        <v>50971.08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69580.43</v>
      </c>
      <c r="E10" s="9" t="n">
        <v>74555.12</v>
      </c>
      <c r="F10" s="9" t="n">
        <v>88526.04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14571.76</v>
      </c>
      <c r="E11" s="9" t="n">
        <v>15201.7</v>
      </c>
      <c r="F11" s="9" t="n">
        <v>11923.54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11309.68</v>
      </c>
      <c r="E12" s="9" t="n">
        <v>4054.42</v>
      </c>
      <c r="F12" s="9" t="n">
        <v>4956.22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850.4</v>
      </c>
      <c r="E13" s="9" t="n">
        <v>0</v>
      </c>
      <c r="F13" s="9"/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/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0</v>
      </c>
      <c r="E15" s="9" t="n">
        <v>0</v>
      </c>
      <c r="F15" s="9" t="n">
        <v>847.74</v>
      </c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3314.43</v>
      </c>
      <c r="E16" s="9" t="n">
        <v>5898.37</v>
      </c>
      <c r="F16" s="9" t="n">
        <v>33906.96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1374499.606</v>
      </c>
      <c r="E17" s="13" t="n">
        <f aca="false">SUM(E3:E16)</f>
        <v>1560464.72000001</v>
      </c>
      <c r="F17" s="13" t="n">
        <f aca="false">SUM(F3:F16)</f>
        <v>1175320.928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-1175320.928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43476.43</v>
      </c>
      <c r="E18" s="9" t="n">
        <v>96447.3100000002</v>
      </c>
      <c r="F18" s="9" t="n">
        <v>544858.410000022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2046.43</v>
      </c>
      <c r="E19" s="9" t="n">
        <v>2606.4</v>
      </c>
      <c r="F19" s="9" t="n">
        <v>1302.94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1420022.466</v>
      </c>
      <c r="E20" s="16" t="n">
        <f aca="false">E17+E18+E19</f>
        <v>1659518.43000001</v>
      </c>
      <c r="F20" s="16" t="n">
        <f aca="false">F17+F18+F19</f>
        <v>1721482.27800002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-1721482.27800002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264520.55</v>
      </c>
      <c r="E21" s="9" t="n">
        <v>238431.78</v>
      </c>
      <c r="F21" s="9" t="n">
        <v>214988.69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184350.47</v>
      </c>
      <c r="E22" s="9" t="n">
        <v>217182.24</v>
      </c>
      <c r="F22" s="9"/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0</v>
      </c>
      <c r="E23" s="9" t="n">
        <v>0</v>
      </c>
      <c r="F23" s="9" t="n">
        <v>123835.02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0</v>
      </c>
      <c r="E24" s="9" t="n">
        <v>88706.82</v>
      </c>
      <c r="F24" s="9" t="n">
        <v>92404.96</v>
      </c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17556.44</v>
      </c>
      <c r="E25" s="9" t="n">
        <v>11888.32</v>
      </c>
      <c r="F25" s="9"/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0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</v>
      </c>
      <c r="F27" s="9" t="n">
        <v>165356.86</v>
      </c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0</v>
      </c>
      <c r="E28" s="9" t="n">
        <v>35240.62</v>
      </c>
      <c r="F28" s="9"/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27828.48</v>
      </c>
      <c r="E30" s="9" t="n">
        <v>38170.88</v>
      </c>
      <c r="F30" s="9" t="n">
        <v>60931.15</v>
      </c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49617.59</v>
      </c>
      <c r="E31" s="9" t="n">
        <v>0</v>
      </c>
      <c r="F31" s="9"/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20354.79</v>
      </c>
      <c r="E32" s="9" t="n">
        <v>0</v>
      </c>
      <c r="F32" s="9" t="n">
        <v>17809.5</v>
      </c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0</v>
      </c>
      <c r="E35" s="9" t="n">
        <v>0</v>
      </c>
      <c r="F35" s="9"/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0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41531.96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605760.28</v>
      </c>
      <c r="E43" s="19" t="n">
        <f aca="false">SUM(E21:E42)</f>
        <v>629620.66</v>
      </c>
      <c r="F43" s="19" t="n">
        <f aca="false">SUM(F21:F42)</f>
        <v>675326.18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-675326.18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2025782.746</v>
      </c>
      <c r="E44" s="22" t="n">
        <f aca="false">E43+E20</f>
        <v>2289139.09000001</v>
      </c>
      <c r="F44" s="22" t="n">
        <f aca="false">F43+F20</f>
        <v>2396808.45800002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-2396808.45800002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58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155618.13</v>
      </c>
      <c r="E3" s="9" t="n">
        <v>131634</v>
      </c>
      <c r="F3" s="9"/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560199.913</v>
      </c>
      <c r="E4" s="9" t="n">
        <v>729180.694700011</v>
      </c>
      <c r="F4" s="9" t="n">
        <v>498482.53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104005.538</v>
      </c>
      <c r="E5" s="9" t="n">
        <v>80577.77</v>
      </c>
      <c r="F5" s="9" t="n">
        <v>81328.338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211638.805</v>
      </c>
      <c r="E6" s="9" t="n">
        <v>186515.155300001</v>
      </c>
      <c r="F6" s="9" t="n">
        <v>148972.084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327442</v>
      </c>
      <c r="E7" s="9" t="n">
        <v>307503</v>
      </c>
      <c r="F7" s="9" t="n">
        <v>318846.8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65998.04</v>
      </c>
      <c r="E8" s="9" t="n">
        <v>88130.8</v>
      </c>
      <c r="F8" s="9" t="n">
        <v>47091.772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99310.41</v>
      </c>
      <c r="E10" s="9" t="n">
        <v>94846.85</v>
      </c>
      <c r="F10" s="9" t="n">
        <v>102176.91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16034.44</v>
      </c>
      <c r="E11" s="9" t="n">
        <v>15870.65</v>
      </c>
      <c r="F11" s="9" t="n">
        <v>6343.11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1188.66</v>
      </c>
      <c r="E12" s="9" t="n">
        <v>5871.12</v>
      </c>
      <c r="F12" s="9" t="n">
        <v>7664.69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0</v>
      </c>
      <c r="E13" s="9" t="n">
        <v>0</v>
      </c>
      <c r="F13" s="9"/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1597.46</v>
      </c>
      <c r="E14" s="9" t="n">
        <v>0</v>
      </c>
      <c r="F14" s="9" t="n">
        <v>1896.82</v>
      </c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0</v>
      </c>
      <c r="E15" s="9" t="n">
        <v>0</v>
      </c>
      <c r="F15" s="9" t="n">
        <v>3430</v>
      </c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3187.34</v>
      </c>
      <c r="E16" s="9" t="n">
        <v>707.660000000001</v>
      </c>
      <c r="F16" s="9" t="n">
        <v>6150.22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1546220.736</v>
      </c>
      <c r="E17" s="13" t="n">
        <f aca="false">SUM(E3:E16)</f>
        <v>1640837.70000001</v>
      </c>
      <c r="F17" s="13" t="n">
        <f aca="false">SUM(F3:F16)</f>
        <v>1222383.274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-1222383.274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49304.7</v>
      </c>
      <c r="E18" s="9" t="n">
        <v>99302.9500000002</v>
      </c>
      <c r="F18" s="9" t="n">
        <v>404699.340000001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2364.29</v>
      </c>
      <c r="E19" s="9" t="n">
        <v>1491.14</v>
      </c>
      <c r="F19" s="9" t="n">
        <v>2347.76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1597889.726</v>
      </c>
      <c r="E20" s="16" t="n">
        <f aca="false">E17+E18+E19</f>
        <v>1741631.79000001</v>
      </c>
      <c r="F20" s="16" t="n">
        <f aca="false">F17+F18+F19</f>
        <v>1629430.374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-1629430.374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318316.8</v>
      </c>
      <c r="E21" s="9" t="n">
        <v>252540.02</v>
      </c>
      <c r="F21" s="9" t="n">
        <v>224163.96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0</v>
      </c>
      <c r="E22" s="9" t="n">
        <v>0</v>
      </c>
      <c r="F22" s="9" t="n">
        <v>204882.82</v>
      </c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169505.88</v>
      </c>
      <c r="E23" s="9" t="n">
        <v>1513.3</v>
      </c>
      <c r="F23" s="9" t="n">
        <v>5036.8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0</v>
      </c>
      <c r="E24" s="9" t="n">
        <v>0</v>
      </c>
      <c r="F24" s="9"/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0</v>
      </c>
      <c r="E25" s="9" t="n">
        <v>0</v>
      </c>
      <c r="F25" s="9" t="n">
        <v>16087.48</v>
      </c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10766.89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172805.6</v>
      </c>
      <c r="F27" s="9" t="n">
        <v>-19940.33</v>
      </c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-0.48</v>
      </c>
      <c r="E28" s="9" t="n">
        <v>0</v>
      </c>
      <c r="F28" s="9" t="n">
        <v>18541.7</v>
      </c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31259.76</v>
      </c>
      <c r="E30" s="9" t="n">
        <v>56732.32</v>
      </c>
      <c r="F30" s="9" t="n">
        <v>33066.23</v>
      </c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0</v>
      </c>
      <c r="F31" s="9" t="n">
        <v>43116.44</v>
      </c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18835.73</v>
      </c>
      <c r="F32" s="9"/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0</v>
      </c>
      <c r="E35" s="9" t="n">
        <v>19017.88</v>
      </c>
      <c r="F35" s="9"/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30531.53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248.59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519081.96</v>
      </c>
      <c r="E43" s="19" t="n">
        <f aca="false">SUM(E21:E42)</f>
        <v>562991.86</v>
      </c>
      <c r="F43" s="19" t="n">
        <f aca="false">SUM(F21:F42)</f>
        <v>524955.1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-524955.1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2116971.686</v>
      </c>
      <c r="E44" s="22" t="n">
        <f aca="false">E43+E20</f>
        <v>2304623.65000001</v>
      </c>
      <c r="F44" s="22" t="n">
        <f aca="false">F43+F20</f>
        <v>2154385.474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-2154385.474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59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144633.67</v>
      </c>
      <c r="E3" s="9" t="n">
        <v>0</v>
      </c>
      <c r="F3" s="9" t="n">
        <v>65131.7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429114.049</v>
      </c>
      <c r="E4" s="9" t="n">
        <v>452295.980000005</v>
      </c>
      <c r="F4" s="9" t="n">
        <v>534754.402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94683.953</v>
      </c>
      <c r="E5" s="9" t="n">
        <v>87191.65</v>
      </c>
      <c r="F5" s="9" t="n">
        <v>76564.033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174598.676</v>
      </c>
      <c r="E6" s="9" t="n">
        <v>160476.44</v>
      </c>
      <c r="F6" s="9" t="n">
        <v>188367.581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315729.5</v>
      </c>
      <c r="E7" s="9" t="n">
        <v>363201.5</v>
      </c>
      <c r="F7" s="9" t="n">
        <v>339371.75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43688.56</v>
      </c>
      <c r="E8" s="9" t="n">
        <v>62616.16</v>
      </c>
      <c r="F8" s="9" t="n">
        <v>70005.299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77555.62</v>
      </c>
      <c r="E10" s="9" t="n">
        <v>63999.64</v>
      </c>
      <c r="F10" s="9" t="n">
        <v>67723.22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13321.91</v>
      </c>
      <c r="E11" s="9" t="n">
        <v>9192.17</v>
      </c>
      <c r="F11" s="9" t="n">
        <v>6761.44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11738.24</v>
      </c>
      <c r="E12" s="9" t="n">
        <v>4288.26</v>
      </c>
      <c r="F12" s="9" t="n">
        <v>8984.58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0</v>
      </c>
      <c r="E13" s="9" t="n">
        <v>1244.84</v>
      </c>
      <c r="F13" s="9" t="n">
        <v>1658.99</v>
      </c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/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4579.64</v>
      </c>
      <c r="E15" s="9" t="n">
        <v>0</v>
      </c>
      <c r="F15" s="9"/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5235.63</v>
      </c>
      <c r="E16" s="9" t="n">
        <v>17697.58</v>
      </c>
      <c r="F16" s="9" t="n">
        <v>15643.41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1314879.448</v>
      </c>
      <c r="E17" s="13" t="n">
        <f aca="false">SUM(E3:E16)</f>
        <v>1222204.22000001</v>
      </c>
      <c r="F17" s="13" t="n">
        <f aca="false">SUM(F3:F16)</f>
        <v>1374966.405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-1374966.405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52569.54</v>
      </c>
      <c r="E18" s="9" t="n">
        <v>128892.76</v>
      </c>
      <c r="F18" s="9" t="n">
        <v>423398.059999998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5374.81</v>
      </c>
      <c r="E19" s="9" t="n">
        <v>4432.93</v>
      </c>
      <c r="F19" s="9" t="n">
        <v>1069.29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1372823.798</v>
      </c>
      <c r="E20" s="16" t="n">
        <f aca="false">E17+E18+E19</f>
        <v>1355529.91000001</v>
      </c>
      <c r="F20" s="16" t="n">
        <f aca="false">F17+F18+F19</f>
        <v>1799433.755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-1799433.755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371311.12</v>
      </c>
      <c r="E21" s="9" t="n">
        <v>68328.76</v>
      </c>
      <c r="F21" s="9" t="n">
        <v>229029.21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0</v>
      </c>
      <c r="E22" s="9" t="n">
        <v>0</v>
      </c>
      <c r="F22" s="9"/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14810.7</v>
      </c>
      <c r="E23" s="9" t="n">
        <v>0</v>
      </c>
      <c r="F23" s="9" t="n">
        <v>55255.27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83128.56</v>
      </c>
      <c r="E24" s="9" t="n">
        <v>0</v>
      </c>
      <c r="F24" s="9" t="n">
        <v>147489.2</v>
      </c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14559.92</v>
      </c>
      <c r="E25" s="9" t="n">
        <v>0</v>
      </c>
      <c r="F25" s="9" t="n">
        <v>15795</v>
      </c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65362.29</v>
      </c>
      <c r="E26" s="9" t="n">
        <v>0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0.33</v>
      </c>
      <c r="F27" s="9"/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37671.79</v>
      </c>
      <c r="E28" s="9" t="n">
        <v>0</v>
      </c>
      <c r="F28" s="9"/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37331.12</v>
      </c>
      <c r="E30" s="9" t="n">
        <v>53.7</v>
      </c>
      <c r="F30" s="9" t="n">
        <v>57084.96</v>
      </c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0</v>
      </c>
      <c r="F31" s="9"/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0</v>
      </c>
      <c r="F32" s="9"/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0</v>
      </c>
      <c r="E35" s="9" t="n">
        <v>0</v>
      </c>
      <c r="F35" s="9"/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0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22310.96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646486.46</v>
      </c>
      <c r="E43" s="19" t="n">
        <f aca="false">SUM(E21:E42)</f>
        <v>68382.79</v>
      </c>
      <c r="F43" s="19" t="n">
        <f aca="false">SUM(F21:F42)</f>
        <v>504653.64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-504653.64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2019310.258</v>
      </c>
      <c r="E44" s="22" t="n">
        <f aca="false">E43+E20</f>
        <v>1423912.70000001</v>
      </c>
      <c r="F44" s="22" t="n">
        <f aca="false">F43+F20</f>
        <v>2304087.395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-2304087.395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60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214594.9</v>
      </c>
      <c r="E3" s="9" t="n">
        <v>83088</v>
      </c>
      <c r="F3" s="9" t="n">
        <v>73969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502006.141</v>
      </c>
      <c r="E4" s="9" t="n">
        <v>486312.520000005</v>
      </c>
      <c r="F4" s="9" t="n">
        <v>453851.216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95719.442</v>
      </c>
      <c r="E5" s="9" t="n">
        <v>59921.68</v>
      </c>
      <c r="F5" s="9" t="n">
        <v>72470.216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157377.696</v>
      </c>
      <c r="E6" s="9" t="n">
        <v>221525.16</v>
      </c>
      <c r="F6" s="9" t="n">
        <v>152144.318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326042</v>
      </c>
      <c r="E7" s="9" t="n">
        <v>329541.7</v>
      </c>
      <c r="F7" s="9" t="n">
        <v>392888.3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79041.44</v>
      </c>
      <c r="E8" s="9" t="n">
        <v>95914.88</v>
      </c>
      <c r="F8" s="9" t="n">
        <v>49165.266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76209.32</v>
      </c>
      <c r="E10" s="9" t="n">
        <v>81305.01</v>
      </c>
      <c r="F10" s="9" t="n">
        <v>65635.87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27532.1</v>
      </c>
      <c r="E11" s="9" t="n">
        <v>10971.32</v>
      </c>
      <c r="F11" s="9" t="n">
        <v>5105.8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8417.71</v>
      </c>
      <c r="E12" s="9" t="n">
        <v>4990.47</v>
      </c>
      <c r="F12" s="9" t="n">
        <v>3863.17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679.3</v>
      </c>
      <c r="E13" s="9" t="n">
        <v>0</v>
      </c>
      <c r="F13" s="9" t="n">
        <v>0</v>
      </c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 t="n">
        <v>0</v>
      </c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0</v>
      </c>
      <c r="E15" s="9" t="n">
        <v>651.15</v>
      </c>
      <c r="F15" s="9" t="n">
        <v>478.2</v>
      </c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16671.18</v>
      </c>
      <c r="E16" s="9" t="n">
        <v>7828.72</v>
      </c>
      <c r="F16" s="9" t="n">
        <v>10025.73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1504291.229</v>
      </c>
      <c r="E17" s="13" t="n">
        <f aca="false">SUM(E3:E16)</f>
        <v>1382050.61000001</v>
      </c>
      <c r="F17" s="13" t="n">
        <f aca="false">SUM(F3:F16)</f>
        <v>1279597.086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-1279597.086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56033.8100000001</v>
      </c>
      <c r="E18" s="9" t="n">
        <v>163496.619999998</v>
      </c>
      <c r="F18" s="9" t="n">
        <v>398018.329999997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1788.03</v>
      </c>
      <c r="E19" s="9" t="n">
        <v>1318.12</v>
      </c>
      <c r="F19" s="9" t="n">
        <v>1741.74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1562113.069</v>
      </c>
      <c r="E20" s="16" t="n">
        <f aca="false">E17+E18+E19</f>
        <v>1546865.35</v>
      </c>
      <c r="F20" s="16" t="n">
        <f aca="false">F17+F18+F19</f>
        <v>1679357.156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-1679357.156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316462.25</v>
      </c>
      <c r="E21" s="9" t="n">
        <v>353503.85</v>
      </c>
      <c r="F21" s="9" t="n">
        <v>223994.55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143527.77</v>
      </c>
      <c r="E22" s="9" t="n">
        <v>187405.66</v>
      </c>
      <c r="F22" s="9" t="n">
        <v>0</v>
      </c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61466.82</v>
      </c>
      <c r="E23" s="9" t="n">
        <v>194396.85</v>
      </c>
      <c r="F23" s="9" t="n">
        <v>0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90587.54</v>
      </c>
      <c r="E24" s="9" t="n">
        <v>87907.48</v>
      </c>
      <c r="F24" s="9" t="n">
        <v>0</v>
      </c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16222.13</v>
      </c>
      <c r="E25" s="9" t="n">
        <v>30796.16</v>
      </c>
      <c r="F25" s="9" t="n">
        <v>19451.36</v>
      </c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0</v>
      </c>
      <c r="F26" s="9" t="n">
        <v>0</v>
      </c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</v>
      </c>
      <c r="F27" s="9" t="n">
        <v>221407.78</v>
      </c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609.99</v>
      </c>
      <c r="E28" s="9" t="n">
        <v>31010.8</v>
      </c>
      <c r="F28" s="9" t="n">
        <v>0</v>
      </c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 t="n">
        <v>0</v>
      </c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27604.14</v>
      </c>
      <c r="E30" s="9" t="n">
        <v>56344.52</v>
      </c>
      <c r="F30" s="9" t="n">
        <v>41960.14</v>
      </c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0</v>
      </c>
      <c r="F31" s="9" t="n">
        <v>0</v>
      </c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0</v>
      </c>
      <c r="F32" s="9" t="n">
        <v>0</v>
      </c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15559.58</v>
      </c>
      <c r="F33" s="9" t="n">
        <v>0</v>
      </c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 t="n">
        <v>0</v>
      </c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13897.42</v>
      </c>
      <c r="E35" s="9" t="n">
        <v>0</v>
      </c>
      <c r="F35" s="9" t="n">
        <v>0</v>
      </c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0</v>
      </c>
      <c r="F36" s="9" t="n">
        <v>0</v>
      </c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 t="n">
        <v>0</v>
      </c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 t="n">
        <v>0</v>
      </c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 t="n">
        <v>0</v>
      </c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 t="n">
        <v>0</v>
      </c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670378.06</v>
      </c>
      <c r="E43" s="19" t="n">
        <f aca="false">SUM(E21:E42)</f>
        <v>956924.9</v>
      </c>
      <c r="F43" s="19" t="n">
        <f aca="false">SUM(F21:F42)</f>
        <v>506813.83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-506813.83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2232491.129</v>
      </c>
      <c r="E44" s="22" t="n">
        <f aca="false">E43+E20</f>
        <v>2503790.25</v>
      </c>
      <c r="F44" s="22" t="n">
        <f aca="false">F43+F20</f>
        <v>2186170.986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-2186170.986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61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301190.6</v>
      </c>
      <c r="E3" s="9" t="n">
        <v>243929.1</v>
      </c>
      <c r="F3" s="9" t="n">
        <v>299421.55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429300.053</v>
      </c>
      <c r="E4" s="9" t="n">
        <v>495074.58</v>
      </c>
      <c r="F4" s="9" t="n">
        <v>588822.689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96254.067</v>
      </c>
      <c r="E5" s="9" t="n">
        <v>73631.74</v>
      </c>
      <c r="F5" s="9" t="n">
        <v>70518.812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112372.337</v>
      </c>
      <c r="E6" s="9" t="n">
        <v>179847.32</v>
      </c>
      <c r="F6" s="9" t="n">
        <v>160218.084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416484</v>
      </c>
      <c r="E7" s="9" t="n">
        <v>273604.4</v>
      </c>
      <c r="F7" s="9" t="n">
        <v>295436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64245.4</v>
      </c>
      <c r="E8" s="9" t="n">
        <v>81013.09</v>
      </c>
      <c r="F8" s="9" t="n">
        <v>73310.601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62739.61</v>
      </c>
      <c r="E10" s="9" t="n">
        <v>61998.83</v>
      </c>
      <c r="F10" s="9" t="n">
        <v>76847.55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18126.58</v>
      </c>
      <c r="E11" s="9" t="n">
        <v>12420.51</v>
      </c>
      <c r="F11" s="9" t="n">
        <v>4321.85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8063.63</v>
      </c>
      <c r="E12" s="9" t="n">
        <v>1459.42</v>
      </c>
      <c r="F12" s="9" t="n">
        <v>2043.68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0</v>
      </c>
      <c r="E13" s="9" t="n">
        <v>0</v>
      </c>
      <c r="F13" s="9" t="n">
        <v>728.87</v>
      </c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 t="n">
        <v>0</v>
      </c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0</v>
      </c>
      <c r="E15" s="9" t="n">
        <v>0</v>
      </c>
      <c r="F15" s="9" t="n">
        <v>0</v>
      </c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6797.75</v>
      </c>
      <c r="E16" s="9" t="n">
        <v>5704.97</v>
      </c>
      <c r="F16" s="9" t="n">
        <v>10118.69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1515574.027</v>
      </c>
      <c r="E17" s="13" t="n">
        <f aca="false">SUM(E3:E16)</f>
        <v>1428683.96</v>
      </c>
      <c r="F17" s="13" t="n">
        <f aca="false">SUM(F3:F16)</f>
        <v>1581788.376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-1581788.376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43626.89</v>
      </c>
      <c r="E18" s="9" t="n">
        <v>136844.33</v>
      </c>
      <c r="F18" s="9" t="n">
        <v>391167.74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4027.72</v>
      </c>
      <c r="E19" s="9" t="n">
        <v>2497.52</v>
      </c>
      <c r="F19" s="9" t="n">
        <v>1484.7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1563228.637</v>
      </c>
      <c r="E20" s="16" t="n">
        <f aca="false">E17+E18+E19</f>
        <v>1568025.81</v>
      </c>
      <c r="F20" s="16" t="n">
        <f aca="false">F17+F18+F19</f>
        <v>1974440.816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-1974440.816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273201.5</v>
      </c>
      <c r="E21" s="9" t="n">
        <v>252496.44</v>
      </c>
      <c r="F21" s="9" t="n">
        <v>202592.25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-2422.68</v>
      </c>
      <c r="E22" s="9" t="n">
        <v>0</v>
      </c>
      <c r="F22" s="9" t="n">
        <v>132101.57</v>
      </c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16110.54</v>
      </c>
      <c r="E23" s="9" t="n">
        <v>64506.58</v>
      </c>
      <c r="F23" s="9" t="n">
        <v>10986.57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0</v>
      </c>
      <c r="E24" s="9" t="n">
        <v>68497.3</v>
      </c>
      <c r="F24" s="9" t="n">
        <v>0</v>
      </c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19066.6</v>
      </c>
      <c r="E25" s="9" t="n">
        <v>18496.39</v>
      </c>
      <c r="F25" s="9" t="n">
        <v>0</v>
      </c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0</v>
      </c>
      <c r="F26" s="9" t="n">
        <v>0</v>
      </c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</v>
      </c>
      <c r="F27" s="9" t="n">
        <v>0</v>
      </c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41467.05</v>
      </c>
      <c r="E28" s="9" t="n">
        <v>0</v>
      </c>
      <c r="F28" s="9" t="n">
        <v>0</v>
      </c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 t="n">
        <v>0</v>
      </c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21966.81</v>
      </c>
      <c r="E30" s="9" t="n">
        <v>26937.54</v>
      </c>
      <c r="F30" s="9" t="n">
        <v>30237.69</v>
      </c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0</v>
      </c>
      <c r="F31" s="9" t="n">
        <v>0</v>
      </c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0</v>
      </c>
      <c r="F32" s="9" t="n">
        <v>0</v>
      </c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 t="n">
        <v>10037.15</v>
      </c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 t="n">
        <v>0</v>
      </c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0</v>
      </c>
      <c r="E35" s="9" t="n">
        <v>0</v>
      </c>
      <c r="F35" s="9" t="n">
        <v>18350.05</v>
      </c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25140.85</v>
      </c>
      <c r="E36" s="9" t="n">
        <v>0</v>
      </c>
      <c r="F36" s="9" t="n">
        <v>26105.72</v>
      </c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 t="n">
        <v>0</v>
      </c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 t="n">
        <v>0</v>
      </c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 t="n">
        <v>0</v>
      </c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 t="n">
        <v>0</v>
      </c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394530.67</v>
      </c>
      <c r="E43" s="19" t="n">
        <f aca="false">SUM(E21:E42)</f>
        <v>430934.25</v>
      </c>
      <c r="F43" s="19" t="n">
        <f aca="false">SUM(F21:F42)</f>
        <v>430411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-430411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1957759.307</v>
      </c>
      <c r="E44" s="22" t="n">
        <f aca="false">E43+E20</f>
        <v>1998960.06</v>
      </c>
      <c r="F44" s="22" t="n">
        <f aca="false">F43+F20</f>
        <v>2404851.816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-2404851.816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62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124776.4</v>
      </c>
      <c r="E3" s="9" t="n">
        <v>157587.19</v>
      </c>
      <c r="F3" s="9" t="n">
        <v>193941.5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514559.045</v>
      </c>
      <c r="E4" s="9" t="n">
        <v>465794.42</v>
      </c>
      <c r="F4" s="9" t="n">
        <v>413784.462</v>
      </c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104489.476</v>
      </c>
      <c r="E5" s="9" t="n">
        <v>64918.49</v>
      </c>
      <c r="F5" s="9" t="n">
        <v>70795.452</v>
      </c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141046.592</v>
      </c>
      <c r="E6" s="9" t="n">
        <v>134403.73</v>
      </c>
      <c r="F6" s="9" t="n">
        <v>178661.465</v>
      </c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309520.8</v>
      </c>
      <c r="E7" s="9" t="n">
        <v>337200.15</v>
      </c>
      <c r="F7" s="9" t="n">
        <v>296928.1</v>
      </c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65554.73</v>
      </c>
      <c r="E8" s="9" t="n">
        <v>89206.99</v>
      </c>
      <c r="F8" s="9" t="n">
        <v>54681.263</v>
      </c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65856.52</v>
      </c>
      <c r="E10" s="9" t="n">
        <v>69988.58</v>
      </c>
      <c r="F10" s="9" t="n">
        <v>60353.17</v>
      </c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10468.76</v>
      </c>
      <c r="E11" s="9" t="n">
        <v>17490.72</v>
      </c>
      <c r="F11" s="9" t="n">
        <v>8755.86</v>
      </c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3066.38</v>
      </c>
      <c r="E12" s="9" t="n">
        <v>4228.87</v>
      </c>
      <c r="F12" s="9" t="n">
        <v>5091.7</v>
      </c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850.4</v>
      </c>
      <c r="E13" s="9" t="n">
        <v>0</v>
      </c>
      <c r="F13" s="9" t="n">
        <v>0</v>
      </c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 t="n">
        <v>0</v>
      </c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0</v>
      </c>
      <c r="E15" s="9" t="n">
        <v>0</v>
      </c>
      <c r="F15" s="9" t="n">
        <v>6726.56</v>
      </c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5902.85</v>
      </c>
      <c r="E16" s="9" t="n">
        <v>9679.47</v>
      </c>
      <c r="F16" s="9" t="n">
        <v>9421.74</v>
      </c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1346091.953</v>
      </c>
      <c r="E17" s="13" t="n">
        <f aca="false">SUM(E3:E16)</f>
        <v>1350498.61</v>
      </c>
      <c r="F17" s="13" t="n">
        <f aca="false">SUM(F3:F16)</f>
        <v>1299141.272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-1299141.272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56193.1900000001</v>
      </c>
      <c r="E18" s="9" t="n">
        <v>143120.649999998</v>
      </c>
      <c r="F18" s="9" t="n">
        <v>347579.04</v>
      </c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3358.59</v>
      </c>
      <c r="E19" s="9" t="n">
        <v>1798.35</v>
      </c>
      <c r="F19" s="9" t="n">
        <v>547.02</v>
      </c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1405643.733</v>
      </c>
      <c r="E20" s="16" t="n">
        <f aca="false">E17+E18+E19</f>
        <v>1495417.61</v>
      </c>
      <c r="F20" s="16" t="n">
        <f aca="false">F17+F18+F19</f>
        <v>1647267.332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-1647267.332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258929.86</v>
      </c>
      <c r="E21" s="9" t="n">
        <v>247434.35</v>
      </c>
      <c r="F21" s="9" t="n">
        <v>198718.53</v>
      </c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159908.54</v>
      </c>
      <c r="E22" s="9" t="n">
        <v>0</v>
      </c>
      <c r="F22" s="9" t="n">
        <v>0</v>
      </c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16422.81</v>
      </c>
      <c r="E23" s="9" t="n">
        <v>10281.02</v>
      </c>
      <c r="F23" s="9" t="n">
        <v>0</v>
      </c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-4343.69</v>
      </c>
      <c r="E24" s="9" t="n">
        <v>0</v>
      </c>
      <c r="F24" s="9" t="n">
        <v>51223.23</v>
      </c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11239.03</v>
      </c>
      <c r="E25" s="9" t="n">
        <v>0</v>
      </c>
      <c r="F25" s="9" t="n">
        <v>15160.58</v>
      </c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0</v>
      </c>
      <c r="F26" s="9" t="n">
        <v>0</v>
      </c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</v>
      </c>
      <c r="F27" s="9" t="n">
        <v>0</v>
      </c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0</v>
      </c>
      <c r="E28" s="9" t="n">
        <v>0</v>
      </c>
      <c r="F28" s="9" t="n">
        <v>0</v>
      </c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 t="n">
        <v>0</v>
      </c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64828.58</v>
      </c>
      <c r="E30" s="9" t="n">
        <v>27485.96</v>
      </c>
      <c r="F30" s="9" t="n">
        <v>25430.19</v>
      </c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54153.1</v>
      </c>
      <c r="E31" s="9" t="n">
        <v>0</v>
      </c>
      <c r="F31" s="9" t="n">
        <v>0</v>
      </c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20673.57</v>
      </c>
      <c r="E32" s="9" t="n">
        <v>0</v>
      </c>
      <c r="F32" s="9" t="n">
        <v>21590.63</v>
      </c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31722.98</v>
      </c>
      <c r="E33" s="9" t="n">
        <v>50202.49</v>
      </c>
      <c r="F33" s="9" t="n">
        <v>0</v>
      </c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 t="n">
        <v>0</v>
      </c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1987.54</v>
      </c>
      <c r="E35" s="9" t="n">
        <v>0</v>
      </c>
      <c r="F35" s="9" t="n">
        <v>0</v>
      </c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0</v>
      </c>
      <c r="F36" s="9" t="n">
        <v>0</v>
      </c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 t="n">
        <v>0</v>
      </c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 t="n">
        <v>0</v>
      </c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-1.37</v>
      </c>
      <c r="E39" s="9" t="n">
        <v>0</v>
      </c>
      <c r="F39" s="9" t="n">
        <v>0</v>
      </c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 t="n">
        <v>0</v>
      </c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615520.95</v>
      </c>
      <c r="E43" s="19" t="n">
        <f aca="false">SUM(E21:E42)</f>
        <v>335403.82</v>
      </c>
      <c r="F43" s="19" t="n">
        <f aca="false">SUM(F21:F42)</f>
        <v>312123.16</v>
      </c>
      <c r="G43" s="19" t="n">
        <f aca="false">SUM(G21:G42)</f>
        <v>0</v>
      </c>
      <c r="H43" s="20" t="n">
        <f aca="false">IF(G43="","-",IFERROR(G43/F43-1,"-"))</f>
        <v>-1</v>
      </c>
      <c r="I43" s="19" t="n">
        <f aca="false">IF(G43="","-",G43-F43)</f>
        <v>-312123.16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2021164.683</v>
      </c>
      <c r="E44" s="22" t="n">
        <f aca="false">E43+E20</f>
        <v>1830821.43</v>
      </c>
      <c r="F44" s="22" t="n">
        <f aca="false">F43+F20</f>
        <v>1959390.492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-1959390.492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63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0</v>
      </c>
      <c r="E3" s="9" t="n">
        <v>33955.2</v>
      </c>
      <c r="F3" s="9" t="n">
        <v>20995.2</v>
      </c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403387.075</v>
      </c>
      <c r="E4" s="9" t="n">
        <v>417469.78</v>
      </c>
      <c r="F4" s="9"/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80742.389</v>
      </c>
      <c r="E5" s="9" t="n">
        <v>61390.42</v>
      </c>
      <c r="F5" s="9"/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128887.331</v>
      </c>
      <c r="E6" s="9" t="n">
        <v>150616.42</v>
      </c>
      <c r="F6" s="9"/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291076</v>
      </c>
      <c r="E7" s="9" t="n">
        <v>184903.8</v>
      </c>
      <c r="F7" s="9"/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50225.36</v>
      </c>
      <c r="E8" s="9" t="n">
        <v>70789.24</v>
      </c>
      <c r="F8" s="9"/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56916.24</v>
      </c>
      <c r="E10" s="9" t="n">
        <v>57765.28</v>
      </c>
      <c r="F10" s="9"/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11253.22</v>
      </c>
      <c r="E11" s="9" t="n">
        <v>9579</v>
      </c>
      <c r="F11" s="9"/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-1766.36</v>
      </c>
      <c r="E12" s="9" t="n">
        <v>3274.69</v>
      </c>
      <c r="F12" s="9"/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0</v>
      </c>
      <c r="E13" s="9" t="n">
        <v>669.74</v>
      </c>
      <c r="F13" s="9"/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514.2</v>
      </c>
      <c r="F14" s="9"/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507.08</v>
      </c>
      <c r="E15" s="9" t="n">
        <v>0</v>
      </c>
      <c r="F15" s="9"/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2059.32</v>
      </c>
      <c r="E16" s="9" t="n">
        <v>4038.81</v>
      </c>
      <c r="F16" s="9"/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1023287.655</v>
      </c>
      <c r="E17" s="13" t="n">
        <f aca="false">SUM(E3:E16)</f>
        <v>994966.58</v>
      </c>
      <c r="F17" s="13" t="n">
        <f aca="false">SUM(F3:F16)</f>
        <v>20995.2</v>
      </c>
      <c r="G17" s="13" t="n">
        <f aca="false">SUM(G3:G16)</f>
        <v>0</v>
      </c>
      <c r="H17" s="14" t="n">
        <f aca="false">IF(G17="","-",IFERROR(G17/F17-1,"-"))</f>
        <v>-1</v>
      </c>
      <c r="I17" s="13" t="n">
        <f aca="false">IF(G17="","-",G17-F17)</f>
        <v>-20995.2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71675.5700000002</v>
      </c>
      <c r="E18" s="9" t="n">
        <v>136200.54</v>
      </c>
      <c r="F18" s="9"/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3795.33</v>
      </c>
      <c r="E19" s="9" t="n">
        <v>1762.26</v>
      </c>
      <c r="F19" s="9"/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1098758.555</v>
      </c>
      <c r="E20" s="16" t="n">
        <f aca="false">E17+E18+E19</f>
        <v>1132929.38</v>
      </c>
      <c r="F20" s="16" t="n">
        <f aca="false">F17+F18+F19</f>
        <v>20995.2</v>
      </c>
      <c r="G20" s="16" t="n">
        <f aca="false">G17+G18+G19</f>
        <v>0</v>
      </c>
      <c r="H20" s="17" t="n">
        <f aca="false">IF(G20="","-",IFERROR(G20/F20-1,"-"))</f>
        <v>-1</v>
      </c>
      <c r="I20" s="16" t="n">
        <f aca="false">IF(G20="","-",G20-F20)</f>
        <v>-20995.2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234970.3</v>
      </c>
      <c r="E21" s="9" t="n">
        <v>223589.21</v>
      </c>
      <c r="F21" s="9"/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0</v>
      </c>
      <c r="E22" s="9" t="n">
        <v>140125.45</v>
      </c>
      <c r="F22" s="9"/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92018.45</v>
      </c>
      <c r="E23" s="9" t="n">
        <v>596.73</v>
      </c>
      <c r="F23" s="9"/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86858.25</v>
      </c>
      <c r="E24" s="9" t="n">
        <v>0</v>
      </c>
      <c r="F24" s="9"/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0</v>
      </c>
      <c r="E25" s="9" t="n">
        <v>15474.02</v>
      </c>
      <c r="F25" s="9"/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0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</v>
      </c>
      <c r="F27" s="9"/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20724.08</v>
      </c>
      <c r="E28" s="9" t="n">
        <v>20604.23</v>
      </c>
      <c r="F28" s="9"/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0</v>
      </c>
      <c r="E29" s="9" t="n">
        <v>0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0</v>
      </c>
      <c r="E30" s="9" t="n">
        <v>36333.04</v>
      </c>
      <c r="F30" s="9"/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3920.16</v>
      </c>
      <c r="E31" s="9" t="n">
        <v>0</v>
      </c>
      <c r="F31" s="9"/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22174.82</v>
      </c>
      <c r="F32" s="9"/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0</v>
      </c>
      <c r="E35" s="9" t="n">
        <v>0</v>
      </c>
      <c r="F35" s="9"/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0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438491.24</v>
      </c>
      <c r="E43" s="19" t="n">
        <f aca="false">SUM(E21:E42)</f>
        <v>458897.5</v>
      </c>
      <c r="F43" s="19" t="n">
        <f aca="false">SUM(F21:F42)</f>
        <v>0</v>
      </c>
      <c r="G43" s="19" t="n">
        <f aca="false">SUM(G21:G42)</f>
        <v>0</v>
      </c>
      <c r="H43" s="20" t="str">
        <f aca="false">IF(G43="","-",IFERROR(G43/F43-1,"-"))</f>
        <v>-</v>
      </c>
      <c r="I43" s="19" t="n">
        <f aca="false">IF(G43="","-",G43-F43)</f>
        <v>0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1537249.795</v>
      </c>
      <c r="E44" s="22" t="n">
        <f aca="false">E43+E20</f>
        <v>1591826.88</v>
      </c>
      <c r="F44" s="22" t="n">
        <f aca="false">F43+F20</f>
        <v>20995.2</v>
      </c>
      <c r="G44" s="22" t="n">
        <f aca="false">G43+G20</f>
        <v>0</v>
      </c>
      <c r="H44" s="23" t="n">
        <f aca="false">IF(G44="","-",IFERROR(G44/F44-1,"-"))</f>
        <v>-1</v>
      </c>
      <c r="I44" s="22" t="n">
        <f aca="false">IF(G44="","-",G44-F44)</f>
        <v>-20995.2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64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183470.34</v>
      </c>
      <c r="E3" s="9" t="n">
        <v>265660.9</v>
      </c>
      <c r="F3" s="9"/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399305.088</v>
      </c>
      <c r="E4" s="9" t="n">
        <v>507426.01</v>
      </c>
      <c r="F4" s="9"/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78931.671</v>
      </c>
      <c r="E5" s="9" t="n">
        <v>85930.39</v>
      </c>
      <c r="F5" s="9"/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144720.944</v>
      </c>
      <c r="E6" s="9" t="n">
        <v>167763.05</v>
      </c>
      <c r="F6" s="9"/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319604.5</v>
      </c>
      <c r="E7" s="9" t="n">
        <v>308121.37</v>
      </c>
      <c r="F7" s="9"/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57000.57</v>
      </c>
      <c r="E8" s="9" t="n">
        <v>68004.57</v>
      </c>
      <c r="F8" s="9"/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62213.38</v>
      </c>
      <c r="E10" s="9" t="n">
        <v>96453.83</v>
      </c>
      <c r="F10" s="9"/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10956.17</v>
      </c>
      <c r="E11" s="9" t="n">
        <v>28016.53</v>
      </c>
      <c r="F11" s="9"/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30231.73</v>
      </c>
      <c r="E12" s="9" t="n">
        <v>1902.07</v>
      </c>
      <c r="F12" s="9"/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0</v>
      </c>
      <c r="E13" s="9" t="n">
        <v>498.8</v>
      </c>
      <c r="F13" s="9"/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0</v>
      </c>
      <c r="E14" s="9" t="n">
        <v>0</v>
      </c>
      <c r="F14" s="9"/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695.57</v>
      </c>
      <c r="E15" s="9" t="n">
        <v>0</v>
      </c>
      <c r="F15" s="9"/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5017.43</v>
      </c>
      <c r="E16" s="9" t="n">
        <v>12930.62</v>
      </c>
      <c r="F16" s="9"/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1292147.393</v>
      </c>
      <c r="E17" s="13" t="n">
        <f aca="false">SUM(E3:E16)</f>
        <v>1542708.14</v>
      </c>
      <c r="F17" s="13" t="n">
        <f aca="false">SUM(F3:F16)</f>
        <v>0</v>
      </c>
      <c r="G17" s="13" t="n">
        <f aca="false">SUM(G3:G16)</f>
        <v>0</v>
      </c>
      <c r="H17" s="14" t="str">
        <f aca="false">IF(G17="","-",IFERROR(G17/F17-1,"-"))</f>
        <v>-</v>
      </c>
      <c r="I17" s="13" t="n">
        <f aca="false">IF(G17="","-",G17-F17)</f>
        <v>0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87038.7499999997</v>
      </c>
      <c r="E18" s="9" t="n">
        <v>249690.080000002</v>
      </c>
      <c r="F18" s="9"/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3533.44</v>
      </c>
      <c r="E19" s="9" t="n">
        <v>1058.88</v>
      </c>
      <c r="F19" s="9"/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1382719.583</v>
      </c>
      <c r="E20" s="16" t="n">
        <f aca="false">E17+E18+E19</f>
        <v>1793457.1</v>
      </c>
      <c r="F20" s="16" t="n">
        <f aca="false">F17+F18+F19</f>
        <v>0</v>
      </c>
      <c r="G20" s="16" t="n">
        <f aca="false">G17+G18+G19</f>
        <v>0</v>
      </c>
      <c r="H20" s="17" t="str">
        <f aca="false">IF(G20="","-",IFERROR(G20/F20-1,"-"))</f>
        <v>-</v>
      </c>
      <c r="I20" s="16" t="n">
        <f aca="false">IF(G20="","-",G20-F20)</f>
        <v>0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169336.07</v>
      </c>
      <c r="E21" s="9" t="n">
        <v>271266.06</v>
      </c>
      <c r="F21" s="9"/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0</v>
      </c>
      <c r="E22" s="9" t="n">
        <v>0</v>
      </c>
      <c r="F22" s="9"/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127411.06</v>
      </c>
      <c r="E23" s="9" t="n">
        <v>53932.22</v>
      </c>
      <c r="F23" s="9"/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0</v>
      </c>
      <c r="E24" s="9" t="n">
        <v>83397.79</v>
      </c>
      <c r="F24" s="9"/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17813.97</v>
      </c>
      <c r="E25" s="9" t="n">
        <v>15684.33</v>
      </c>
      <c r="F25" s="9"/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44572.45</v>
      </c>
      <c r="E26" s="9" t="n">
        <v>0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0</v>
      </c>
      <c r="E27" s="9" t="n">
        <v>0</v>
      </c>
      <c r="F27" s="9"/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0</v>
      </c>
      <c r="E28" s="9" t="n">
        <v>0</v>
      </c>
      <c r="F28" s="9"/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115405.87</v>
      </c>
      <c r="E29" s="9" t="n">
        <v>256771.88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62633.86</v>
      </c>
      <c r="E30" s="9" t="n">
        <v>29107.59</v>
      </c>
      <c r="F30" s="9"/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32544.41</v>
      </c>
      <c r="F31" s="9"/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0.08</v>
      </c>
      <c r="F32" s="9"/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0</v>
      </c>
      <c r="E35" s="9" t="n">
        <v>0</v>
      </c>
      <c r="F35" s="9"/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23331.65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0</v>
      </c>
      <c r="E39" s="9" t="n">
        <v>0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537173.28</v>
      </c>
      <c r="E43" s="19" t="n">
        <f aca="false">SUM(E21:E42)</f>
        <v>766036.01</v>
      </c>
      <c r="F43" s="19" t="n">
        <f aca="false">SUM(F21:F42)</f>
        <v>0</v>
      </c>
      <c r="G43" s="19" t="n">
        <f aca="false">SUM(G21:G42)</f>
        <v>0</v>
      </c>
      <c r="H43" s="20" t="str">
        <f aca="false">IF(G43="","-",IFERROR(G43/F43-1,"-"))</f>
        <v>-</v>
      </c>
      <c r="I43" s="19" t="n">
        <f aca="false">IF(G43="","-",G43-F43)</f>
        <v>0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1919892.863</v>
      </c>
      <c r="E44" s="22" t="n">
        <f aca="false">E43+E20</f>
        <v>2559493.11</v>
      </c>
      <c r="F44" s="22" t="n">
        <f aca="false">F43+F20</f>
        <v>0</v>
      </c>
      <c r="G44" s="22" t="n">
        <f aca="false">G43+G20</f>
        <v>0</v>
      </c>
      <c r="H44" s="23" t="str">
        <f aca="false">IF(G44="","-",IFERROR(G44/F44-1,"-"))</f>
        <v>-</v>
      </c>
      <c r="I44" s="22" t="n">
        <f aca="false">IF(G44="","-",G44-F44)</f>
        <v>0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7" min="4" style="0" width="11.5"/>
    <col collapsed="false" customWidth="true" hidden="false" outlineLevel="0" max="8" min="8" style="0" width="12"/>
    <col collapsed="false" customWidth="true" hidden="false" outlineLevel="0" max="9" min="9" style="0" width="17"/>
  </cols>
  <sheetData>
    <row r="1" customFormat="false" ht="19.5" hidden="false" customHeight="true" outlineLevel="0" collapsed="false">
      <c r="B1" s="1" t="s">
        <v>65</v>
      </c>
      <c r="C1" s="1"/>
      <c r="D1" s="1"/>
      <c r="E1" s="1"/>
      <c r="K1" s="2" t="s">
        <v>1</v>
      </c>
    </row>
    <row r="2" customFormat="false" ht="15" hidden="false" customHeight="false" outlineLevel="0" collapsed="false">
      <c r="A2" s="3" t="s">
        <v>2</v>
      </c>
      <c r="B2" s="3" t="s">
        <v>3</v>
      </c>
      <c r="C2" s="3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5" t="s">
        <v>9</v>
      </c>
      <c r="I2" s="6" t="s">
        <v>10</v>
      </c>
    </row>
    <row r="3" customFormat="false" ht="15" hidden="false" customHeight="false" outlineLevel="0" collapsed="false">
      <c r="A3" s="7" t="n">
        <v>111</v>
      </c>
      <c r="B3" s="8" t="s">
        <v>11</v>
      </c>
      <c r="C3" s="8" t="s">
        <v>12</v>
      </c>
      <c r="D3" s="9" t="n">
        <v>318421.6</v>
      </c>
      <c r="E3" s="9" t="n">
        <v>97619.06</v>
      </c>
      <c r="F3" s="9"/>
      <c r="G3" s="9"/>
      <c r="H3" s="10" t="str">
        <f aca="false">IF(G3="","-",IFERROR(G3/F3-1,"-"))</f>
        <v>-</v>
      </c>
      <c r="I3" s="11" t="str">
        <f aca="false">IF(G3="","-",G3-F3)</f>
        <v>-</v>
      </c>
    </row>
    <row r="4" customFormat="false" ht="15" hidden="false" customHeight="false" outlineLevel="0" collapsed="false">
      <c r="A4" s="7" t="n">
        <v>1</v>
      </c>
      <c r="B4" s="8" t="s">
        <v>13</v>
      </c>
      <c r="C4" s="8" t="s">
        <v>12</v>
      </c>
      <c r="D4" s="9" t="n">
        <v>453775.686</v>
      </c>
      <c r="E4" s="9" t="n">
        <v>453051.69</v>
      </c>
      <c r="F4" s="9"/>
      <c r="G4" s="9"/>
      <c r="H4" s="10" t="str">
        <f aca="false">IF(G4="","-",IFERROR(G4/F4-1,"-"))</f>
        <v>-</v>
      </c>
      <c r="I4" s="11" t="str">
        <f aca="false">IF(G4="","-",G4-F4)</f>
        <v>-</v>
      </c>
    </row>
    <row r="5" customFormat="false" ht="15" hidden="false" customHeight="false" outlineLevel="0" collapsed="false">
      <c r="A5" s="7" t="n">
        <v>2</v>
      </c>
      <c r="B5" s="8" t="s">
        <v>14</v>
      </c>
      <c r="C5" s="8" t="s">
        <v>12</v>
      </c>
      <c r="D5" s="9" t="n">
        <v>89875.877</v>
      </c>
      <c r="E5" s="9" t="n">
        <v>61250.28</v>
      </c>
      <c r="F5" s="9"/>
      <c r="G5" s="9"/>
      <c r="H5" s="10" t="str">
        <f aca="false">IF(G5="","-",IFERROR(G5/F5-1,"-"))</f>
        <v>-</v>
      </c>
      <c r="I5" s="11" t="str">
        <f aca="false">IF(G5="","-",G5-F5)</f>
        <v>-</v>
      </c>
    </row>
    <row r="6" customFormat="false" ht="15" hidden="false" customHeight="false" outlineLevel="0" collapsed="false">
      <c r="A6" s="7" t="n">
        <v>3</v>
      </c>
      <c r="B6" s="8" t="s">
        <v>15</v>
      </c>
      <c r="C6" s="8" t="s">
        <v>12</v>
      </c>
      <c r="D6" s="9" t="n">
        <v>149421.213</v>
      </c>
      <c r="E6" s="9" t="n">
        <v>144058.52</v>
      </c>
      <c r="F6" s="9"/>
      <c r="G6" s="9"/>
      <c r="H6" s="10" t="str">
        <f aca="false">IF(G6="","-",IFERROR(G6/F6-1,"-"))</f>
        <v>-</v>
      </c>
      <c r="I6" s="11" t="str">
        <f aca="false">IF(G6="","-",G6-F6)</f>
        <v>-</v>
      </c>
    </row>
    <row r="7" customFormat="false" ht="15" hidden="false" customHeight="false" outlineLevel="0" collapsed="false">
      <c r="A7" s="7" t="n">
        <v>112</v>
      </c>
      <c r="B7" s="8" t="s">
        <v>16</v>
      </c>
      <c r="C7" s="8" t="s">
        <v>12</v>
      </c>
      <c r="D7" s="9" t="n">
        <v>378149.8</v>
      </c>
      <c r="E7" s="9" t="n">
        <v>367699.5</v>
      </c>
      <c r="F7" s="9"/>
      <c r="G7" s="9"/>
      <c r="H7" s="10" t="str">
        <f aca="false">IF(G7="","-",IFERROR(G7/F7-1,"-"))</f>
        <v>-</v>
      </c>
      <c r="I7" s="11" t="str">
        <f aca="false">IF(G7="","-",G7-F7)</f>
        <v>-</v>
      </c>
    </row>
    <row r="8" customFormat="false" ht="15" hidden="false" customHeight="false" outlineLevel="0" collapsed="false">
      <c r="A8" s="7" t="n">
        <v>113</v>
      </c>
      <c r="B8" s="8" t="s">
        <v>17</v>
      </c>
      <c r="C8" s="8" t="s">
        <v>12</v>
      </c>
      <c r="D8" s="9" t="n">
        <v>68517.25</v>
      </c>
      <c r="E8" s="9" t="n">
        <v>60034.25</v>
      </c>
      <c r="F8" s="9"/>
      <c r="G8" s="9"/>
      <c r="H8" s="10" t="str">
        <f aca="false">IF(G8="","-",IFERROR(G8/F8-1,"-"))</f>
        <v>-</v>
      </c>
      <c r="I8" s="11" t="str">
        <f aca="false">IF(G8="","-",G8-F8)</f>
        <v>-</v>
      </c>
    </row>
    <row r="9" customFormat="false" ht="15" hidden="false" customHeight="false" outlineLevel="0" collapsed="false">
      <c r="A9" s="7" t="n">
        <v>4</v>
      </c>
      <c r="B9" s="8" t="s">
        <v>18</v>
      </c>
      <c r="C9" s="8" t="s">
        <v>12</v>
      </c>
      <c r="D9" s="9"/>
      <c r="E9" s="9"/>
      <c r="F9" s="9" t="n">
        <v>0</v>
      </c>
      <c r="G9" s="9"/>
      <c r="H9" s="10" t="str">
        <f aca="false">IF(G9="","-",IFERROR(G9/F9-1,"-"))</f>
        <v>-</v>
      </c>
      <c r="I9" s="11" t="str">
        <f aca="false">IF(G9="","-",G9-F9)</f>
        <v>-</v>
      </c>
    </row>
    <row r="10" customFormat="false" ht="15" hidden="false" customHeight="false" outlineLevel="0" collapsed="false">
      <c r="A10" s="7" t="n">
        <v>102</v>
      </c>
      <c r="B10" s="8" t="s">
        <v>19</v>
      </c>
      <c r="C10" s="8" t="s">
        <v>12</v>
      </c>
      <c r="D10" s="9" t="n">
        <v>65670.46</v>
      </c>
      <c r="E10" s="9" t="n">
        <v>69362.57</v>
      </c>
      <c r="F10" s="9"/>
      <c r="G10" s="9"/>
      <c r="H10" s="10" t="str">
        <f aca="false">IF(G10="","-",IFERROR(G10/F10-1,"-"))</f>
        <v>-</v>
      </c>
      <c r="I10" s="11" t="str">
        <f aca="false">IF(G10="","-",G10-F10)</f>
        <v>-</v>
      </c>
    </row>
    <row r="11" customFormat="false" ht="15" hidden="false" customHeight="false" outlineLevel="0" collapsed="false">
      <c r="A11" s="7" t="n">
        <v>101</v>
      </c>
      <c r="B11" s="8" t="s">
        <v>20</v>
      </c>
      <c r="C11" s="8" t="s">
        <v>12</v>
      </c>
      <c r="D11" s="9" t="n">
        <v>16400.06</v>
      </c>
      <c r="E11" s="9" t="n">
        <v>11214.5</v>
      </c>
      <c r="F11" s="9"/>
      <c r="G11" s="9"/>
      <c r="H11" s="10" t="str">
        <f aca="false">IF(G11="","-",IFERROR(G11/F11-1,"-"))</f>
        <v>-</v>
      </c>
      <c r="I11" s="11" t="str">
        <f aca="false">IF(G11="","-",G11-F11)</f>
        <v>-</v>
      </c>
    </row>
    <row r="12" customFormat="false" ht="15" hidden="false" customHeight="false" outlineLevel="0" collapsed="false">
      <c r="A12" s="7" t="n">
        <v>109</v>
      </c>
      <c r="B12" s="8" t="s">
        <v>21</v>
      </c>
      <c r="C12" s="8" t="s">
        <v>12</v>
      </c>
      <c r="D12" s="9" t="n">
        <v>10713.92</v>
      </c>
      <c r="E12" s="9" t="n">
        <v>5866.58</v>
      </c>
      <c r="F12" s="9"/>
      <c r="G12" s="9"/>
      <c r="H12" s="10" t="str">
        <f aca="false">IF(G12="","-",IFERROR(G12/F12-1,"-"))</f>
        <v>-</v>
      </c>
      <c r="I12" s="11" t="str">
        <f aca="false">IF(G12="","-",G12-F12)</f>
        <v>-</v>
      </c>
    </row>
    <row r="13" customFormat="false" ht="15" hidden="false" customHeight="false" outlineLevel="0" collapsed="false">
      <c r="A13" s="7" t="n">
        <v>105</v>
      </c>
      <c r="B13" s="8" t="s">
        <v>22</v>
      </c>
      <c r="C13" s="8" t="s">
        <v>12</v>
      </c>
      <c r="D13" s="9" t="n">
        <v>850.4</v>
      </c>
      <c r="E13" s="9" t="n">
        <v>0</v>
      </c>
      <c r="F13" s="9"/>
      <c r="G13" s="9"/>
      <c r="H13" s="10" t="str">
        <f aca="false">IF(G13="","-",IFERROR(G13/F13-1,"-"))</f>
        <v>-</v>
      </c>
      <c r="I13" s="11" t="str">
        <f aca="false">IF(G13="","-",G13-F13)</f>
        <v>-</v>
      </c>
    </row>
    <row r="14" customFormat="false" ht="15" hidden="false" customHeight="false" outlineLevel="0" collapsed="false">
      <c r="A14" s="7" t="n">
        <v>104</v>
      </c>
      <c r="B14" s="8" t="s">
        <v>23</v>
      </c>
      <c r="C14" s="8" t="s">
        <v>12</v>
      </c>
      <c r="D14" s="9" t="n">
        <v>-14.28</v>
      </c>
      <c r="E14" s="9" t="n">
        <v>0</v>
      </c>
      <c r="F14" s="9"/>
      <c r="G14" s="9"/>
      <c r="H14" s="10" t="str">
        <f aca="false">IF(G14="","-",IFERROR(G14/F14-1,"-"))</f>
        <v>-</v>
      </c>
      <c r="I14" s="11" t="str">
        <f aca="false">IF(G14="","-",G14-F14)</f>
        <v>-</v>
      </c>
    </row>
    <row r="15" customFormat="false" ht="15" hidden="false" customHeight="false" outlineLevel="0" collapsed="false">
      <c r="A15" s="7" t="n">
        <v>106</v>
      </c>
      <c r="B15" s="8" t="s">
        <v>24</v>
      </c>
      <c r="C15" s="8" t="s">
        <v>12</v>
      </c>
      <c r="D15" s="9" t="n">
        <v>2520</v>
      </c>
      <c r="E15" s="9" t="n">
        <v>1813.57</v>
      </c>
      <c r="F15" s="9"/>
      <c r="G15" s="9"/>
      <c r="H15" s="10" t="str">
        <f aca="false">IF(G15="","-",IFERROR(G15/F15-1,"-"))</f>
        <v>-</v>
      </c>
      <c r="I15" s="11" t="str">
        <f aca="false">IF(G15="","-",G15-F15)</f>
        <v>-</v>
      </c>
    </row>
    <row r="16" customFormat="false" ht="15" hidden="false" customHeight="false" outlineLevel="0" collapsed="false">
      <c r="A16" s="7" t="n">
        <v>103</v>
      </c>
      <c r="B16" s="8" t="s">
        <v>25</v>
      </c>
      <c r="C16" s="8" t="s">
        <v>12</v>
      </c>
      <c r="D16" s="9" t="n">
        <v>4549.9</v>
      </c>
      <c r="E16" s="9" t="n">
        <v>361.5</v>
      </c>
      <c r="F16" s="9"/>
      <c r="G16" s="9"/>
      <c r="H16" s="10" t="str">
        <f aca="false">IF(G16="","-",IFERROR(G16/F16-1,"-"))</f>
        <v>-</v>
      </c>
      <c r="I16" s="11" t="str">
        <f aca="false">IF(G16="","-",G16-F16)</f>
        <v>-</v>
      </c>
    </row>
    <row r="17" customFormat="false" ht="15" hidden="false" customHeight="false" outlineLevel="0" collapsed="false">
      <c r="A17" s="12"/>
      <c r="B17" s="12" t="s">
        <v>26</v>
      </c>
      <c r="C17" s="12"/>
      <c r="D17" s="13" t="n">
        <f aca="false">SUM(D3:D16)</f>
        <v>1558851.886</v>
      </c>
      <c r="E17" s="13" t="n">
        <f aca="false">SUM(E3:E16)</f>
        <v>1272332.02</v>
      </c>
      <c r="F17" s="13" t="n">
        <f aca="false">SUM(F3:F16)</f>
        <v>0</v>
      </c>
      <c r="G17" s="13" t="n">
        <f aca="false">SUM(G3:G16)</f>
        <v>0</v>
      </c>
      <c r="H17" s="14" t="str">
        <f aca="false">IF(G17="","-",IFERROR(G17/F17-1,"-"))</f>
        <v>-</v>
      </c>
      <c r="I17" s="13" t="n">
        <f aca="false">IF(G17="","-",G17-F17)</f>
        <v>0</v>
      </c>
    </row>
    <row r="18" customFormat="false" ht="15" hidden="false" customHeight="false" outlineLevel="0" collapsed="false">
      <c r="A18" s="7" t="n">
        <v>114</v>
      </c>
      <c r="B18" s="8" t="s">
        <v>27</v>
      </c>
      <c r="C18" s="8" t="s">
        <v>12</v>
      </c>
      <c r="D18" s="9" t="n">
        <v>95223.2699999995</v>
      </c>
      <c r="E18" s="9" t="n">
        <v>213224.459999998</v>
      </c>
      <c r="F18" s="9"/>
      <c r="G18" s="9"/>
      <c r="H18" s="10" t="str">
        <f aca="false">IF(G18="","-",IFERROR(G18/F18-1,"-"))</f>
        <v>-</v>
      </c>
      <c r="I18" s="11" t="str">
        <f aca="false">IF(G18="","-",G18-F18)</f>
        <v>-</v>
      </c>
    </row>
    <row r="19" customFormat="false" ht="15" hidden="false" customHeight="false" outlineLevel="0" collapsed="false">
      <c r="A19" s="7" t="n">
        <v>115</v>
      </c>
      <c r="B19" s="8" t="s">
        <v>28</v>
      </c>
      <c r="C19" s="8" t="s">
        <v>12</v>
      </c>
      <c r="D19" s="9" t="n">
        <v>3126.19</v>
      </c>
      <c r="E19" s="9" t="n">
        <v>1561.46</v>
      </c>
      <c r="F19" s="9"/>
      <c r="G19" s="9"/>
      <c r="H19" s="10" t="str">
        <f aca="false">IF(G19="","-",IFERROR(G19/F19-1,"-"))</f>
        <v>-</v>
      </c>
      <c r="I19" s="11" t="str">
        <f aca="false">IF(G19="","-",G19-F19)</f>
        <v>-</v>
      </c>
    </row>
    <row r="20" customFormat="false" ht="15" hidden="false" customHeight="false" outlineLevel="0" collapsed="false">
      <c r="A20" s="15"/>
      <c r="B20" s="15" t="s">
        <v>29</v>
      </c>
      <c r="C20" s="15"/>
      <c r="D20" s="16" t="n">
        <f aca="false">D17+D18+D19</f>
        <v>1657201.346</v>
      </c>
      <c r="E20" s="16" t="n">
        <f aca="false">E17+E18+E19</f>
        <v>1487117.94</v>
      </c>
      <c r="F20" s="16" t="n">
        <f aca="false">F17+F18+F19</f>
        <v>0</v>
      </c>
      <c r="G20" s="16" t="n">
        <f aca="false">G17+G18+G19</f>
        <v>0</v>
      </c>
      <c r="H20" s="17" t="str">
        <f aca="false">IF(G20="","-",IFERROR(G20/F20-1,"-"))</f>
        <v>-</v>
      </c>
      <c r="I20" s="16" t="n">
        <f aca="false">IF(G20="","-",G20-F20)</f>
        <v>0</v>
      </c>
    </row>
    <row r="21" customFormat="false" ht="15" hidden="false" customHeight="false" outlineLevel="0" collapsed="false">
      <c r="A21" s="7" t="n">
        <v>301</v>
      </c>
      <c r="B21" s="8" t="s">
        <v>30</v>
      </c>
      <c r="C21" s="8" t="s">
        <v>31</v>
      </c>
      <c r="D21" s="9" t="n">
        <v>190607.48</v>
      </c>
      <c r="E21" s="9" t="n">
        <v>182118.44</v>
      </c>
      <c r="F21" s="9"/>
      <c r="G21" s="9"/>
      <c r="H21" s="10" t="str">
        <f aca="false">IF(G21="","-",IFERROR(G21/F21-1,"-"))</f>
        <v>-</v>
      </c>
      <c r="I21" s="11" t="str">
        <f aca="false">IF(G21="","-",G21-F21)</f>
        <v>-</v>
      </c>
    </row>
    <row r="22" customFormat="false" ht="15" hidden="false" customHeight="false" outlineLevel="0" collapsed="false">
      <c r="A22" s="7" t="n">
        <v>202</v>
      </c>
      <c r="B22" s="8" t="s">
        <v>32</v>
      </c>
      <c r="C22" s="8" t="s">
        <v>31</v>
      </c>
      <c r="D22" s="9" t="n">
        <v>137974.18</v>
      </c>
      <c r="E22" s="9" t="n">
        <v>144741.73</v>
      </c>
      <c r="F22" s="9"/>
      <c r="G22" s="9"/>
      <c r="H22" s="10" t="str">
        <f aca="false">IF(G22="","-",IFERROR(G22/F22-1,"-"))</f>
        <v>-</v>
      </c>
      <c r="I22" s="11" t="str">
        <f aca="false">IF(G22="","-",G22-F22)</f>
        <v>-</v>
      </c>
    </row>
    <row r="23" customFormat="false" ht="15" hidden="false" customHeight="false" outlineLevel="0" collapsed="false">
      <c r="A23" s="7" t="n">
        <v>203</v>
      </c>
      <c r="B23" s="8" t="s">
        <v>33</v>
      </c>
      <c r="C23" s="8" t="s">
        <v>31</v>
      </c>
      <c r="D23" s="9" t="n">
        <v>1400.99</v>
      </c>
      <c r="E23" s="9" t="n">
        <v>121.12</v>
      </c>
      <c r="F23" s="9"/>
      <c r="G23" s="9"/>
      <c r="H23" s="10" t="str">
        <f aca="false">IF(G23="","-",IFERROR(G23/F23-1,"-"))</f>
        <v>-</v>
      </c>
      <c r="I23" s="11" t="str">
        <f aca="false">IF(G23="","-",G23-F23)</f>
        <v>-</v>
      </c>
    </row>
    <row r="24" customFormat="false" ht="15" hidden="false" customHeight="false" outlineLevel="0" collapsed="false">
      <c r="A24" s="7" t="n">
        <v>204</v>
      </c>
      <c r="B24" s="8" t="s">
        <v>34</v>
      </c>
      <c r="C24" s="8" t="s">
        <v>31</v>
      </c>
      <c r="D24" s="9" t="n">
        <v>80366.28</v>
      </c>
      <c r="E24" s="9" t="n">
        <v>0</v>
      </c>
      <c r="F24" s="9"/>
      <c r="G24" s="9"/>
      <c r="H24" s="10" t="str">
        <f aca="false">IF(G24="","-",IFERROR(G24/F24-1,"-"))</f>
        <v>-</v>
      </c>
      <c r="I24" s="11" t="str">
        <f aca="false">IF(G24="","-",G24-F24)</f>
        <v>-</v>
      </c>
    </row>
    <row r="25" customFormat="false" ht="15" hidden="false" customHeight="false" outlineLevel="0" collapsed="false">
      <c r="A25" s="7" t="n">
        <v>205</v>
      </c>
      <c r="B25" s="8" t="s">
        <v>35</v>
      </c>
      <c r="C25" s="8" t="s">
        <v>31</v>
      </c>
      <c r="D25" s="9" t="n">
        <v>0</v>
      </c>
      <c r="E25" s="9" t="n">
        <v>0</v>
      </c>
      <c r="F25" s="9"/>
      <c r="G25" s="9"/>
      <c r="H25" s="10" t="str">
        <f aca="false">IF(G25="","-",IFERROR(G25/F25-1,"-"))</f>
        <v>-</v>
      </c>
      <c r="I25" s="11" t="str">
        <f aca="false">IF(G25="","-",G25-F25)</f>
        <v>-</v>
      </c>
    </row>
    <row r="26" customFormat="false" ht="15" hidden="false" customHeight="false" outlineLevel="0" collapsed="false">
      <c r="A26" s="7" t="n">
        <v>206</v>
      </c>
      <c r="B26" s="8" t="s">
        <v>36</v>
      </c>
      <c r="C26" s="8" t="s">
        <v>31</v>
      </c>
      <c r="D26" s="9" t="n">
        <v>0</v>
      </c>
      <c r="E26" s="9" t="n">
        <v>0</v>
      </c>
      <c r="F26" s="9"/>
      <c r="G26" s="9"/>
      <c r="H26" s="10" t="str">
        <f aca="false">IF(G26="","-",IFERROR(G26/F26-1,"-"))</f>
        <v>-</v>
      </c>
      <c r="I26" s="11" t="str">
        <f aca="false">IF(G26="","-",G26-F26)</f>
        <v>-</v>
      </c>
    </row>
    <row r="27" customFormat="false" ht="15" hidden="false" customHeight="false" outlineLevel="0" collapsed="false">
      <c r="A27" s="7" t="n">
        <v>207</v>
      </c>
      <c r="B27" s="8" t="s">
        <v>37</v>
      </c>
      <c r="C27" s="8" t="s">
        <v>31</v>
      </c>
      <c r="D27" s="9" t="n">
        <v>222074.04</v>
      </c>
      <c r="E27" s="9" t="n">
        <v>146752.62</v>
      </c>
      <c r="F27" s="9"/>
      <c r="G27" s="9"/>
      <c r="H27" s="10" t="str">
        <f aca="false">IF(G27="","-",IFERROR(G27/F27-1,"-"))</f>
        <v>-</v>
      </c>
      <c r="I27" s="11" t="str">
        <f aca="false">IF(G27="","-",G27-F27)</f>
        <v>-</v>
      </c>
    </row>
    <row r="28" customFormat="false" ht="15" hidden="false" customHeight="false" outlineLevel="0" collapsed="false">
      <c r="A28" s="7" t="n">
        <v>216</v>
      </c>
      <c r="B28" s="8" t="s">
        <v>38</v>
      </c>
      <c r="C28" s="8" t="s">
        <v>31</v>
      </c>
      <c r="D28" s="9" t="n">
        <v>0</v>
      </c>
      <c r="E28" s="9" t="n">
        <v>0</v>
      </c>
      <c r="F28" s="9"/>
      <c r="G28" s="9"/>
      <c r="H28" s="10" t="str">
        <f aca="false">IF(G28="","-",IFERROR(G28/F28-1,"-"))</f>
        <v>-</v>
      </c>
      <c r="I28" s="11" t="str">
        <f aca="false">IF(G28="","-",G28-F28)</f>
        <v>-</v>
      </c>
    </row>
    <row r="29" customFormat="false" ht="15" hidden="false" customHeight="false" outlineLevel="0" collapsed="false">
      <c r="A29" s="7" t="n">
        <v>208</v>
      </c>
      <c r="B29" s="8" t="s">
        <v>39</v>
      </c>
      <c r="C29" s="8" t="s">
        <v>31</v>
      </c>
      <c r="D29" s="9" t="n">
        <v>83394.96</v>
      </c>
      <c r="E29" s="9" t="n">
        <v>0</v>
      </c>
      <c r="F29" s="9"/>
      <c r="G29" s="9"/>
      <c r="H29" s="10" t="str">
        <f aca="false">IF(G29="","-",IFERROR(G29/F29-1,"-"))</f>
        <v>-</v>
      </c>
      <c r="I29" s="11" t="str">
        <f aca="false">IF(G29="","-",G29-F29)</f>
        <v>-</v>
      </c>
    </row>
    <row r="30" customFormat="false" ht="15" hidden="false" customHeight="false" outlineLevel="0" collapsed="false">
      <c r="A30" s="7" t="n">
        <v>209</v>
      </c>
      <c r="B30" s="8" t="s">
        <v>40</v>
      </c>
      <c r="C30" s="8" t="s">
        <v>31</v>
      </c>
      <c r="D30" s="9" t="n">
        <v>0</v>
      </c>
      <c r="E30" s="9" t="n">
        <v>41441.91</v>
      </c>
      <c r="F30" s="9"/>
      <c r="G30" s="9"/>
      <c r="H30" s="10" t="str">
        <f aca="false">IF(G30="","-",IFERROR(G30/F30-1,"-"))</f>
        <v>-</v>
      </c>
      <c r="I30" s="11" t="str">
        <f aca="false">IF(G30="","-",G30-F30)</f>
        <v>-</v>
      </c>
    </row>
    <row r="31" customFormat="false" ht="15" hidden="false" customHeight="false" outlineLevel="0" collapsed="false">
      <c r="A31" s="7" t="n">
        <v>210</v>
      </c>
      <c r="B31" s="8" t="s">
        <v>41</v>
      </c>
      <c r="C31" s="8" t="s">
        <v>31</v>
      </c>
      <c r="D31" s="9" t="n">
        <v>0</v>
      </c>
      <c r="E31" s="9" t="n">
        <v>0</v>
      </c>
      <c r="F31" s="9"/>
      <c r="G31" s="9"/>
      <c r="H31" s="10" t="str">
        <f aca="false">IF(G31="","-",IFERROR(G31/F31-1,"-"))</f>
        <v>-</v>
      </c>
      <c r="I31" s="11" t="str">
        <f aca="false">IF(G31="","-",G31-F31)</f>
        <v>-</v>
      </c>
    </row>
    <row r="32" customFormat="false" ht="15" hidden="false" customHeight="false" outlineLevel="0" collapsed="false">
      <c r="A32" s="7" t="n">
        <v>201</v>
      </c>
      <c r="B32" s="8" t="s">
        <v>42</v>
      </c>
      <c r="C32" s="8" t="s">
        <v>31</v>
      </c>
      <c r="D32" s="9" t="n">
        <v>0</v>
      </c>
      <c r="E32" s="9" t="n">
        <v>0</v>
      </c>
      <c r="F32" s="9"/>
      <c r="G32" s="9"/>
      <c r="H32" s="10" t="str">
        <f aca="false">IF(G32="","-",IFERROR(G32/F32-1,"-"))</f>
        <v>-</v>
      </c>
      <c r="I32" s="11" t="str">
        <f aca="false">IF(G32="","-",G32-F32)</f>
        <v>-</v>
      </c>
    </row>
    <row r="33" customFormat="false" ht="15" hidden="false" customHeight="false" outlineLevel="0" collapsed="false">
      <c r="A33" s="7" t="n">
        <v>211</v>
      </c>
      <c r="B33" s="8" t="s">
        <v>43</v>
      </c>
      <c r="C33" s="8" t="s">
        <v>31</v>
      </c>
      <c r="D33" s="9" t="n">
        <v>0</v>
      </c>
      <c r="E33" s="9" t="n">
        <v>0</v>
      </c>
      <c r="F33" s="9"/>
      <c r="G33" s="9"/>
      <c r="H33" s="10" t="str">
        <f aca="false">IF(G33="","-",IFERROR(G33/F33-1,"-"))</f>
        <v>-</v>
      </c>
      <c r="I33" s="11" t="str">
        <f aca="false">IF(G33="","-",G33-F33)</f>
        <v>-</v>
      </c>
    </row>
    <row r="34" customFormat="false" ht="15" hidden="false" customHeight="false" outlineLevel="0" collapsed="false">
      <c r="A34" s="7" t="n">
        <v>304</v>
      </c>
      <c r="B34" s="8" t="s">
        <v>44</v>
      </c>
      <c r="C34" s="8" t="s">
        <v>31</v>
      </c>
      <c r="D34" s="9"/>
      <c r="E34" s="9"/>
      <c r="F34" s="9"/>
      <c r="G34" s="9"/>
      <c r="H34" s="10" t="str">
        <f aca="false">IF(G34="","-",IFERROR(G34/F34-1,"-"))</f>
        <v>-</v>
      </c>
      <c r="I34" s="11" t="str">
        <f aca="false">IF(G34="","-",G34-F34)</f>
        <v>-</v>
      </c>
    </row>
    <row r="35" customFormat="false" ht="15" hidden="false" customHeight="false" outlineLevel="0" collapsed="false">
      <c r="A35" s="7" t="n">
        <v>213</v>
      </c>
      <c r="B35" s="8" t="s">
        <v>45</v>
      </c>
      <c r="C35" s="8" t="s">
        <v>31</v>
      </c>
      <c r="D35" s="9" t="n">
        <v>0</v>
      </c>
      <c r="E35" s="9" t="n">
        <v>0</v>
      </c>
      <c r="F35" s="9"/>
      <c r="G35" s="9"/>
      <c r="H35" s="10" t="str">
        <f aca="false">IF(G35="","-",IFERROR(G35/F35-1,"-"))</f>
        <v>-</v>
      </c>
      <c r="I35" s="11" t="str">
        <f aca="false">IF(G35="","-",G35-F35)</f>
        <v>-</v>
      </c>
    </row>
    <row r="36" customFormat="false" ht="15" hidden="false" customHeight="false" outlineLevel="0" collapsed="false">
      <c r="A36" s="7" t="n">
        <v>214</v>
      </c>
      <c r="B36" s="8" t="s">
        <v>46</v>
      </c>
      <c r="C36" s="8" t="s">
        <v>31</v>
      </c>
      <c r="D36" s="9" t="n">
        <v>0</v>
      </c>
      <c r="E36" s="9" t="n">
        <v>0</v>
      </c>
      <c r="F36" s="9"/>
      <c r="G36" s="9"/>
      <c r="H36" s="10" t="str">
        <f aca="false">IF(G36="","-",IFERROR(G36/F36-1,"-"))</f>
        <v>-</v>
      </c>
      <c r="I36" s="11" t="str">
        <f aca="false">IF(G36="","-",G36-F36)</f>
        <v>-</v>
      </c>
    </row>
    <row r="37" customFormat="false" ht="15" hidden="false" customHeight="false" outlineLevel="0" collapsed="false">
      <c r="A37" s="7" t="n">
        <v>212</v>
      </c>
      <c r="B37" s="8" t="s">
        <v>47</v>
      </c>
      <c r="C37" s="8" t="s">
        <v>31</v>
      </c>
      <c r="D37" s="9" t="n">
        <v>0</v>
      </c>
      <c r="E37" s="9" t="n">
        <v>0</v>
      </c>
      <c r="F37" s="9"/>
      <c r="G37" s="9"/>
      <c r="H37" s="10" t="str">
        <f aca="false">IF(G37="","-",IFERROR(G37/F37-1,"-"))</f>
        <v>-</v>
      </c>
      <c r="I37" s="11" t="str">
        <f aca="false">IF(G37="","-",G37-F37)</f>
        <v>-</v>
      </c>
    </row>
    <row r="38" customFormat="false" ht="15" hidden="false" customHeight="false" outlineLevel="0" collapsed="false">
      <c r="A38" s="7" t="n">
        <v>215</v>
      </c>
      <c r="B38" s="8" t="s">
        <v>48</v>
      </c>
      <c r="C38" s="8" t="s">
        <v>31</v>
      </c>
      <c r="D38" s="9" t="n">
        <v>0</v>
      </c>
      <c r="E38" s="9" t="n">
        <v>0</v>
      </c>
      <c r="F38" s="9"/>
      <c r="G38" s="9"/>
      <c r="H38" s="10" t="str">
        <f aca="false">IF(G38="","-",IFERROR(G38/F38-1,"-"))</f>
        <v>-</v>
      </c>
      <c r="I38" s="11" t="str">
        <f aca="false">IF(G38="","-",G38-F38)</f>
        <v>-</v>
      </c>
    </row>
    <row r="39" customFormat="false" ht="15" hidden="false" customHeight="false" outlineLevel="0" collapsed="false">
      <c r="A39" s="7" t="n">
        <v>217</v>
      </c>
      <c r="B39" s="8" t="s">
        <v>49</v>
      </c>
      <c r="C39" s="8" t="s">
        <v>31</v>
      </c>
      <c r="D39" s="9" t="n">
        <v>161576.19</v>
      </c>
      <c r="E39" s="9" t="n">
        <v>0</v>
      </c>
      <c r="F39" s="9"/>
      <c r="G39" s="9"/>
      <c r="H39" s="10" t="str">
        <f aca="false">IF(G39="","-",IFERROR(G39/F39-1,"-"))</f>
        <v>-</v>
      </c>
      <c r="I39" s="11" t="str">
        <f aca="false">IF(G39="","-",G39-F39)</f>
        <v>-</v>
      </c>
    </row>
    <row r="40" customFormat="false" ht="15" hidden="false" customHeight="false" outlineLevel="0" collapsed="false">
      <c r="A40" s="7" t="n">
        <v>303</v>
      </c>
      <c r="B40" s="8" t="s">
        <v>50</v>
      </c>
      <c r="C40" s="8" t="s">
        <v>31</v>
      </c>
      <c r="D40" s="9"/>
      <c r="E40" s="9"/>
      <c r="F40" s="9"/>
      <c r="G40" s="9"/>
      <c r="H40" s="10" t="str">
        <f aca="false">IF(G40="","-",IFERROR(G40/F40-1,"-"))</f>
        <v>-</v>
      </c>
      <c r="I40" s="11" t="str">
        <f aca="false">IF(G40="","-",G40-F40)</f>
        <v>-</v>
      </c>
    </row>
    <row r="41" customFormat="false" ht="15" hidden="false" customHeight="false" outlineLevel="0" collapsed="false">
      <c r="A41" s="7" t="n">
        <v>305</v>
      </c>
      <c r="B41" s="8" t="s">
        <v>51</v>
      </c>
      <c r="C41" s="8" t="s">
        <v>31</v>
      </c>
      <c r="D41" s="9"/>
      <c r="E41" s="9"/>
      <c r="F41" s="9" t="n">
        <v>0</v>
      </c>
      <c r="G41" s="9"/>
      <c r="H41" s="10" t="str">
        <f aca="false">IF(G41="","-",IFERROR(G41/F41-1,"-"))</f>
        <v>-</v>
      </c>
      <c r="I41" s="11" t="str">
        <f aca="false">IF(G41="","-",G41-F41)</f>
        <v>-</v>
      </c>
    </row>
    <row r="42" customFormat="false" ht="15" hidden="false" customHeight="false" outlineLevel="0" collapsed="false">
      <c r="A42" s="7" t="n">
        <v>302</v>
      </c>
      <c r="B42" s="8" t="s">
        <v>52</v>
      </c>
      <c r="C42" s="8" t="s">
        <v>31</v>
      </c>
      <c r="D42" s="9"/>
      <c r="E42" s="9"/>
      <c r="F42" s="9" t="n">
        <v>0</v>
      </c>
      <c r="G42" s="9"/>
      <c r="H42" s="10" t="str">
        <f aca="false">IF(G42="","-",IFERROR(G42/F42-1,"-"))</f>
        <v>-</v>
      </c>
      <c r="I42" s="11" t="str">
        <f aca="false">IF(G42="","-",G42-F42)</f>
        <v>-</v>
      </c>
    </row>
    <row r="43" customFormat="false" ht="15" hidden="false" customHeight="false" outlineLevel="0" collapsed="false">
      <c r="A43" s="18"/>
      <c r="B43" s="18" t="s">
        <v>53</v>
      </c>
      <c r="C43" s="18"/>
      <c r="D43" s="19" t="n">
        <f aca="false">SUM(D21:D42)</f>
        <v>877394.12</v>
      </c>
      <c r="E43" s="19" t="n">
        <f aca="false">SUM(E21:E42)</f>
        <v>515175.82</v>
      </c>
      <c r="F43" s="19" t="n">
        <f aca="false">SUM(F21:F42)</f>
        <v>0</v>
      </c>
      <c r="G43" s="19" t="n">
        <f aca="false">SUM(G21:G42)</f>
        <v>0</v>
      </c>
      <c r="H43" s="20" t="str">
        <f aca="false">IF(G43="","-",IFERROR(G43/F43-1,"-"))</f>
        <v>-</v>
      </c>
      <c r="I43" s="19" t="n">
        <f aca="false">IF(G43="","-",G43-F43)</f>
        <v>0</v>
      </c>
    </row>
    <row r="44" customFormat="false" ht="15" hidden="false" customHeight="false" outlineLevel="0" collapsed="false">
      <c r="A44" s="21"/>
      <c r="B44" s="21" t="s">
        <v>54</v>
      </c>
      <c r="C44" s="21"/>
      <c r="D44" s="22" t="n">
        <f aca="false">D43+D20</f>
        <v>2534595.466</v>
      </c>
      <c r="E44" s="22" t="n">
        <f aca="false">E43+E20</f>
        <v>2002293.76</v>
      </c>
      <c r="F44" s="22" t="n">
        <f aca="false">F43+F20</f>
        <v>0</v>
      </c>
      <c r="G44" s="22" t="n">
        <f aca="false">G43+G20</f>
        <v>0</v>
      </c>
      <c r="H44" s="23" t="str">
        <f aca="false">IF(G44="","-",IFERROR(G44/F44-1,"-"))</f>
        <v>-</v>
      </c>
      <c r="I44" s="22" t="n">
        <f aca="false">IF(G44="","-",G44-F44)</f>
        <v>0</v>
      </c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2026-10-02T07:23:51Z</dcterms:created>
  <dc:creator>openpyxl</dc:creator>
  <dc:description/>
  <dc:language>en-US</dc:language>
  <cp:lastModifiedBy/>
  <dcterms:modified xsi:type="dcterms:W3CDTF">2026-10-02T07:23:51Z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