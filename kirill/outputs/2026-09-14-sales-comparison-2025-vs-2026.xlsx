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השוואה" sheetId="1" state="visible" r:id="rId3"/>
    <sheet name="מקור 2025" sheetId="2" state="visible" r:id="rId4"/>
    <sheet name="מקור 2026" sheetId="3" state="visible" r:id="rId5"/>
    <sheet name="סיכום ומסקנות" sheetId="4" state="visible" r:id="rId6"/>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<sst xmlns="http://schemas.openxmlformats.org/spreadsheetml/2006/main" count="769" uniqueCount="210">
  <si>
    <t xml:space="preserve">השוואת מכירות 2025 מול 2026 - לפי קוד מוצר (CODE)</t>
  </si>
  <si>
    <t xml:space="preserve">תאריך חישוב:</t>
  </si>
  <si>
    <t xml:space="preserve">מקור: sales_analysis_20256.xlsx (גיליונות "2025" ו-"2026", לקוח יחיד: 160136 SEVEN GEAR FINLAND OY). מרוכז לפי CODE מוצר; מוין לפי גודל השינוי המוחלט בסכום ביורו (מהגדול לקטן).</t>
  </si>
  <si>
    <t xml:space="preserve">הערה חשובה: לקובץ המקור אין עמודת תאריך בתוך השורות, ולכן לא ניתן לוודא מתוך הנתונים עצמם אם כל גיליון מכסה שנה קלנדרית מלאה. גיליון 2026 מכיל הרבה פחות שורות/כמות מגיליון 2025 (1,630 יח' מול 2,980 יח'), מה שמתיישב עם נתון חלקי לשנה (הקובץ עודכן ב-14/09/2026) ולא בהכרח ירידה עסקית אמיתית. יש לאמת מול ראובן/המשתמש את טווח התאריכים המדויק שמיוצג בכל גיליון לפני הסקת מסקנות עסקיות סופיות.</t>
  </si>
  <si>
    <t xml:space="preserve">CODE</t>
  </si>
  <si>
    <t xml:space="preserve">שם מוצר</t>
  </si>
  <si>
    <t xml:space="preserve">כמות 2025</t>
  </si>
  <si>
    <t xml:space="preserve">כמות 2026</t>
  </si>
  <si>
    <t xml:space="preserve">הפרש (יחידות)</t>
  </si>
  <si>
    <t xml:space="preserve">שינוי % (יחידות)</t>
  </si>
  <si>
    <t xml:space="preserve">סכום ביורו 2025 (€)</t>
  </si>
  <si>
    <t xml:space="preserve">סכום ביורו 2026 (€)</t>
  </si>
  <si>
    <t xml:space="preserve">הפרש (€)</t>
  </si>
  <si>
    <t xml:space="preserve">שינוי % (€)</t>
  </si>
  <si>
    <t xml:space="preserve">הערה</t>
  </si>
  <si>
    <t xml:space="preserve">397</t>
  </si>
  <si>
    <t xml:space="preserve">גרבי טיסה</t>
  </si>
  <si>
    <t xml:space="preserve">397A</t>
  </si>
  <si>
    <t xml:space="preserve">גרבי נסיעות אנטיבקטריאלי</t>
  </si>
  <si>
    <t xml:space="preserve">AC43D</t>
  </si>
  <si>
    <t xml:space="preserve">מגן ברך עם תמיכות</t>
  </si>
  <si>
    <t xml:space="preserve">AC45</t>
  </si>
  <si>
    <t xml:space="preserve">AC28</t>
  </si>
  <si>
    <t xml:space="preserve">סד לאגודל</t>
  </si>
  <si>
    <t xml:space="preserve">85</t>
  </si>
  <si>
    <t xml:space="preserve">מתלה יד-כיס</t>
  </si>
  <si>
    <t xml:space="preserve">AC25</t>
  </si>
  <si>
    <t xml:space="preserve">חבק לשורש כף היד</t>
  </si>
  <si>
    <t xml:space="preserve">45B</t>
  </si>
  <si>
    <t xml:space="preserve">מגן ברך שחור</t>
  </si>
  <si>
    <t xml:space="preserve">AC07</t>
  </si>
  <si>
    <t xml:space="preserve">חגורת גב עם תמיכות</t>
  </si>
  <si>
    <t xml:space="preserve">AC27</t>
  </si>
  <si>
    <t xml:space="preserve">801</t>
  </si>
  <si>
    <t xml:space="preserve">ICE &amp; GO</t>
  </si>
  <si>
    <t xml:space="preserve">35B</t>
  </si>
  <si>
    <t xml:space="preserve">מגן קרסול שחור</t>
  </si>
  <si>
    <t xml:space="preserve">3674</t>
  </si>
  <si>
    <t xml:space="preserve">מ. בוניון + מפריד אצבע</t>
  </si>
  <si>
    <t xml:space="preserve">AC91</t>
  </si>
  <si>
    <t xml:space="preserve">חבק טניס</t>
  </si>
  <si>
    <t xml:space="preserve">95B</t>
  </si>
  <si>
    <t xml:space="preserve">מגן מרפק שחור</t>
  </si>
  <si>
    <t xml:space="preserve">3667</t>
  </si>
  <si>
    <t xml:space="preserve">מגן בוניון עדין לנעל צרה</t>
  </si>
  <si>
    <t xml:space="preserve">AC37</t>
  </si>
  <si>
    <t xml:space="preserve">מגן קרסול</t>
  </si>
  <si>
    <t xml:space="preserve">3655</t>
  </si>
  <si>
    <t xml:space="preserve">שרוול מסיליקון ל</t>
  </si>
  <si>
    <t xml:space="preserve">3675</t>
  </si>
  <si>
    <t xml:space="preserve">מגן זרת מסיליקון</t>
  </si>
  <si>
    <t xml:space="preserve">307</t>
  </si>
  <si>
    <t xml:space="preserve">כרית סיליקון לעקב</t>
  </si>
  <si>
    <t xml:space="preserve">312</t>
  </si>
  <si>
    <t xml:space="preserve">מדבקה גדולה מסיליקון</t>
  </si>
  <si>
    <t xml:space="preserve">266</t>
  </si>
  <si>
    <t xml:space="preserve">סד יד דו צדדי</t>
  </si>
  <si>
    <t xml:space="preserve">3641</t>
  </si>
  <si>
    <t xml:space="preserve">מיישר בוהן</t>
  </si>
  <si>
    <t xml:space="preserve">78A</t>
  </si>
  <si>
    <t xml:space="preserve">מגן למפרק כתף</t>
  </si>
  <si>
    <t xml:space="preserve">379MSP</t>
  </si>
  <si>
    <t xml:space="preserve">מדרסי ג'ל מולטי ספורט</t>
  </si>
  <si>
    <t xml:space="preserve">391</t>
  </si>
  <si>
    <t xml:space="preserve">גרבי חורף אנטיבקטריאלי לבן</t>
  </si>
  <si>
    <t xml:space="preserve">AC95</t>
  </si>
  <si>
    <t xml:space="preserve">מגן מרפק</t>
  </si>
  <si>
    <t xml:space="preserve">סה"כ כללי</t>
  </si>
  <si>
    <t xml:space="preserve">נתוני מקור גולמיים - מקור 2025 (מתוך sales_analysis_20256.xlsx, ללא שינוי)</t>
  </si>
  <si>
    <t xml:space="preserve">Sale Type</t>
  </si>
  <si>
    <t xml:space="preserve">ID</t>
  </si>
  <si>
    <t xml:space="preserve">Customer</t>
  </si>
  <si>
    <t xml:space="preserve">Item: Name (Grouped)</t>
  </si>
  <si>
    <t xml:space="preserve">Item: Name</t>
  </si>
  <si>
    <t xml:space="preserve">Item: Display Name</t>
  </si>
  <si>
    <t xml:space="preserve">Unit Price</t>
  </si>
  <si>
    <t xml:space="preserve">Sales</t>
  </si>
  <si>
    <t xml:space="preserve">Quantity</t>
  </si>
  <si>
    <t xml:space="preserve">Amount (Net)</t>
  </si>
  <si>
    <t xml:space="preserve">Amount (Foreign Currency)</t>
  </si>
  <si>
    <t xml:space="preserve">Unit price foreign currency</t>
  </si>
  <si>
    <t xml:space="preserve">160136 SEVEN GEAR FINLAND OY</t>
  </si>
  <si>
    <t xml:space="preserve">266:266 0</t>
  </si>
  <si>
    <t xml:space="preserve">266 0</t>
  </si>
  <si>
    <t xml:space="preserve">307:307 L</t>
  </si>
  <si>
    <t xml:space="preserve">307 L</t>
  </si>
  <si>
    <t xml:space="preserve">307:307 M</t>
  </si>
  <si>
    <t xml:space="preserve">307 M</t>
  </si>
  <si>
    <t xml:space="preserve">307:307 XL</t>
  </si>
  <si>
    <t xml:space="preserve">307 XL</t>
  </si>
  <si>
    <t xml:space="preserve">35-PARENT:35B:35B L</t>
  </si>
  <si>
    <t xml:space="preserve">35B L</t>
  </si>
  <si>
    <t xml:space="preserve">35-PARENT:35B:35B M</t>
  </si>
  <si>
    <t xml:space="preserve">35B M</t>
  </si>
  <si>
    <t xml:space="preserve">35-PARENT:35B:35B S</t>
  </si>
  <si>
    <t xml:space="preserve">35B S</t>
  </si>
  <si>
    <t xml:space="preserve">35-PARENT:35B:35B XL</t>
  </si>
  <si>
    <t xml:space="preserve">35B XL</t>
  </si>
  <si>
    <t xml:space="preserve">35-PARENT:35B:35B XXL</t>
  </si>
  <si>
    <t xml:space="preserve">35B XXL</t>
  </si>
  <si>
    <t xml:space="preserve">3641:3641 0</t>
  </si>
  <si>
    <t xml:space="preserve">3641 0</t>
  </si>
  <si>
    <t xml:space="preserve">3655:3655 0</t>
  </si>
  <si>
    <t xml:space="preserve">3655 0</t>
  </si>
  <si>
    <t xml:space="preserve">3667:3667 0</t>
  </si>
  <si>
    <t xml:space="preserve">3667 0</t>
  </si>
  <si>
    <t xml:space="preserve">3674:3674 0</t>
  </si>
  <si>
    <t xml:space="preserve">3674 0</t>
  </si>
  <si>
    <t xml:space="preserve">3675:3675 0</t>
  </si>
  <si>
    <t xml:space="preserve">3675 0</t>
  </si>
  <si>
    <t xml:space="preserve">379:379MSP-35-38</t>
  </si>
  <si>
    <t xml:space="preserve">379MSP-35-38</t>
  </si>
  <si>
    <t xml:space="preserve">379:379MSP-39-42</t>
  </si>
  <si>
    <t xml:space="preserve">379MSP-39-42</t>
  </si>
  <si>
    <t xml:space="preserve">391:391W-39-42</t>
  </si>
  <si>
    <t xml:space="preserve">391W-39-42</t>
  </si>
  <si>
    <t xml:space="preserve">397:397-35-38</t>
  </si>
  <si>
    <t xml:space="preserve">397-35-38</t>
  </si>
  <si>
    <t xml:space="preserve">397:397-39-42</t>
  </si>
  <si>
    <t xml:space="preserve">397-39-42</t>
  </si>
  <si>
    <t xml:space="preserve">397:397-43-46</t>
  </si>
  <si>
    <t xml:space="preserve">397-43-46</t>
  </si>
  <si>
    <t xml:space="preserve">397A:397A-39-42</t>
  </si>
  <si>
    <t xml:space="preserve">397A-39-42</t>
  </si>
  <si>
    <t xml:space="preserve">45-PARENT:45B:45B L</t>
  </si>
  <si>
    <t xml:space="preserve">45B L</t>
  </si>
  <si>
    <t xml:space="preserve">45-PARENT:45B:45B M</t>
  </si>
  <si>
    <t xml:space="preserve">45B M</t>
  </si>
  <si>
    <t xml:space="preserve">45-PARENT:45B:45B S</t>
  </si>
  <si>
    <t xml:space="preserve">45B S</t>
  </si>
  <si>
    <t xml:space="preserve">45-PARENT:45B:45B XL</t>
  </si>
  <si>
    <t xml:space="preserve">45B XL</t>
  </si>
  <si>
    <t xml:space="preserve">45-PARENT:45B:45B XXL</t>
  </si>
  <si>
    <t xml:space="preserve">45B XXL</t>
  </si>
  <si>
    <t xml:space="preserve">78A-PARENT:78A:78A XXL</t>
  </si>
  <si>
    <t xml:space="preserve">78A XXL</t>
  </si>
  <si>
    <t xml:space="preserve">801:801 0</t>
  </si>
  <si>
    <t xml:space="preserve">801 0</t>
  </si>
  <si>
    <t xml:space="preserve">85-PARENT:85:85 L</t>
  </si>
  <si>
    <t xml:space="preserve">85 L</t>
  </si>
  <si>
    <t xml:space="preserve">85-PARENT:85:85 M</t>
  </si>
  <si>
    <t xml:space="preserve">85 M</t>
  </si>
  <si>
    <t xml:space="preserve">85-PARENT:85:85 S</t>
  </si>
  <si>
    <t xml:space="preserve">85 S</t>
  </si>
  <si>
    <t xml:space="preserve">85-PARENT:85:85 XL</t>
  </si>
  <si>
    <t xml:space="preserve">85 XL</t>
  </si>
  <si>
    <t xml:space="preserve">95-PARENT:95B:95B L</t>
  </si>
  <si>
    <t xml:space="preserve">95B L</t>
  </si>
  <si>
    <t xml:space="preserve">95-PARENT:95B:95B XL</t>
  </si>
  <si>
    <t xml:space="preserve">95B XL</t>
  </si>
  <si>
    <t xml:space="preserve">AC07:AC07 0</t>
  </si>
  <si>
    <t xml:space="preserve">AC07 0</t>
  </si>
  <si>
    <t xml:space="preserve">AC25:AC25 0</t>
  </si>
  <si>
    <t xml:space="preserve">AC25 0</t>
  </si>
  <si>
    <t xml:space="preserve">AC27:AC27L 0</t>
  </si>
  <si>
    <t xml:space="preserve">AC27L 0</t>
  </si>
  <si>
    <t xml:space="preserve">AC27:AC27R 0</t>
  </si>
  <si>
    <t xml:space="preserve">AC27R 0</t>
  </si>
  <si>
    <t xml:space="preserve">AC28:AC28 0</t>
  </si>
  <si>
    <t xml:space="preserve">AC28 0</t>
  </si>
  <si>
    <t xml:space="preserve">AC37:AC37 0</t>
  </si>
  <si>
    <t xml:space="preserve">AC37 0</t>
  </si>
  <si>
    <t xml:space="preserve">AC43D:AC43D 0</t>
  </si>
  <si>
    <t xml:space="preserve">AC43D 0</t>
  </si>
  <si>
    <t xml:space="preserve">מגן ברך + צירים</t>
  </si>
  <si>
    <t xml:space="preserve">AC45X:AC45X 0</t>
  </si>
  <si>
    <t xml:space="preserve">AC45X 0</t>
  </si>
  <si>
    <t xml:space="preserve">AC91:AC91 0</t>
  </si>
  <si>
    <t xml:space="preserve">AC91 0</t>
  </si>
  <si>
    <t xml:space="preserve">AC95:AC95 0</t>
  </si>
  <si>
    <t xml:space="preserve">AC95 0</t>
  </si>
  <si>
    <t xml:space="preserve">נתוני מקור גולמיים - מקור 2026 (מתוך sales_analysis_20256.xlsx, ללא שינוי)</t>
  </si>
  <si>
    <t xml:space="preserve">312:312 0</t>
  </si>
  <si>
    <t xml:space="preserve">312 0</t>
  </si>
  <si>
    <t xml:space="preserve">397A:397A-35-38</t>
  </si>
  <si>
    <t xml:space="preserve">397A-35-38</t>
  </si>
  <si>
    <t xml:space="preserve">397A:397A-43-46</t>
  </si>
  <si>
    <t xml:space="preserve">397A-43-46</t>
  </si>
  <si>
    <t xml:space="preserve">95-PARENT:95B:95B M</t>
  </si>
  <si>
    <t xml:space="preserve">95B M</t>
  </si>
  <si>
    <t xml:space="preserve">סיכום ומסקנות - השוואת מכירות 2025 מול 2026 לפי CODE מוצר</t>
  </si>
  <si>
    <t xml:space="preserve">נתונים כלליים:</t>
  </si>
  <si>
    <t xml:space="preserve">  - לקוח יחיד בקובץ: 160136 SEVEN GEAR FINLAND OY.</t>
  </si>
  <si>
    <t xml:space="preserve">  - סה"כ קודי מוצר (CODE) שנמכרו ב-2025: 25 קודים ייחודיים.</t>
  </si>
  <si>
    <t xml:space="preserve">  - סה"כ קודי מוצר (CODE) שנמכרו ב-2026: 15 קודים ייחודיים.</t>
  </si>
  <si>
    <t xml:space="preserve">  - סה"כ קודים שנבדקו (איחוד שתי השנים): 27 קודים ייחודיים.</t>
  </si>
  <si>
    <t xml:space="preserve">  - סה"כ יחידות 2025: =SUM('השוואה'!C7:C33) יח' | סה"כ יחידות 2026: =SUM('השוואה'!D7:D33) יח' (ראו שורת הסה"כ בגיליון ההשוואה).</t>
  </si>
  <si>
    <t xml:space="preserve">  - סה"כ סכום ביורו 2025: 15,927.49 € | סה"כ סכום ביורו 2026: 9,257.00 € - ירידה של כ-42% במונחים גולמיים.</t>
  </si>
  <si>
    <t xml:space="preserve">אזהרה מתודולוגית קריטית:</t>
  </si>
  <si>
    <t xml:space="preserve">  קובץ המקור אינו כולל עמודת תאריך בתוך השורות (אין שדה "תאריך מכירה"). לכן אי אפשר לאמת מתוך הנתונים עצמם האם גיליון "2026" מכסה שנה קלנדרית מלאה או רק חלק ממנה (סביר מאוד, בהתחשב בכך שהקובץ הועלה ב-14/09/2026 ושיש בו רק 42 שורות/1,630 יחידות לעומת 86 שורות/2,980 יחידות ב-2025). הירידה הכוללת של כ-42%-45% בין השנים עשויה לשקף בעיקר את העובדה שב-2026 טרם חלפה שנה שלמה, ולא בהכרח ירידה עסקית אמיתית. מומלץ לאמת עם ראובן/המשתמש את טווח התאריכים המדויק של כל גיליון לפני הצגת המספרים כ"ירידה" בפני גורם מקבל החלטות.</t>
  </si>
  <si>
    <t xml:space="preserve">שינויי CODE שנראים כהחלפת מק"ט לאותו מוצר פיזי (ולא ירידה/עלייה אמיתית):</t>
  </si>
  <si>
    <t xml:space="preserve">  - CODE 397 ("גרבי טיסה", 390 יח' / 3,159€ ב-2025, 0 ב-2026) מול CODE 397A ("גרבי נסיעות אנטיבקטריאלי", 1 יח' סמלית ב-2025 בלבד, 370 יח' / 2,997€ ב-2026): כמות ה-2026 של 397A (370 יח') קרובה מאוד לכמות ה-2025 של 397 (390 יח'), והשמות דומים במהות ("גרבי טיסה" מול "גרבי נסיעות") - נראה כמו אותו מוצר שעבר מיספור מחדש בין השנים, לא הפסקת מוצר + השקת מוצר חדש בפועל.</t>
  </si>
  <si>
    <t xml:space="preserve">  - CODE AC43D ("מגן ברך עם תמיכות" / "מגן ברך + צירים", 160 יח' / 1,583€ ב-2025, 0 ב-2026) מול CODE AC45 ("מגן ברך עם תמיכות", 0 ב-2025, 100 יח' / 955€ ב-2026): שם המוצר זהה ("מגן ברך עם תמיכות") - נראה כאותה תבנית של מיספור מחדש.</t>
  </si>
  <si>
    <t xml:space="preserve">  הטבלה בגיליון "השוואה" מציגה את שני הקודים בנפרד כפי שהתבקש (לפי CODE, בלי מיזוג), אך מומלץ לאמת מול ראובן/המשתמש אם אכן מדובר בהחלפת מק"ט - אם כן, השינוי האמיתי במוצר הוא קטן בהרבה ממה שנראה משורה בודדת.</t>
  </si>
  <si>
    <t xml:space="preserve">הערת שם מוצר:</t>
  </si>
  <si>
    <t xml:space="preserve">  - CODE AC43D הופיע ב-2025 תחת שני שמות שונים ("מגן ברך + צירים" ו-"מגן ברך עם תמיכות"); נבחר השם עם הכמות הגדולה יותר לייצוג בטבלה (ראו הערה בטור B).</t>
  </si>
  <si>
    <t xml:space="preserve">  - CODE AC27 מופיע בקובץ המקור ללא שם מוצר תקין (שדה "Item: Display Name" מכיל את הקוד עצמו, "AC27") - כך גם מוצג בטבלה.</t>
  </si>
  <si>
    <t xml:space="preserve">העליות והירידות הבולטות ביותר (מוינות לפי גודל השינוי המוחלט בסכום ביורו):</t>
  </si>
  <si>
    <t xml:space="preserve">  ירידות: 397 (-3,159€, -100%, קרוב לוודאי מיספור מחדש ל-397A - ראו לעיל) | AC43D (-1,583€, -100%, קרוב לוודאי מיספור מחדש ל-AC45) | AC28 סד לאגודל (-892.5€, -45%) | 85 מתלה יד-כיס (-852.5€, -100%, לא נמכר כלל ב-2026) | AC25 חבק לשורש כף היד (-807.5€, -42%) | 45B מגן ברך שחור (-803.25€, -100%, לא נמכר כלל ב-2026) | AC07 חגורת גב עם תמיכות (-675€, -100%) | AC27 (-584.5€, -100%).</t>
  </si>
  <si>
    <t xml:space="preserve">  עליות: 397A גרבי נסיעות אנטיבקטריאלי (+2,997€, קרוב לוודאי מיספור מחדש מ-397 - ראו לעיל) | AC45 מגן ברך עם תמיכות (+955€, מוצר חדש בנתונים, קרוב לוודאי מיספור מחדש מ-AC43D) | 95B מגן מרפק שחור (+186€, +300%) | 3667 מגן בוניון עדין לנעל צרה (+182€, +100%) | 312 מדבקה גדולה מסיליקון (+74€, מוצר חדש בנתונים) | 266 סד יד דו צדדי (+63€, +9%).</t>
  </si>
  <si>
    <t xml:space="preserve">מוצרים שלא נמכרו כלל באחת השנים (מוצג כ-0, לא נעלם מהטבלה):</t>
  </si>
  <si>
    <t xml:space="preserve">  - נמכרו ב-2025 בלבד (0 ב-2026): 3641, 391, 45B, 78A, 85, 379MSP, 801, AC07, AC27, AC43D, 397, AC37 (12 קודים).</t>
  </si>
  <si>
    <t xml:space="preserve">  - נמכרו ב-2026 בלבד (0 ב-2025): 312, AC45 (2 קודים).</t>
  </si>
  <si>
    <t xml:space="preserve">  - יציב לחלוטין: AC95 (חבק/מגן מרפק) - 20 יח' / 93€ בשתי השנים, ללא שינוי.</t>
  </si>
  <si>
    <t xml:space="preserve">הערות מתודולוגיות:</t>
  </si>
  <si>
    <t xml:space="preserve">  - כל הנתונים נשלפים חי מגיליונות "מקור 2025" ו"מקור 2026" באמצעות SUMIF לפי CODE - שינוי בנתוני המקור יתעדכן אוטומטית בגיליון "השוואה".</t>
  </si>
  <si>
    <t xml:space="preserve">  - עמודת "Amount (Foreign Currency)" בקובץ המקור היא ביורו (€) - נלקחה כפי שהיא משורות המקור, ללא המרה נוספת (אין צורך בשער חליפין קבוע, הסכום כבר נתון ביורו לכל שורה).</t>
  </si>
  <si>
    <t xml:space="preserve">  - קוד שמופיע רק באחת השנים מוצג עם 0 בשנה החסרה (לא נעלם ולא מוצג כתא ריק), ועמודת ה-% המתאימה מציגה "מוצר חדש" כדי למנוע חלוקה באפס.</t>
  </si>
  <si>
    <t xml:space="preserve">  - מיון הטבלה בגיליון "השוואה": לפי גודל השינוי המוחלט בסכום ביורו (הגדול ביותר, חיובי או שלילי, קודם) - כלומר השינויים המשמעותיים ביותר עסקית מופיעים למעלה.</t>
  </si>
  <si>
    <t xml:space="preserve">  - עמודת "Sale Type" בקובץ המקור ריקה בכל השורות בשני הגיליונות - לא נעשה בה שימוש. עמודת "Sales" זהה בפועל ל-"Amount (Net)" (שקלים) ולא נדרשה לבקשה הנוכחית (כמות + סכום ביורו).</t>
  </si>
</sst>
</file>

<file path=xl/styles.xml><?xml version="1.0" encoding="utf-8"?>
<styleSheet xmlns="http://schemas.openxmlformats.org/spreadsheetml/2006/main">
  <numFmts count="5">
    <numFmt numFmtId="164" formatCode="General"/>
    <numFmt numFmtId="165" formatCode="dd/mm/yy"/>
    <numFmt numFmtId="166" formatCode="#,##0"/>
    <numFmt numFmtId="167" formatCode="0.0%"/>
    <numFmt numFmtId="168" formatCode="#,##0.00"/>
  </numFmts>
  <fonts count="10">
    <font>
      <sz val="11"/>
      <color theme="1"/>
      <name val="Calibri"/>
      <family val="2"/>
      <charset val="1"/>
    </font>
    <font>
      <sz val="10"/>
      <name val="Arial"/>
      <family val="0"/>
    </font>
    <font>
      <sz val="10"/>
      <name val="Arial"/>
      <family val="0"/>
    </font>
    <font>
      <sz val="10"/>
      <name val="Arial"/>
      <family val="0"/>
    </font>
    <font>
      <b val="true"/>
      <sz val="14"/>
      <name val="Arial"/>
      <family val="0"/>
      <charset val="1"/>
    </font>
    <font>
      <b val="true"/>
      <sz val="11"/>
      <name val="Arial"/>
      <family val="0"/>
      <charset val="1"/>
    </font>
    <font>
      <sz val="11"/>
      <name val="Arial"/>
      <family val="0"/>
      <charset val="1"/>
    </font>
    <font>
      <i val="true"/>
      <sz val="9"/>
      <name val="Arial"/>
      <family val="0"/>
      <charset val="1"/>
    </font>
    <font>
      <i val="true"/>
      <sz val="9"/>
      <color rgb="FF9C5700"/>
      <name val="Arial"/>
      <family val="0"/>
      <charset val="1"/>
    </font>
    <font>
      <b val="true"/>
      <sz val="11"/>
      <color rgb="FFFFFFFF"/>
      <name val="Arial"/>
      <family val="0"/>
      <charset val="1"/>
    </font>
  </fonts>
  <fills count="5">
    <fill>
      <patternFill patternType="none"/>
    </fill>
    <fill>
      <patternFill patternType="gray125"/>
    </fill>
    <fill>
      <patternFill patternType="solid">
        <fgColor rgb="FFFFF2CC"/>
        <bgColor rgb="FFFFFFFF"/>
      </patternFill>
    </fill>
    <fill>
      <patternFill patternType="solid">
        <fgColor rgb="FF1F4E78"/>
        <bgColor rgb="FF003366"/>
      </patternFill>
    </fill>
    <fill>
      <patternFill patternType="solid">
        <fgColor rgb="FFC6E0B4"/>
        <bgColor rgb="FFCCFFCC"/>
      </patternFill>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7">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5" fontId="6" fillId="0" borderId="0" xfId="0" applyFont="true" applyBorder="false" applyAlignment="false" applyProtection="false">
      <alignment horizontal="general" vertical="bottom" textRotation="0" wrapText="false" indent="0" shrinkToFit="false"/>
      <protection locked="true" hidden="false"/>
    </xf>
    <xf numFmtId="164" fontId="7" fillId="0" borderId="0" xfId="0" applyFont="true" applyBorder="false" applyAlignment="false" applyProtection="false">
      <alignment horizontal="general" vertical="bottom" textRotation="0" wrapText="false" indent="0" shrinkToFit="false"/>
      <protection locked="true" hidden="false"/>
    </xf>
    <xf numFmtId="164" fontId="8" fillId="2" borderId="0" xfId="0" applyFont="true" applyBorder="true" applyAlignment="true" applyProtection="false">
      <alignment horizontal="general" vertical="top" textRotation="0" wrapText="true" indent="0" shrinkToFit="false"/>
      <protection locked="true" hidden="false"/>
    </xf>
    <xf numFmtId="164" fontId="9" fillId="3" borderId="0" xfId="0" applyFont="true" applyBorder="false" applyAlignment="true" applyProtection="false">
      <alignment horizontal="center" vertical="center" textRotation="0" wrapText="tru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6" fontId="6" fillId="0" borderId="0" xfId="0" applyFont="true" applyBorder="false" applyAlignment="false" applyProtection="false">
      <alignment horizontal="general" vertical="bottom" textRotation="0" wrapText="false" indent="0" shrinkToFit="false"/>
      <protection locked="true" hidden="false"/>
    </xf>
    <xf numFmtId="167" fontId="6" fillId="0" borderId="0" xfId="0" applyFont="true" applyBorder="false" applyAlignment="false" applyProtection="false">
      <alignment horizontal="general" vertical="bottom" textRotation="0" wrapText="false" indent="0" shrinkToFit="false"/>
      <protection locked="true" hidden="false"/>
    </xf>
    <xf numFmtId="168" fontId="6" fillId="0" borderId="0" xfId="0" applyFont="true" applyBorder="false" applyAlignment="false" applyProtection="false">
      <alignment horizontal="general" vertical="bottom" textRotation="0" wrapText="false" indent="0" shrinkToFit="false"/>
      <protection locked="true" hidden="false"/>
    </xf>
    <xf numFmtId="164" fontId="5" fillId="4" borderId="0" xfId="0" applyFont="true" applyBorder="false" applyAlignment="false" applyProtection="false">
      <alignment horizontal="general" vertical="bottom" textRotation="0" wrapText="false" indent="0" shrinkToFit="false"/>
      <protection locked="true" hidden="false"/>
    </xf>
    <xf numFmtId="166" fontId="5" fillId="4" borderId="0" xfId="0" applyFont="true" applyBorder="false" applyAlignment="false" applyProtection="false">
      <alignment horizontal="general" vertical="bottom" textRotation="0" wrapText="false" indent="0" shrinkToFit="false"/>
      <protection locked="true" hidden="false"/>
    </xf>
    <xf numFmtId="167" fontId="5" fillId="4" borderId="0" xfId="0" applyFont="true" applyBorder="false" applyAlignment="false" applyProtection="false">
      <alignment horizontal="general" vertical="bottom" textRotation="0" wrapText="false" indent="0" shrinkToFit="false"/>
      <protection locked="true" hidden="false"/>
    </xf>
    <xf numFmtId="168" fontId="5" fillId="4"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true" applyProtection="false">
      <alignment horizontal="general" vertical="top" textRotation="0" wrapText="true" indent="0" shrinkToFit="false"/>
      <protection locked="true" hidden="false"/>
    </xf>
    <xf numFmtId="164" fontId="6" fillId="0" borderId="0" xfId="0" applyFont="true" applyBorder="false" applyAlignment="true" applyProtection="false">
      <alignment horizontal="general"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6E0B4"/>
      <rgbColor rgb="FF808080"/>
      <rgbColor rgb="FF9999FF"/>
      <rgbColor rgb="FF993366"/>
      <rgbColor rgb="FFFFF2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C5700"/>
      <rgbColor rgb="FF993366"/>
      <rgbColor rgb="FF1F4E78"/>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K34"/>
  <sheetViews>
    <sheetView showFormulas="false" showGridLines="true" showRowColHeaders="true" showZeros="true" rightToLeft="true" tabSelected="true" showOutlineSymbols="true" defaultGridColor="true" view="normal" topLeftCell="A1" colorId="64" zoomScale="100" zoomScaleNormal="100" zoomScalePageLayoutView="100" workbookViewId="0">
      <pane xSplit="0" ySplit="6" topLeftCell="A7" activePane="bottomLeft" state="frozen"/>
      <selection pane="topLeft" activeCell="A1" activeCellId="0" sqref="A1"/>
      <selection pane="bottomLeft" activeCell="A1" activeCellId="0" sqref="A1"/>
    </sheetView>
  </sheetViews>
  <sheetFormatPr defaultColWidth="8.5390625" defaultRowHeight="15" zeroHeight="false" outlineLevelRow="0" outlineLevelCol="0"/>
  <cols>
    <col collapsed="false" customWidth="true" hidden="false" outlineLevel="0" max="1" min="1" style="0" width="10"/>
    <col collapsed="false" customWidth="true" hidden="false" outlineLevel="0" max="2" min="2" style="0" width="30"/>
    <col collapsed="false" customWidth="true" hidden="false" outlineLevel="0" max="4" min="3" style="0" width="12"/>
    <col collapsed="false" customWidth="true" hidden="false" outlineLevel="0" max="5" min="5" style="0" width="14"/>
    <col collapsed="false" customWidth="true" hidden="false" outlineLevel="0" max="6" min="6" style="0" width="13"/>
    <col collapsed="false" customWidth="true" hidden="false" outlineLevel="0" max="8" min="7" style="0" width="16"/>
    <col collapsed="false" customWidth="true" hidden="false" outlineLevel="0" max="10" min="9" style="0" width="13"/>
    <col collapsed="false" customWidth="true" hidden="false" outlineLevel="0" max="11" min="11" style="0" width="40"/>
  </cols>
  <sheetData>
    <row r="1" customFormat="false" ht="17.15" hidden="false" customHeight="false" outlineLevel="0" collapsed="false">
      <c r="A1" s="1" t="s">
        <v>0</v>
      </c>
    </row>
    <row r="2" customFormat="false" ht="15" hidden="false" customHeight="false" outlineLevel="0" collapsed="false">
      <c r="A2" s="2" t="s">
        <v>1</v>
      </c>
      <c r="B2" s="3" t="n">
        <v>46279</v>
      </c>
    </row>
    <row r="3" customFormat="false" ht="15" hidden="false" customHeight="false" outlineLevel="0" collapsed="false">
      <c r="A3" s="4" t="s">
        <v>2</v>
      </c>
    </row>
    <row r="4" customFormat="false" ht="45" hidden="false" customHeight="true" outlineLevel="0" collapsed="false">
      <c r="A4" s="5" t="s">
        <v>3</v>
      </c>
      <c r="B4" s="5"/>
      <c r="C4" s="5"/>
      <c r="D4" s="5"/>
      <c r="E4" s="5"/>
      <c r="F4" s="5"/>
      <c r="G4" s="5"/>
      <c r="H4" s="5"/>
      <c r="I4" s="5"/>
      <c r="J4" s="5"/>
      <c r="K4" s="5"/>
    </row>
    <row r="6" customFormat="false" ht="15" hidden="false" customHeight="false" outlineLevel="0" collapsed="false">
      <c r="A6" s="6" t="s">
        <v>4</v>
      </c>
      <c r="B6" s="6" t="s">
        <v>5</v>
      </c>
      <c r="C6" s="6" t="s">
        <v>6</v>
      </c>
      <c r="D6" s="6" t="s">
        <v>7</v>
      </c>
      <c r="E6" s="6" t="s">
        <v>8</v>
      </c>
      <c r="F6" s="6" t="s">
        <v>9</v>
      </c>
      <c r="G6" s="6" t="s">
        <v>10</v>
      </c>
      <c r="H6" s="6" t="s">
        <v>11</v>
      </c>
      <c r="I6" s="6" t="s">
        <v>12</v>
      </c>
      <c r="J6" s="6" t="s">
        <v>13</v>
      </c>
      <c r="K6" s="6" t="s">
        <v>14</v>
      </c>
    </row>
    <row r="7" customFormat="false" ht="15" hidden="false" customHeight="false" outlineLevel="0" collapsed="false">
      <c r="A7" s="7" t="s">
        <v>15</v>
      </c>
      <c r="B7" s="7" t="s">
        <v>16</v>
      </c>
      <c r="C7" s="8" t="n">
        <f aca="false">SUMIF('מקור 2025'!$D:$D,$A7,'מקור 2025'!$J:$J)</f>
        <v>390</v>
      </c>
      <c r="D7" s="8" t="n">
        <f aca="false">SUMIF('מקור 2026'!$D:$D,$A7,'מקור 2026'!$J:$J)</f>
        <v>0</v>
      </c>
      <c r="E7" s="8" t="n">
        <f aca="false">D7-C7</f>
        <v>-390</v>
      </c>
      <c r="F7" s="9" t="n">
        <f aca="false">IF(C7=0,"מוצר חדש",(D7-C7)/C7)</f>
        <v>-1</v>
      </c>
      <c r="G7" s="10" t="n">
        <f aca="false">SUMIF('מקור 2025'!$D:$D,$A7,'מקור 2025'!$L:$L)</f>
        <v>3159</v>
      </c>
      <c r="H7" s="10" t="n">
        <f aca="false">SUMIF('מקור 2026'!$D:$D,$A7,'מקור 2026'!$L:$L)</f>
        <v>0</v>
      </c>
      <c r="I7" s="10" t="n">
        <f aca="false">H7-G7</f>
        <v>-3159</v>
      </c>
      <c r="J7" s="9" t="n">
        <f aca="false">IF(G7=0,"מוצר חדש",(H7-G7)/G7)</f>
        <v>-1</v>
      </c>
      <c r="K7" s="7" t="str">
        <f aca="false">IF(AND(C7&gt;0,D7=0),"הופסק ב-2026",IF(AND(C7=0,D7&gt;0),"חדש ב-2026",IF(AND(C7&gt;0,C7&lt;10),"בסיס 2025 זניח (&lt;10 יח׳) - % לא אינפורמטיבי","")))</f>
        <v>הופסק ב-2026</v>
      </c>
    </row>
    <row r="8" customFormat="false" ht="15" hidden="false" customHeight="false" outlineLevel="0" collapsed="false">
      <c r="A8" s="7" t="s">
        <v>17</v>
      </c>
      <c r="B8" s="7" t="s">
        <v>18</v>
      </c>
      <c r="C8" s="8" t="n">
        <f aca="false">SUMIF('מקור 2025'!$D:$D,$A8,'מקור 2025'!$J:$J)</f>
        <v>1</v>
      </c>
      <c r="D8" s="8" t="n">
        <f aca="false">SUMIF('מקור 2026'!$D:$D,$A8,'מקור 2026'!$J:$J)</f>
        <v>370</v>
      </c>
      <c r="E8" s="8" t="n">
        <f aca="false">D8-C8</f>
        <v>369</v>
      </c>
      <c r="F8" s="9" t="n">
        <f aca="false">IF(C8=0,"מוצר חדש",(D8-C8)/C8)</f>
        <v>369</v>
      </c>
      <c r="G8" s="10" t="n">
        <f aca="false">SUMIF('מקור 2025'!$D:$D,$A8,'מקור 2025'!$L:$L)</f>
        <v>0.01</v>
      </c>
      <c r="H8" s="10" t="n">
        <f aca="false">SUMIF('מקור 2026'!$D:$D,$A8,'מקור 2026'!$L:$L)</f>
        <v>2997</v>
      </c>
      <c r="I8" s="10" t="n">
        <f aca="false">H8-G8</f>
        <v>2996.99</v>
      </c>
      <c r="J8" s="9" t="n">
        <f aca="false">IF(G8=0,"מוצר חדש",(H8-G8)/G8)</f>
        <v>299699</v>
      </c>
      <c r="K8" s="7" t="str">
        <f aca="false">IF(AND(C8&gt;0,D8=0),"הופסק ב-2026",IF(AND(C8=0,D8&gt;0),"חדש ב-2026",IF(AND(C8&gt;0,C8&lt;10),"בסיס 2025 זניח (&lt;10 יח׳) - % לא אינפורמטיבי","")))</f>
        <v>בסיס 2025 זניח (&lt;10 יח׳) - % לא אינפורמטיבי</v>
      </c>
    </row>
    <row r="9" customFormat="false" ht="15" hidden="false" customHeight="false" outlineLevel="0" collapsed="false">
      <c r="A9" s="7" t="s">
        <v>19</v>
      </c>
      <c r="B9" s="7" t="s">
        <v>20</v>
      </c>
      <c r="C9" s="8" t="n">
        <f aca="false">SUMIF('מקור 2025'!$D:$D,$A9,'מקור 2025'!$J:$J)</f>
        <v>160</v>
      </c>
      <c r="D9" s="8" t="n">
        <f aca="false">SUMIF('מקור 2026'!$D:$D,$A9,'מקור 2026'!$J:$J)</f>
        <v>0</v>
      </c>
      <c r="E9" s="8" t="n">
        <f aca="false">D9-C9</f>
        <v>-160</v>
      </c>
      <c r="F9" s="9" t="n">
        <f aca="false">IF(C9=0,"מוצר חדש",(D9-C9)/C9)</f>
        <v>-1</v>
      </c>
      <c r="G9" s="10" t="n">
        <f aca="false">SUMIF('מקור 2025'!$D:$D,$A9,'מקור 2025'!$L:$L)</f>
        <v>1583</v>
      </c>
      <c r="H9" s="10" t="n">
        <f aca="false">SUMIF('מקור 2026'!$D:$D,$A9,'מקור 2026'!$L:$L)</f>
        <v>0</v>
      </c>
      <c r="I9" s="10" t="n">
        <f aca="false">H9-G9</f>
        <v>-1583</v>
      </c>
      <c r="J9" s="9" t="n">
        <f aca="false">IF(G9=0,"מוצר חדש",(H9-G9)/G9)</f>
        <v>-1</v>
      </c>
      <c r="K9" s="7" t="str">
        <f aca="false">IF(AND(C9&gt;0,D9=0),"הופסק ב-2026",IF(AND(C9=0,D9&gt;0),"חדש ב-2026",IF(AND(C9&gt;0,C9&lt;10),"בסיס 2025 זניח (&lt;10 יח׳) - % לא אינפורמטיבי","")))</f>
        <v>הופסק ב-2026</v>
      </c>
    </row>
    <row r="10" customFormat="false" ht="15" hidden="false" customHeight="false" outlineLevel="0" collapsed="false">
      <c r="A10" s="7" t="s">
        <v>21</v>
      </c>
      <c r="B10" s="7" t="s">
        <v>20</v>
      </c>
      <c r="C10" s="8" t="n">
        <f aca="false">SUMIF('מקור 2025'!$D:$D,$A10,'מקור 2025'!$J:$J)</f>
        <v>0</v>
      </c>
      <c r="D10" s="8" t="n">
        <f aca="false">SUMIF('מקור 2026'!$D:$D,$A10,'מקור 2026'!$J:$J)</f>
        <v>100</v>
      </c>
      <c r="E10" s="8" t="n">
        <f aca="false">D10-C10</f>
        <v>100</v>
      </c>
      <c r="F10" s="9" t="str">
        <f aca="false">IF(C10=0,"מוצר חדש",(D10-C10)/C10)</f>
        <v>מוצר חדש</v>
      </c>
      <c r="G10" s="10" t="n">
        <f aca="false">SUMIF('מקור 2025'!$D:$D,$A10,'מקור 2025'!$L:$L)</f>
        <v>0</v>
      </c>
      <c r="H10" s="10" t="n">
        <f aca="false">SUMIF('מקור 2026'!$D:$D,$A10,'מקור 2026'!$L:$L)</f>
        <v>955</v>
      </c>
      <c r="I10" s="10" t="n">
        <f aca="false">H10-G10</f>
        <v>955</v>
      </c>
      <c r="J10" s="9" t="str">
        <f aca="false">IF(G10=0,"מוצר חדש",(H10-G10)/G10)</f>
        <v>מוצר חדש</v>
      </c>
      <c r="K10" s="7" t="str">
        <f aca="false">IF(AND(C10&gt;0,D10=0),"הופסק ב-2026",IF(AND(C10=0,D10&gt;0),"חדש ב-2026",IF(AND(C10&gt;0,C10&lt;10),"בסיס 2025 זניח (&lt;10 יח׳) - % לא אינפורמטיבי","")))</f>
        <v>חדש ב-2026</v>
      </c>
    </row>
    <row r="11" customFormat="false" ht="15" hidden="false" customHeight="false" outlineLevel="0" collapsed="false">
      <c r="A11" s="7" t="s">
        <v>22</v>
      </c>
      <c r="B11" s="7" t="s">
        <v>23</v>
      </c>
      <c r="C11" s="8" t="n">
        <f aca="false">SUMIF('מקור 2025'!$D:$D,$A11,'מקור 2025'!$J:$J)</f>
        <v>470</v>
      </c>
      <c r="D11" s="8" t="n">
        <f aca="false">SUMIF('מקור 2026'!$D:$D,$A11,'מקור 2026'!$J:$J)</f>
        <v>260</v>
      </c>
      <c r="E11" s="8" t="n">
        <f aca="false">D11-C11</f>
        <v>-210</v>
      </c>
      <c r="F11" s="9" t="n">
        <f aca="false">IF(C11=0,"מוצר חדש",(D11-C11)/C11)</f>
        <v>-0.446808510638298</v>
      </c>
      <c r="G11" s="10" t="n">
        <f aca="false">SUMIF('מקור 2025'!$D:$D,$A11,'מקור 2025'!$L:$L)</f>
        <v>1997.5</v>
      </c>
      <c r="H11" s="10" t="n">
        <f aca="false">SUMIF('מקור 2026'!$D:$D,$A11,'מקור 2026'!$L:$L)</f>
        <v>1105</v>
      </c>
      <c r="I11" s="10" t="n">
        <f aca="false">H11-G11</f>
        <v>-892.5</v>
      </c>
      <c r="J11" s="9" t="n">
        <f aca="false">IF(G11=0,"מוצר חדש",(H11-G11)/G11)</f>
        <v>-0.446808510638298</v>
      </c>
      <c r="K11" s="7" t="str">
        <f aca="false">IF(AND(C11&gt;0,D11=0),"הופסק ב-2026",IF(AND(C11=0,D11&gt;0),"חדש ב-2026",IF(AND(C11&gt;0,C11&lt;10),"בסיס 2025 זניח (&lt;10 יח׳) - % לא אינפורמטיבי","")))</f>
        <v/>
      </c>
    </row>
    <row r="12" customFormat="false" ht="15" hidden="false" customHeight="false" outlineLevel="0" collapsed="false">
      <c r="A12" s="7" t="s">
        <v>24</v>
      </c>
      <c r="B12" s="7" t="s">
        <v>25</v>
      </c>
      <c r="C12" s="8" t="n">
        <f aca="false">SUMIF('מקור 2025'!$D:$D,$A12,'מקור 2025'!$J:$J)</f>
        <v>155</v>
      </c>
      <c r="D12" s="8" t="n">
        <f aca="false">SUMIF('מקור 2026'!$D:$D,$A12,'מקור 2026'!$J:$J)</f>
        <v>0</v>
      </c>
      <c r="E12" s="8" t="n">
        <f aca="false">D12-C12</f>
        <v>-155</v>
      </c>
      <c r="F12" s="9" t="n">
        <f aca="false">IF(C12=0,"מוצר חדש",(D12-C12)/C12)</f>
        <v>-1</v>
      </c>
      <c r="G12" s="10" t="n">
        <f aca="false">SUMIF('מקור 2025'!$D:$D,$A12,'מקור 2025'!$L:$L)</f>
        <v>852.5</v>
      </c>
      <c r="H12" s="10" t="n">
        <f aca="false">SUMIF('מקור 2026'!$D:$D,$A12,'מקור 2026'!$L:$L)</f>
        <v>0</v>
      </c>
      <c r="I12" s="10" t="n">
        <f aca="false">H12-G12</f>
        <v>-852.5</v>
      </c>
      <c r="J12" s="9" t="n">
        <f aca="false">IF(G12=0,"מוצר חדש",(H12-G12)/G12)</f>
        <v>-1</v>
      </c>
      <c r="K12" s="7" t="str">
        <f aca="false">IF(AND(C12&gt;0,D12=0),"הופסק ב-2026",IF(AND(C12=0,D12&gt;0),"חדש ב-2026",IF(AND(C12&gt;0,C12&lt;10),"בסיס 2025 זניח (&lt;10 יח׳) - % לא אינפורמטיבי","")))</f>
        <v>הופסק ב-2026</v>
      </c>
    </row>
    <row r="13" customFormat="false" ht="15" hidden="false" customHeight="false" outlineLevel="0" collapsed="false">
      <c r="A13" s="7" t="s">
        <v>26</v>
      </c>
      <c r="B13" s="7" t="s">
        <v>27</v>
      </c>
      <c r="C13" s="8" t="n">
        <f aca="false">SUMIF('מקור 2025'!$D:$D,$A13,'מקור 2025'!$J:$J)</f>
        <v>450</v>
      </c>
      <c r="D13" s="8" t="n">
        <f aca="false">SUMIF('מקור 2026'!$D:$D,$A13,'מקור 2026'!$J:$J)</f>
        <v>260</v>
      </c>
      <c r="E13" s="8" t="n">
        <f aca="false">D13-C13</f>
        <v>-190</v>
      </c>
      <c r="F13" s="9" t="n">
        <f aca="false">IF(C13=0,"מוצר חדש",(D13-C13)/C13)</f>
        <v>-0.422222222222222</v>
      </c>
      <c r="G13" s="10" t="n">
        <f aca="false">SUMIF('מקור 2025'!$D:$D,$A13,'מקור 2025'!$L:$L)</f>
        <v>1912.5</v>
      </c>
      <c r="H13" s="10" t="n">
        <f aca="false">SUMIF('מקור 2026'!$D:$D,$A13,'מקור 2026'!$L:$L)</f>
        <v>1105</v>
      </c>
      <c r="I13" s="10" t="n">
        <f aca="false">H13-G13</f>
        <v>-807.5</v>
      </c>
      <c r="J13" s="9" t="n">
        <f aca="false">IF(G13=0,"מוצר חדש",(H13-G13)/G13)</f>
        <v>-0.422222222222222</v>
      </c>
      <c r="K13" s="7" t="str">
        <f aca="false">IF(AND(C13&gt;0,D13=0),"הופסק ב-2026",IF(AND(C13=0,D13&gt;0),"חדש ב-2026",IF(AND(C13&gt;0,C13&lt;10),"בסיס 2025 זניח (&lt;10 יח׳) - % לא אינפורמטיבי","")))</f>
        <v/>
      </c>
    </row>
    <row r="14" customFormat="false" ht="15" hidden="false" customHeight="false" outlineLevel="0" collapsed="false">
      <c r="A14" s="7" t="s">
        <v>28</v>
      </c>
      <c r="B14" s="7" t="s">
        <v>29</v>
      </c>
      <c r="C14" s="8" t="n">
        <f aca="false">SUMIF('מקור 2025'!$D:$D,$A14,'מקור 2025'!$J:$J)</f>
        <v>255</v>
      </c>
      <c r="D14" s="8" t="n">
        <f aca="false">SUMIF('מקור 2026'!$D:$D,$A14,'מקור 2026'!$J:$J)</f>
        <v>0</v>
      </c>
      <c r="E14" s="8" t="n">
        <f aca="false">D14-C14</f>
        <v>-255</v>
      </c>
      <c r="F14" s="9" t="n">
        <f aca="false">IF(C14=0,"מוצר חדש",(D14-C14)/C14)</f>
        <v>-1</v>
      </c>
      <c r="G14" s="10" t="n">
        <f aca="false">SUMIF('מקור 2025'!$D:$D,$A14,'מקור 2025'!$L:$L)</f>
        <v>803.25</v>
      </c>
      <c r="H14" s="10" t="n">
        <f aca="false">SUMIF('מקור 2026'!$D:$D,$A14,'מקור 2026'!$L:$L)</f>
        <v>0</v>
      </c>
      <c r="I14" s="10" t="n">
        <f aca="false">H14-G14</f>
        <v>-803.25</v>
      </c>
      <c r="J14" s="9" t="n">
        <f aca="false">IF(G14=0,"מוצר חדש",(H14-G14)/G14)</f>
        <v>-1</v>
      </c>
      <c r="K14" s="7" t="str">
        <f aca="false">IF(AND(C14&gt;0,D14=0),"הופסק ב-2026",IF(AND(C14=0,D14&gt;0),"חדש ב-2026",IF(AND(C14&gt;0,C14&lt;10),"בסיס 2025 זניח (&lt;10 יח׳) - % לא אינפורמטיבי","")))</f>
        <v>הופסק ב-2026</v>
      </c>
    </row>
    <row r="15" customFormat="false" ht="15" hidden="false" customHeight="false" outlineLevel="0" collapsed="false">
      <c r="A15" s="7" t="s">
        <v>30</v>
      </c>
      <c r="B15" s="7" t="s">
        <v>31</v>
      </c>
      <c r="C15" s="8" t="n">
        <f aca="false">SUMIF('מקור 2025'!$D:$D,$A15,'מקור 2025'!$J:$J)</f>
        <v>60</v>
      </c>
      <c r="D15" s="8" t="n">
        <f aca="false">SUMIF('מקור 2026'!$D:$D,$A15,'מקור 2026'!$J:$J)</f>
        <v>0</v>
      </c>
      <c r="E15" s="8" t="n">
        <f aca="false">D15-C15</f>
        <v>-60</v>
      </c>
      <c r="F15" s="9" t="n">
        <f aca="false">IF(C15=0,"מוצר חדש",(D15-C15)/C15)</f>
        <v>-1</v>
      </c>
      <c r="G15" s="10" t="n">
        <f aca="false">SUMIF('מקור 2025'!$D:$D,$A15,'מקור 2025'!$L:$L)</f>
        <v>675</v>
      </c>
      <c r="H15" s="10" t="n">
        <f aca="false">SUMIF('מקור 2026'!$D:$D,$A15,'מקור 2026'!$L:$L)</f>
        <v>0</v>
      </c>
      <c r="I15" s="10" t="n">
        <f aca="false">H15-G15</f>
        <v>-675</v>
      </c>
      <c r="J15" s="9" t="n">
        <f aca="false">IF(G15=0,"מוצר חדש",(H15-G15)/G15)</f>
        <v>-1</v>
      </c>
      <c r="K15" s="7" t="str">
        <f aca="false">IF(AND(C15&gt;0,D15=0),"הופסק ב-2026",IF(AND(C15=0,D15&gt;0),"חדש ב-2026",IF(AND(C15&gt;0,C15&lt;10),"בסיס 2025 זניח (&lt;10 יח׳) - % לא אינפורמטיבי","")))</f>
        <v>הופסק ב-2026</v>
      </c>
    </row>
    <row r="16" customFormat="false" ht="15" hidden="false" customHeight="false" outlineLevel="0" collapsed="false">
      <c r="A16" s="7" t="s">
        <v>32</v>
      </c>
      <c r="B16" s="7" t="s">
        <v>32</v>
      </c>
      <c r="C16" s="8" t="n">
        <f aca="false">SUMIF('מקור 2025'!$D:$D,$A16,'מקור 2025'!$J:$J)</f>
        <v>70</v>
      </c>
      <c r="D16" s="8" t="n">
        <f aca="false">SUMIF('מקור 2026'!$D:$D,$A16,'מקור 2026'!$J:$J)</f>
        <v>0</v>
      </c>
      <c r="E16" s="8" t="n">
        <f aca="false">D16-C16</f>
        <v>-70</v>
      </c>
      <c r="F16" s="9" t="n">
        <f aca="false">IF(C16=0,"מוצר חדש",(D16-C16)/C16)</f>
        <v>-1</v>
      </c>
      <c r="G16" s="10" t="n">
        <f aca="false">SUMIF('מקור 2025'!$D:$D,$A16,'מקור 2025'!$L:$L)</f>
        <v>584.5</v>
      </c>
      <c r="H16" s="10" t="n">
        <f aca="false">SUMIF('מקור 2026'!$D:$D,$A16,'מקור 2026'!$L:$L)</f>
        <v>0</v>
      </c>
      <c r="I16" s="10" t="n">
        <f aca="false">H16-G16</f>
        <v>-584.5</v>
      </c>
      <c r="J16" s="9" t="n">
        <f aca="false">IF(G16=0,"מוצר חדש",(H16-G16)/G16)</f>
        <v>-1</v>
      </c>
      <c r="K16" s="7" t="str">
        <f aca="false">IF(AND(C16&gt;0,D16=0),"הופסק ב-2026",IF(AND(C16=0,D16&gt;0),"חדש ב-2026",IF(AND(C16&gt;0,C16&lt;10),"בסיס 2025 זניח (&lt;10 יח׳) - % לא אינפורמטיבי","")))</f>
        <v>הופסק ב-2026</v>
      </c>
    </row>
    <row r="17" customFormat="false" ht="15" hidden="false" customHeight="false" outlineLevel="0" collapsed="false">
      <c r="A17" s="7" t="s">
        <v>33</v>
      </c>
      <c r="B17" s="7" t="s">
        <v>34</v>
      </c>
      <c r="C17" s="8" t="n">
        <f aca="false">SUMIF('מקור 2025'!$D:$D,$A17,'מקור 2025'!$J:$J)</f>
        <v>130</v>
      </c>
      <c r="D17" s="8" t="n">
        <f aca="false">SUMIF('מקור 2026'!$D:$D,$A17,'מקור 2026'!$J:$J)</f>
        <v>0</v>
      </c>
      <c r="E17" s="8" t="n">
        <f aca="false">D17-C17</f>
        <v>-130</v>
      </c>
      <c r="F17" s="9" t="n">
        <f aca="false">IF(C17=0,"מוצר חדש",(D17-C17)/C17)</f>
        <v>-1</v>
      </c>
      <c r="G17" s="10" t="n">
        <f aca="false">SUMIF('מקור 2025'!$D:$D,$A17,'מקור 2025'!$L:$L)</f>
        <v>364</v>
      </c>
      <c r="H17" s="10" t="n">
        <f aca="false">SUMIF('מקור 2026'!$D:$D,$A17,'מקור 2026'!$L:$L)</f>
        <v>0</v>
      </c>
      <c r="I17" s="10" t="n">
        <f aca="false">H17-G17</f>
        <v>-364</v>
      </c>
      <c r="J17" s="9" t="n">
        <f aca="false">IF(G17=0,"מוצר חדש",(H17-G17)/G17)</f>
        <v>-1</v>
      </c>
      <c r="K17" s="7" t="str">
        <f aca="false">IF(AND(C17&gt;0,D17=0),"הופסק ב-2026",IF(AND(C17=0,D17&gt;0),"חדש ב-2026",IF(AND(C17&gt;0,C17&lt;10),"בסיס 2025 זניח (&lt;10 יח׳) - % לא אינפורמטיבי","")))</f>
        <v>הופסק ב-2026</v>
      </c>
    </row>
    <row r="18" customFormat="false" ht="15" hidden="false" customHeight="false" outlineLevel="0" collapsed="false">
      <c r="A18" s="7" t="s">
        <v>35</v>
      </c>
      <c r="B18" s="7" t="s">
        <v>36</v>
      </c>
      <c r="C18" s="8" t="n">
        <f aca="false">SUMIF('מקור 2025'!$D:$D,$A18,'מקור 2025'!$J:$J)</f>
        <v>155</v>
      </c>
      <c r="D18" s="8" t="n">
        <f aca="false">SUMIF('מקור 2026'!$D:$D,$A18,'מקור 2026'!$J:$J)</f>
        <v>60</v>
      </c>
      <c r="E18" s="8" t="n">
        <f aca="false">D18-C18</f>
        <v>-95</v>
      </c>
      <c r="F18" s="9" t="n">
        <f aca="false">IF(C18=0,"מוצר חדש",(D18-C18)/C18)</f>
        <v>-0.612903225806452</v>
      </c>
      <c r="G18" s="10" t="n">
        <f aca="false">SUMIF('מקור 2025'!$D:$D,$A18,'מקור 2025'!$L:$L)</f>
        <v>480.5</v>
      </c>
      <c r="H18" s="10" t="n">
        <f aca="false">SUMIF('מקור 2026'!$D:$D,$A18,'מקור 2026'!$L:$L)</f>
        <v>186</v>
      </c>
      <c r="I18" s="10" t="n">
        <f aca="false">H18-G18</f>
        <v>-294.5</v>
      </c>
      <c r="J18" s="9" t="n">
        <f aca="false">IF(G18=0,"מוצר חדש",(H18-G18)/G18)</f>
        <v>-0.612903225806452</v>
      </c>
      <c r="K18" s="7" t="str">
        <f aca="false">IF(AND(C18&gt;0,D18=0),"הופסק ב-2026",IF(AND(C18=0,D18&gt;0),"חדש ב-2026",IF(AND(C18&gt;0,C18&lt;10),"בסיס 2025 זניח (&lt;10 יח׳) - % לא אינפורמטיבי","")))</f>
        <v/>
      </c>
    </row>
    <row r="19" customFormat="false" ht="15" hidden="false" customHeight="false" outlineLevel="0" collapsed="false">
      <c r="A19" s="7" t="s">
        <v>37</v>
      </c>
      <c r="B19" s="7" t="s">
        <v>38</v>
      </c>
      <c r="C19" s="8" t="n">
        <f aca="false">SUMIF('מקור 2025'!$D:$D,$A19,'מקור 2025'!$J:$J)</f>
        <v>140</v>
      </c>
      <c r="D19" s="8" t="n">
        <f aca="false">SUMIF('מקור 2026'!$D:$D,$A19,'מקור 2026'!$J:$J)</f>
        <v>80</v>
      </c>
      <c r="E19" s="8" t="n">
        <f aca="false">D19-C19</f>
        <v>-60</v>
      </c>
      <c r="F19" s="9" t="n">
        <f aca="false">IF(C19=0,"מוצר חדש",(D19-C19)/C19)</f>
        <v>-0.428571428571429</v>
      </c>
      <c r="G19" s="10" t="n">
        <f aca="false">SUMIF('מקור 2025'!$D:$D,$A19,'מקור 2025'!$L:$L)</f>
        <v>651</v>
      </c>
      <c r="H19" s="10" t="n">
        <f aca="false">SUMIF('מקור 2026'!$D:$D,$A19,'מקור 2026'!$L:$L)</f>
        <v>372</v>
      </c>
      <c r="I19" s="10" t="n">
        <f aca="false">H19-G19</f>
        <v>-279</v>
      </c>
      <c r="J19" s="9" t="n">
        <f aca="false">IF(G19=0,"מוצר חדש",(H19-G19)/G19)</f>
        <v>-0.428571428571429</v>
      </c>
      <c r="K19" s="7" t="str">
        <f aca="false">IF(AND(C19&gt;0,D19=0),"הופסק ב-2026",IF(AND(C19=0,D19&gt;0),"חדש ב-2026",IF(AND(C19&gt;0,C19&lt;10),"בסיס 2025 זניח (&lt;10 יח׳) - % לא אינפורמטיבי","")))</f>
        <v/>
      </c>
    </row>
    <row r="20" customFormat="false" ht="15" hidden="false" customHeight="false" outlineLevel="0" collapsed="false">
      <c r="A20" s="7" t="s">
        <v>39</v>
      </c>
      <c r="B20" s="7" t="s">
        <v>40</v>
      </c>
      <c r="C20" s="8" t="n">
        <f aca="false">SUMIF('מקור 2025'!$D:$D,$A20,'מקור 2025'!$J:$J)</f>
        <v>70</v>
      </c>
      <c r="D20" s="8" t="n">
        <f aca="false">SUMIF('מקור 2026'!$D:$D,$A20,'מקור 2026'!$J:$J)</f>
        <v>20</v>
      </c>
      <c r="E20" s="8" t="n">
        <f aca="false">D20-C20</f>
        <v>-50</v>
      </c>
      <c r="F20" s="9" t="n">
        <f aca="false">IF(C20=0,"מוצר חדש",(D20-C20)/C20)</f>
        <v>-0.714285714285714</v>
      </c>
      <c r="G20" s="10" t="n">
        <f aca="false">SUMIF('מקור 2025'!$D:$D,$A20,'מקור 2025'!$L:$L)</f>
        <v>311.5</v>
      </c>
      <c r="H20" s="10" t="n">
        <f aca="false">SUMIF('מקור 2026'!$D:$D,$A20,'מקור 2026'!$L:$L)</f>
        <v>89</v>
      </c>
      <c r="I20" s="10" t="n">
        <f aca="false">H20-G20</f>
        <v>-222.5</v>
      </c>
      <c r="J20" s="9" t="n">
        <f aca="false">IF(G20=0,"מוצר חדש",(H20-G20)/G20)</f>
        <v>-0.714285714285714</v>
      </c>
      <c r="K20" s="7" t="str">
        <f aca="false">IF(AND(C20&gt;0,D20=0),"הופסק ב-2026",IF(AND(C20=0,D20&gt;0),"חדש ב-2026",IF(AND(C20&gt;0,C20&lt;10),"בסיס 2025 זניח (&lt;10 יח׳) - % לא אינפורמטיבי","")))</f>
        <v/>
      </c>
    </row>
    <row r="21" customFormat="false" ht="15" hidden="false" customHeight="false" outlineLevel="0" collapsed="false">
      <c r="A21" s="7" t="s">
        <v>41</v>
      </c>
      <c r="B21" s="7" t="s">
        <v>42</v>
      </c>
      <c r="C21" s="8" t="n">
        <f aca="false">SUMIF('מקור 2025'!$D:$D,$A21,'מקור 2025'!$J:$J)</f>
        <v>20</v>
      </c>
      <c r="D21" s="8" t="n">
        <f aca="false">SUMIF('מקור 2026'!$D:$D,$A21,'מקור 2026'!$J:$J)</f>
        <v>80</v>
      </c>
      <c r="E21" s="8" t="n">
        <f aca="false">D21-C21</f>
        <v>60</v>
      </c>
      <c r="F21" s="9" t="n">
        <f aca="false">IF(C21=0,"מוצר חדש",(D21-C21)/C21)</f>
        <v>3</v>
      </c>
      <c r="G21" s="10" t="n">
        <f aca="false">SUMIF('מקור 2025'!$D:$D,$A21,'מקור 2025'!$L:$L)</f>
        <v>62</v>
      </c>
      <c r="H21" s="10" t="n">
        <f aca="false">SUMIF('מקור 2026'!$D:$D,$A21,'מקור 2026'!$L:$L)</f>
        <v>248</v>
      </c>
      <c r="I21" s="10" t="n">
        <f aca="false">H21-G21</f>
        <v>186</v>
      </c>
      <c r="J21" s="9" t="n">
        <f aca="false">IF(G21=0,"מוצר חדש",(H21-G21)/G21)</f>
        <v>3</v>
      </c>
      <c r="K21" s="7" t="str">
        <f aca="false">IF(AND(C21&gt;0,D21=0),"הופסק ב-2026",IF(AND(C21=0,D21&gt;0),"חדש ב-2026",IF(AND(C21&gt;0,C21&lt;10),"בסיס 2025 זניח (&lt;10 יח׳) - % לא אינפורמטיבי","")))</f>
        <v/>
      </c>
    </row>
    <row r="22" customFormat="false" ht="15" hidden="false" customHeight="false" outlineLevel="0" collapsed="false">
      <c r="A22" s="7" t="s">
        <v>43</v>
      </c>
      <c r="B22" s="7" t="s">
        <v>44</v>
      </c>
      <c r="C22" s="8" t="n">
        <f aca="false">SUMIF('מקור 2025'!$D:$D,$A22,'מקור 2025'!$J:$J)</f>
        <v>40</v>
      </c>
      <c r="D22" s="8" t="n">
        <f aca="false">SUMIF('מקור 2026'!$D:$D,$A22,'מקור 2026'!$J:$J)</f>
        <v>80</v>
      </c>
      <c r="E22" s="8" t="n">
        <f aca="false">D22-C22</f>
        <v>40</v>
      </c>
      <c r="F22" s="9" t="n">
        <f aca="false">IF(C22=0,"מוצר חדש",(D22-C22)/C22)</f>
        <v>1</v>
      </c>
      <c r="G22" s="10" t="n">
        <f aca="false">SUMIF('מקור 2025'!$D:$D,$A22,'מקור 2025'!$L:$L)</f>
        <v>182</v>
      </c>
      <c r="H22" s="10" t="n">
        <f aca="false">SUMIF('מקור 2026'!$D:$D,$A22,'מקור 2026'!$L:$L)</f>
        <v>364</v>
      </c>
      <c r="I22" s="10" t="n">
        <f aca="false">H22-G22</f>
        <v>182</v>
      </c>
      <c r="J22" s="9" t="n">
        <f aca="false">IF(G22=0,"מוצר חדש",(H22-G22)/G22)</f>
        <v>1</v>
      </c>
      <c r="K22" s="7" t="str">
        <f aca="false">IF(AND(C22&gt;0,D22=0),"הופסק ב-2026",IF(AND(C22=0,D22&gt;0),"חדש ב-2026",IF(AND(C22&gt;0,C22&lt;10),"בסיס 2025 זניח (&lt;10 יח׳) - % לא אינפורמטיבי","")))</f>
        <v/>
      </c>
    </row>
    <row r="23" customFormat="false" ht="15" hidden="false" customHeight="false" outlineLevel="0" collapsed="false">
      <c r="A23" s="7" t="s">
        <v>45</v>
      </c>
      <c r="B23" s="7" t="s">
        <v>46</v>
      </c>
      <c r="C23" s="8" t="n">
        <f aca="false">SUMIF('מקור 2025'!$D:$D,$A23,'מקור 2025'!$J:$J)</f>
        <v>30</v>
      </c>
      <c r="D23" s="8" t="n">
        <f aca="false">SUMIF('מקור 2026'!$D:$D,$A23,'מקור 2026'!$J:$J)</f>
        <v>0</v>
      </c>
      <c r="E23" s="8" t="n">
        <f aca="false">D23-C23</f>
        <v>-30</v>
      </c>
      <c r="F23" s="9" t="n">
        <f aca="false">IF(C23=0,"מוצר חדש",(D23-C23)/C23)</f>
        <v>-1</v>
      </c>
      <c r="G23" s="10" t="n">
        <f aca="false">SUMIF('מקור 2025'!$D:$D,$A23,'מקור 2025'!$L:$L)</f>
        <v>157.5</v>
      </c>
      <c r="H23" s="10" t="n">
        <f aca="false">SUMIF('מקור 2026'!$D:$D,$A23,'מקור 2026'!$L:$L)</f>
        <v>0</v>
      </c>
      <c r="I23" s="10" t="n">
        <f aca="false">H23-G23</f>
        <v>-157.5</v>
      </c>
      <c r="J23" s="9" t="n">
        <f aca="false">IF(G23=0,"מוצר חדש",(H23-G23)/G23)</f>
        <v>-1</v>
      </c>
      <c r="K23" s="7" t="str">
        <f aca="false">IF(AND(C23&gt;0,D23=0),"הופסק ב-2026",IF(AND(C23=0,D23&gt;0),"חדש ב-2026",IF(AND(C23&gt;0,C23&lt;10),"בסיס 2025 זניח (&lt;10 יח׳) - % לא אינפורמטיבי","")))</f>
        <v>הופסק ב-2026</v>
      </c>
    </row>
    <row r="24" customFormat="false" ht="15" hidden="false" customHeight="false" outlineLevel="0" collapsed="false">
      <c r="A24" s="7" t="s">
        <v>47</v>
      </c>
      <c r="B24" s="7" t="s">
        <v>48</v>
      </c>
      <c r="C24" s="8" t="n">
        <f aca="false">SUMIF('מקור 2025'!$D:$D,$A24,'מקור 2025'!$J:$J)</f>
        <v>80</v>
      </c>
      <c r="D24" s="8" t="n">
        <f aca="false">SUMIF('מקור 2026'!$D:$D,$A24,'מקור 2026'!$J:$J)</f>
        <v>40</v>
      </c>
      <c r="E24" s="8" t="n">
        <f aca="false">D24-C24</f>
        <v>-40</v>
      </c>
      <c r="F24" s="9" t="n">
        <f aca="false">IF(C24=0,"מוצר חדש",(D24-C24)/C24)</f>
        <v>-0.5</v>
      </c>
      <c r="G24" s="10" t="n">
        <f aca="false">SUMIF('מקור 2025'!$D:$D,$A24,'מקור 2025'!$L:$L)</f>
        <v>304</v>
      </c>
      <c r="H24" s="10" t="n">
        <f aca="false">SUMIF('מקור 2026'!$D:$D,$A24,'מקור 2026'!$L:$L)</f>
        <v>152</v>
      </c>
      <c r="I24" s="10" t="n">
        <f aca="false">H24-G24</f>
        <v>-152</v>
      </c>
      <c r="J24" s="9" t="n">
        <f aca="false">IF(G24=0,"מוצר חדש",(H24-G24)/G24)</f>
        <v>-0.5</v>
      </c>
      <c r="K24" s="7" t="str">
        <f aca="false">IF(AND(C24&gt;0,D24=0),"הופסק ב-2026",IF(AND(C24=0,D24&gt;0),"חדש ב-2026",IF(AND(C24&gt;0,C24&lt;10),"בסיס 2025 זניח (&lt;10 יח׳) - % לא אינפורמטיבי","")))</f>
        <v/>
      </c>
    </row>
    <row r="25" customFormat="false" ht="15" hidden="false" customHeight="false" outlineLevel="0" collapsed="false">
      <c r="A25" s="7" t="s">
        <v>49</v>
      </c>
      <c r="B25" s="7" t="s">
        <v>50</v>
      </c>
      <c r="C25" s="8" t="n">
        <f aca="false">SUMIF('מקור 2025'!$D:$D,$A25,'מקור 2025'!$J:$J)</f>
        <v>80</v>
      </c>
      <c r="D25" s="8" t="n">
        <f aca="false">SUMIF('מקור 2026'!$D:$D,$A25,'מקור 2026'!$J:$J)</f>
        <v>40</v>
      </c>
      <c r="E25" s="8" t="n">
        <f aca="false">D25-C25</f>
        <v>-40</v>
      </c>
      <c r="F25" s="9" t="n">
        <f aca="false">IF(C25=0,"מוצר חדש",(D25-C25)/C25)</f>
        <v>-0.5</v>
      </c>
      <c r="G25" s="10" t="n">
        <f aca="false">SUMIF('מקור 2025'!$D:$D,$A25,'מקור 2025'!$L:$L)</f>
        <v>304</v>
      </c>
      <c r="H25" s="10" t="n">
        <f aca="false">SUMIF('מקור 2026'!$D:$D,$A25,'מקור 2026'!$L:$L)</f>
        <v>152</v>
      </c>
      <c r="I25" s="10" t="n">
        <f aca="false">H25-G25</f>
        <v>-152</v>
      </c>
      <c r="J25" s="9" t="n">
        <f aca="false">IF(G25=0,"מוצר חדש",(H25-G25)/G25)</f>
        <v>-0.5</v>
      </c>
      <c r="K25" s="7" t="str">
        <f aca="false">IF(AND(C25&gt;0,D25=0),"הופסק ב-2026",IF(AND(C25=0,D25&gt;0),"חדש ב-2026",IF(AND(C25&gt;0,C25&lt;10),"בסיס 2025 זניח (&lt;10 יח׳) - % לא אינפורמטיבי","")))</f>
        <v/>
      </c>
    </row>
    <row r="26" customFormat="false" ht="15" hidden="false" customHeight="false" outlineLevel="0" collapsed="false">
      <c r="A26" s="7" t="s">
        <v>51</v>
      </c>
      <c r="B26" s="7" t="s">
        <v>52</v>
      </c>
      <c r="C26" s="8" t="n">
        <f aca="false">SUMIF('מקור 2025'!$D:$D,$A26,'מקור 2025'!$J:$J)</f>
        <v>70</v>
      </c>
      <c r="D26" s="8" t="n">
        <f aca="false">SUMIF('מקור 2026'!$D:$D,$A26,'מקור 2026'!$J:$J)</f>
        <v>60</v>
      </c>
      <c r="E26" s="8" t="n">
        <f aca="false">D26-C26</f>
        <v>-10</v>
      </c>
      <c r="F26" s="9" t="n">
        <f aca="false">IF(C26=0,"מוצר חדש",(D26-C26)/C26)</f>
        <v>-0.142857142857143</v>
      </c>
      <c r="G26" s="10" t="n">
        <f aca="false">SUMIF('מקור 2025'!$D:$D,$A26,'מקור 2025'!$L:$L)</f>
        <v>710.5</v>
      </c>
      <c r="H26" s="10" t="n">
        <f aca="false">SUMIF('מקור 2026'!$D:$D,$A26,'מקור 2026'!$L:$L)</f>
        <v>609</v>
      </c>
      <c r="I26" s="10" t="n">
        <f aca="false">H26-G26</f>
        <v>-101.5</v>
      </c>
      <c r="J26" s="9" t="n">
        <f aca="false">IF(G26=0,"מוצר חדש",(H26-G26)/G26)</f>
        <v>-0.142857142857143</v>
      </c>
      <c r="K26" s="7" t="str">
        <f aca="false">IF(AND(C26&gt;0,D26=0),"הופסק ב-2026",IF(AND(C26=0,D26&gt;0),"חדש ב-2026",IF(AND(C26&gt;0,C26&lt;10),"בסיס 2025 זניח (&lt;10 יח׳) - % לא אינפורמטיבי","")))</f>
        <v/>
      </c>
    </row>
    <row r="27" customFormat="false" ht="15" hidden="false" customHeight="false" outlineLevel="0" collapsed="false">
      <c r="A27" s="7" t="s">
        <v>53</v>
      </c>
      <c r="B27" s="7" t="s">
        <v>54</v>
      </c>
      <c r="C27" s="8" t="n">
        <f aca="false">SUMIF('מקור 2025'!$D:$D,$A27,'מקור 2025'!$J:$J)</f>
        <v>0</v>
      </c>
      <c r="D27" s="8" t="n">
        <f aca="false">SUMIF('מקור 2026'!$D:$D,$A27,'מקור 2026'!$J:$J)</f>
        <v>40</v>
      </c>
      <c r="E27" s="8" t="n">
        <f aca="false">D27-C27</f>
        <v>40</v>
      </c>
      <c r="F27" s="9" t="str">
        <f aca="false">IF(C27=0,"מוצר חדש",(D27-C27)/C27)</f>
        <v>מוצר חדש</v>
      </c>
      <c r="G27" s="10" t="n">
        <f aca="false">SUMIF('מקור 2025'!$D:$D,$A27,'מקור 2025'!$L:$L)</f>
        <v>0</v>
      </c>
      <c r="H27" s="10" t="n">
        <f aca="false">SUMIF('מקור 2026'!$D:$D,$A27,'מקור 2026'!$L:$L)</f>
        <v>74</v>
      </c>
      <c r="I27" s="10" t="n">
        <f aca="false">H27-G27</f>
        <v>74</v>
      </c>
      <c r="J27" s="9" t="str">
        <f aca="false">IF(G27=0,"מוצר חדש",(H27-G27)/G27)</f>
        <v>מוצר חדש</v>
      </c>
      <c r="K27" s="7" t="str">
        <f aca="false">IF(AND(C27&gt;0,D27=0),"הופסק ב-2026",IF(AND(C27=0,D27&gt;0),"חדש ב-2026",IF(AND(C27&gt;0,C27&lt;10),"בסיס 2025 זניח (&lt;10 יח׳) - % לא אינפורמטיבי","")))</f>
        <v>חדש ב-2026</v>
      </c>
    </row>
    <row r="28" customFormat="false" ht="15" hidden="false" customHeight="false" outlineLevel="0" collapsed="false">
      <c r="A28" s="7" t="s">
        <v>55</v>
      </c>
      <c r="B28" s="7" t="s">
        <v>56</v>
      </c>
      <c r="C28" s="8" t="n">
        <f aca="false">SUMIF('מקור 2025'!$D:$D,$A28,'מקור 2025'!$J:$J)</f>
        <v>110</v>
      </c>
      <c r="D28" s="8" t="n">
        <f aca="false">SUMIF('מקור 2026'!$D:$D,$A28,'מקור 2026'!$J:$J)</f>
        <v>120</v>
      </c>
      <c r="E28" s="8" t="n">
        <f aca="false">D28-C28</f>
        <v>10</v>
      </c>
      <c r="F28" s="9" t="n">
        <f aca="false">IF(C28=0,"מוצר חדש",(D28-C28)/C28)</f>
        <v>0.0909090909090909</v>
      </c>
      <c r="G28" s="10" t="n">
        <f aca="false">SUMIF('מקור 2025'!$D:$D,$A28,'מקור 2025'!$L:$L)</f>
        <v>693</v>
      </c>
      <c r="H28" s="10" t="n">
        <f aca="false">SUMIF('מקור 2026'!$D:$D,$A28,'מקור 2026'!$L:$L)</f>
        <v>756</v>
      </c>
      <c r="I28" s="10" t="n">
        <f aca="false">H28-G28</f>
        <v>63</v>
      </c>
      <c r="J28" s="9" t="n">
        <f aca="false">IF(G28=0,"מוצר חדש",(H28-G28)/G28)</f>
        <v>0.0909090909090909</v>
      </c>
      <c r="K28" s="7" t="str">
        <f aca="false">IF(AND(C28&gt;0,D28=0),"הופסק ב-2026",IF(AND(C28=0,D28&gt;0),"חדש ב-2026",IF(AND(C28&gt;0,C28&lt;10),"בסיס 2025 זניח (&lt;10 יח׳) - % לא אינפורמטיבי","")))</f>
        <v/>
      </c>
    </row>
    <row r="29" customFormat="false" ht="15" hidden="false" customHeight="false" outlineLevel="0" collapsed="false">
      <c r="A29" s="7" t="s">
        <v>57</v>
      </c>
      <c r="B29" s="7" t="s">
        <v>58</v>
      </c>
      <c r="C29" s="8" t="n">
        <f aca="false">SUMIF('מקור 2025'!$D:$D,$A29,'מקור 2025'!$J:$J)</f>
        <v>20</v>
      </c>
      <c r="D29" s="8" t="n">
        <f aca="false">SUMIF('מקור 2026'!$D:$D,$A29,'מקור 2026'!$J:$J)</f>
        <v>0</v>
      </c>
      <c r="E29" s="8" t="n">
        <f aca="false">D29-C29</f>
        <v>-20</v>
      </c>
      <c r="F29" s="9" t="n">
        <f aca="false">IF(C29=0,"מוצר חדש",(D29-C29)/C29)</f>
        <v>-1</v>
      </c>
      <c r="G29" s="10" t="n">
        <f aca="false">SUMIF('מקור 2025'!$D:$D,$A29,'מקור 2025'!$L:$L)</f>
        <v>30</v>
      </c>
      <c r="H29" s="10" t="n">
        <f aca="false">SUMIF('מקור 2026'!$D:$D,$A29,'מקור 2026'!$L:$L)</f>
        <v>0</v>
      </c>
      <c r="I29" s="10" t="n">
        <f aca="false">H29-G29</f>
        <v>-30</v>
      </c>
      <c r="J29" s="9" t="n">
        <f aca="false">IF(G29=0,"מוצר חדש",(H29-G29)/G29)</f>
        <v>-1</v>
      </c>
      <c r="K29" s="7" t="str">
        <f aca="false">IF(AND(C29&gt;0,D29=0),"הופסק ב-2026",IF(AND(C29=0,D29&gt;0),"חדש ב-2026",IF(AND(C29&gt;0,C29&lt;10),"בסיס 2025 זניח (&lt;10 יח׳) - % לא אינפורמטיבי","")))</f>
        <v>הופסק ב-2026</v>
      </c>
    </row>
    <row r="30" customFormat="false" ht="15" hidden="false" customHeight="false" outlineLevel="0" collapsed="false">
      <c r="A30" s="7" t="s">
        <v>59</v>
      </c>
      <c r="B30" s="7" t="s">
        <v>60</v>
      </c>
      <c r="C30" s="8" t="n">
        <f aca="false">SUMIF('מקור 2025'!$D:$D,$A30,'מקור 2025'!$J:$J)</f>
        <v>1</v>
      </c>
      <c r="D30" s="8" t="n">
        <f aca="false">SUMIF('מקור 2026'!$D:$D,$A30,'מקור 2026'!$J:$J)</f>
        <v>0</v>
      </c>
      <c r="E30" s="8" t="n">
        <f aca="false">D30-C30</f>
        <v>-1</v>
      </c>
      <c r="F30" s="9" t="n">
        <f aca="false">IF(C30=0,"מוצר חדש",(D30-C30)/C30)</f>
        <v>-1</v>
      </c>
      <c r="G30" s="10" t="n">
        <f aca="false">SUMIF('מקור 2025'!$D:$D,$A30,'מקור 2025'!$L:$L)</f>
        <v>17.2</v>
      </c>
      <c r="H30" s="10" t="n">
        <f aca="false">SUMIF('מקור 2026'!$D:$D,$A30,'מקור 2026'!$L:$L)</f>
        <v>0</v>
      </c>
      <c r="I30" s="10" t="n">
        <f aca="false">H30-G30</f>
        <v>-17.2</v>
      </c>
      <c r="J30" s="9" t="n">
        <f aca="false">IF(G30=0,"מוצר חדש",(H30-G30)/G30)</f>
        <v>-1</v>
      </c>
      <c r="K30" s="7" t="str">
        <f aca="false">IF(AND(C30&gt;0,D30=0),"הופסק ב-2026",IF(AND(C30=0,D30&gt;0),"חדש ב-2026",IF(AND(C30&gt;0,C30&lt;10),"בסיס 2025 זניח (&lt;10 יח׳) - % לא אינפורמטיבי","")))</f>
        <v>הופסק ב-2026</v>
      </c>
    </row>
    <row r="31" customFormat="false" ht="15" hidden="false" customHeight="false" outlineLevel="0" collapsed="false">
      <c r="A31" s="7" t="s">
        <v>61</v>
      </c>
      <c r="B31" s="7" t="s">
        <v>62</v>
      </c>
      <c r="C31" s="8" t="n">
        <f aca="false">SUMIF('מקור 2025'!$D:$D,$A31,'מקור 2025'!$J:$J)</f>
        <v>2</v>
      </c>
      <c r="D31" s="8" t="n">
        <f aca="false">SUMIF('מקור 2026'!$D:$D,$A31,'מקור 2026'!$J:$J)</f>
        <v>0</v>
      </c>
      <c r="E31" s="8" t="n">
        <f aca="false">D31-C31</f>
        <v>-2</v>
      </c>
      <c r="F31" s="9" t="n">
        <f aca="false">IF(C31=0,"מוצר חדש",(D31-C31)/C31)</f>
        <v>-1</v>
      </c>
      <c r="G31" s="10" t="n">
        <f aca="false">SUMIF('מקור 2025'!$D:$D,$A31,'מקור 2025'!$L:$L)</f>
        <v>0.02</v>
      </c>
      <c r="H31" s="10" t="n">
        <f aca="false">SUMIF('מקור 2026'!$D:$D,$A31,'מקור 2026'!$L:$L)</f>
        <v>0</v>
      </c>
      <c r="I31" s="10" t="n">
        <f aca="false">H31-G31</f>
        <v>-0.02</v>
      </c>
      <c r="J31" s="9" t="n">
        <f aca="false">IF(G31=0,"מוצר חדש",(H31-G31)/G31)</f>
        <v>-1</v>
      </c>
      <c r="K31" s="7" t="str">
        <f aca="false">IF(AND(C31&gt;0,D31=0),"הופסק ב-2026",IF(AND(C31=0,D31&gt;0),"חדש ב-2026",IF(AND(C31&gt;0,C31&lt;10),"בסיס 2025 זניח (&lt;10 יח׳) - % לא אינפורמטיבי","")))</f>
        <v>הופסק ב-2026</v>
      </c>
    </row>
    <row r="32" customFormat="false" ht="15" hidden="false" customHeight="false" outlineLevel="0" collapsed="false">
      <c r="A32" s="7" t="s">
        <v>63</v>
      </c>
      <c r="B32" s="7" t="s">
        <v>64</v>
      </c>
      <c r="C32" s="8" t="n">
        <f aca="false">SUMIF('מקור 2025'!$D:$D,$A32,'מקור 2025'!$J:$J)</f>
        <v>1</v>
      </c>
      <c r="D32" s="8" t="n">
        <f aca="false">SUMIF('מקור 2026'!$D:$D,$A32,'מקור 2026'!$J:$J)</f>
        <v>0</v>
      </c>
      <c r="E32" s="8" t="n">
        <f aca="false">D32-C32</f>
        <v>-1</v>
      </c>
      <c r="F32" s="9" t="n">
        <f aca="false">IF(C32=0,"מוצר חדש",(D32-C32)/C32)</f>
        <v>-1</v>
      </c>
      <c r="G32" s="10" t="n">
        <f aca="false">SUMIF('מקור 2025'!$D:$D,$A32,'מקור 2025'!$L:$L)</f>
        <v>0.01</v>
      </c>
      <c r="H32" s="10" t="n">
        <f aca="false">SUMIF('מקור 2026'!$D:$D,$A32,'מקור 2026'!$L:$L)</f>
        <v>0</v>
      </c>
      <c r="I32" s="10" t="n">
        <f aca="false">H32-G32</f>
        <v>-0.01</v>
      </c>
      <c r="J32" s="9" t="n">
        <f aca="false">IF(G32=0,"מוצר חדש",(H32-G32)/G32)</f>
        <v>-1</v>
      </c>
      <c r="K32" s="7" t="str">
        <f aca="false">IF(AND(C32&gt;0,D32=0),"הופסק ב-2026",IF(AND(C32=0,D32&gt;0),"חדש ב-2026",IF(AND(C32&gt;0,C32&lt;10),"בסיס 2025 זניח (&lt;10 יח׳) - % לא אינפורמטיבי","")))</f>
        <v>הופסק ב-2026</v>
      </c>
    </row>
    <row r="33" customFormat="false" ht="15" hidden="false" customHeight="false" outlineLevel="0" collapsed="false">
      <c r="A33" s="7" t="s">
        <v>65</v>
      </c>
      <c r="B33" s="7" t="s">
        <v>66</v>
      </c>
      <c r="C33" s="8" t="n">
        <f aca="false">SUMIF('מקור 2025'!$D:$D,$A33,'מקור 2025'!$J:$J)</f>
        <v>20</v>
      </c>
      <c r="D33" s="8" t="n">
        <f aca="false">SUMIF('מקור 2026'!$D:$D,$A33,'מקור 2026'!$J:$J)</f>
        <v>20</v>
      </c>
      <c r="E33" s="8" t="n">
        <f aca="false">D33-C33</f>
        <v>0</v>
      </c>
      <c r="F33" s="9" t="n">
        <f aca="false">IF(C33=0,"מוצר חדש",(D33-C33)/C33)</f>
        <v>0</v>
      </c>
      <c r="G33" s="10" t="n">
        <f aca="false">SUMIF('מקור 2025'!$D:$D,$A33,'מקור 2025'!$L:$L)</f>
        <v>93</v>
      </c>
      <c r="H33" s="10" t="n">
        <f aca="false">SUMIF('מקור 2026'!$D:$D,$A33,'מקור 2026'!$L:$L)</f>
        <v>93</v>
      </c>
      <c r="I33" s="10" t="n">
        <f aca="false">H33-G33</f>
        <v>0</v>
      </c>
      <c r="J33" s="9" t="n">
        <f aca="false">IF(G33=0,"מוצר חדש",(H33-G33)/G33)</f>
        <v>0</v>
      </c>
      <c r="K33" s="7" t="str">
        <f aca="false">IF(AND(C33&gt;0,D33=0),"הופסק ב-2026",IF(AND(C33=0,D33&gt;0),"חדש ב-2026",IF(AND(C33&gt;0,C33&lt;10),"בסיס 2025 זניח (&lt;10 יח׳) - % לא אינפורמטיבי","")))</f>
        <v/>
      </c>
    </row>
    <row r="34" customFormat="false" ht="15" hidden="false" customHeight="false" outlineLevel="0" collapsed="false">
      <c r="A34" s="11" t="s">
        <v>67</v>
      </c>
      <c r="B34" s="11"/>
      <c r="C34" s="12" t="n">
        <f aca="false">SUM(C7:C33)</f>
        <v>2980</v>
      </c>
      <c r="D34" s="12" t="n">
        <f aca="false">SUM(D7:D33)</f>
        <v>1630</v>
      </c>
      <c r="E34" s="12" t="n">
        <f aca="false">D34-C34</f>
        <v>-1350</v>
      </c>
      <c r="F34" s="13" t="n">
        <f aca="false">IF(C34=0,"",(D34-C34)/C34)</f>
        <v>-0.453020134228188</v>
      </c>
      <c r="G34" s="14" t="n">
        <f aca="false">SUM(G7:G33)</f>
        <v>15927.49</v>
      </c>
      <c r="H34" s="14" t="n">
        <f aca="false">SUM(H7:H33)</f>
        <v>9257</v>
      </c>
      <c r="I34" s="14" t="n">
        <f aca="false">H34-G34</f>
        <v>-6670.49</v>
      </c>
      <c r="J34" s="13" t="n">
        <f aca="false">IF(G34=0,"",(H34-G34)/G34)</f>
        <v>-0.418803590521796</v>
      </c>
      <c r="K34" s="11"/>
    </row>
  </sheetData>
  <mergeCells count="1">
    <mergeCell ref="A4:K4"/>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M88"/>
  <sheetViews>
    <sheetView showFormulas="false" showGridLines="true" showRowColHeaders="true" showZeros="true" rightToLeft="true" tabSelected="false" showOutlineSymbols="true" defaultGridColor="true" view="normal" topLeftCell="A1" colorId="64" zoomScale="100" zoomScaleNormal="100" zoomScalePageLayoutView="100" workbookViewId="0">
      <pane xSplit="0" ySplit="2" topLeftCell="A3" activePane="bottomLeft" state="frozen"/>
      <selection pane="topLeft" activeCell="A1" activeCellId="0" sqref="A1"/>
      <selection pane="bottomLeft" activeCell="A1" activeCellId="0" sqref="A1"/>
    </sheetView>
  </sheetViews>
  <sheetFormatPr defaultColWidth="8.5390625" defaultRowHeight="15" zeroHeight="false" outlineLevelRow="0" outlineLevelCol="0"/>
  <cols>
    <col collapsed="false" customWidth="true" hidden="false" outlineLevel="0" max="1" min="1" style="0" width="13"/>
    <col collapsed="false" customWidth="true" hidden="false" outlineLevel="0" max="2" min="2" style="0" width="10"/>
    <col collapsed="false" customWidth="true" hidden="false" outlineLevel="0" max="3" min="3" style="0" width="12"/>
    <col collapsed="false" customWidth="true" hidden="false" outlineLevel="0" max="4" min="4" style="0" width="10"/>
    <col collapsed="false" customWidth="true" hidden="false" outlineLevel="0" max="5" min="5" style="0" width="24"/>
    <col collapsed="false" customWidth="true" hidden="false" outlineLevel="0" max="6" min="6" style="0" width="14"/>
    <col collapsed="false" customWidth="true" hidden="false" outlineLevel="0" max="7" min="7" style="0" width="22"/>
    <col collapsed="false" customWidth="true" hidden="false" outlineLevel="0" max="8" min="8" style="0" width="14"/>
    <col collapsed="false" customWidth="true" hidden="false" outlineLevel="0" max="9" min="9" style="0" width="10"/>
    <col collapsed="false" customWidth="true" hidden="false" outlineLevel="0" max="10" min="10" style="0" width="12"/>
    <col collapsed="false" customWidth="true" hidden="false" outlineLevel="0" max="11" min="11" style="0" width="16"/>
    <col collapsed="false" customWidth="true" hidden="false" outlineLevel="0" max="12" min="12" style="0" width="29"/>
    <col collapsed="false" customWidth="true" hidden="false" outlineLevel="0" max="13" min="13" style="0" width="30"/>
  </cols>
  <sheetData>
    <row r="1" customFormat="false" ht="15" hidden="false" customHeight="false" outlineLevel="0" collapsed="false">
      <c r="A1" s="2" t="s">
        <v>68</v>
      </c>
    </row>
    <row r="2" customFormat="false" ht="15" hidden="false" customHeight="false" outlineLevel="0" collapsed="false">
      <c r="A2" s="6" t="s">
        <v>69</v>
      </c>
      <c r="B2" s="6" t="s">
        <v>70</v>
      </c>
      <c r="C2" s="6" t="s">
        <v>71</v>
      </c>
      <c r="D2" s="6" t="s">
        <v>4</v>
      </c>
      <c r="E2" s="6" t="s">
        <v>72</v>
      </c>
      <c r="F2" s="6" t="s">
        <v>73</v>
      </c>
      <c r="G2" s="6" t="s">
        <v>74</v>
      </c>
      <c r="H2" s="6" t="s">
        <v>75</v>
      </c>
      <c r="I2" s="6" t="s">
        <v>76</v>
      </c>
      <c r="J2" s="6" t="s">
        <v>77</v>
      </c>
      <c r="K2" s="6" t="s">
        <v>78</v>
      </c>
      <c r="L2" s="6" t="s">
        <v>79</v>
      </c>
      <c r="M2" s="6" t="s">
        <v>80</v>
      </c>
    </row>
    <row r="3" customFormat="false" ht="15" hidden="false" customHeight="false" outlineLevel="0" collapsed="false">
      <c r="B3" s="0" t="n">
        <v>160136</v>
      </c>
      <c r="C3" s="0" t="s">
        <v>81</v>
      </c>
      <c r="D3" s="0" t="s">
        <v>55</v>
      </c>
      <c r="E3" s="0" t="s">
        <v>82</v>
      </c>
      <c r="F3" s="0" t="s">
        <v>83</v>
      </c>
      <c r="G3" s="0" t="s">
        <v>56</v>
      </c>
      <c r="H3" s="0" t="n">
        <v>23.28606</v>
      </c>
      <c r="I3" s="0" t="n">
        <v>698.58</v>
      </c>
      <c r="J3" s="0" t="n">
        <v>30</v>
      </c>
      <c r="K3" s="0" t="n">
        <v>698.58</v>
      </c>
      <c r="L3" s="0" t="n">
        <v>189</v>
      </c>
      <c r="M3" s="0" t="n">
        <v>6.3</v>
      </c>
    </row>
    <row r="4" customFormat="false" ht="15" hidden="false" customHeight="false" outlineLevel="0" collapsed="false">
      <c r="B4" s="0" t="n">
        <v>160136</v>
      </c>
      <c r="C4" s="0" t="s">
        <v>81</v>
      </c>
      <c r="D4" s="0" t="s">
        <v>55</v>
      </c>
      <c r="E4" s="0" t="s">
        <v>82</v>
      </c>
      <c r="F4" s="0" t="s">
        <v>83</v>
      </c>
      <c r="G4" s="0" t="s">
        <v>56</v>
      </c>
      <c r="H4" s="0" t="n">
        <v>25.20756</v>
      </c>
      <c r="I4" s="0" t="n">
        <v>1008.3</v>
      </c>
      <c r="J4" s="0" t="n">
        <v>40</v>
      </c>
      <c r="K4" s="0" t="n">
        <v>1008.3</v>
      </c>
      <c r="L4" s="0" t="n">
        <v>252</v>
      </c>
      <c r="M4" s="0" t="n">
        <v>6.3</v>
      </c>
    </row>
    <row r="5" customFormat="false" ht="15" hidden="false" customHeight="false" outlineLevel="0" collapsed="false">
      <c r="B5" s="0" t="n">
        <v>160136</v>
      </c>
      <c r="C5" s="0" t="s">
        <v>81</v>
      </c>
      <c r="D5" s="0" t="s">
        <v>55</v>
      </c>
      <c r="E5" s="0" t="s">
        <v>82</v>
      </c>
      <c r="F5" s="0" t="s">
        <v>83</v>
      </c>
      <c r="G5" s="0" t="s">
        <v>56</v>
      </c>
      <c r="H5" s="0" t="n">
        <v>23.93496</v>
      </c>
      <c r="I5" s="0" t="n">
        <v>957.4</v>
      </c>
      <c r="J5" s="0" t="n">
        <v>40</v>
      </c>
      <c r="K5" s="0" t="n">
        <v>957.4</v>
      </c>
      <c r="L5" s="0" t="n">
        <v>252</v>
      </c>
      <c r="M5" s="0" t="n">
        <v>6.3</v>
      </c>
    </row>
    <row r="6" customFormat="false" ht="15" hidden="false" customHeight="false" outlineLevel="0" collapsed="false">
      <c r="B6" s="0" t="n">
        <v>160136</v>
      </c>
      <c r="C6" s="0" t="s">
        <v>81</v>
      </c>
      <c r="D6" s="0" t="s">
        <v>51</v>
      </c>
      <c r="E6" s="0" t="s">
        <v>84</v>
      </c>
      <c r="F6" s="0" t="s">
        <v>85</v>
      </c>
      <c r="G6" s="0" t="s">
        <v>52</v>
      </c>
      <c r="H6" s="0" t="n">
        <v>38.56188</v>
      </c>
      <c r="I6" s="0" t="n">
        <v>771.24</v>
      </c>
      <c r="J6" s="0" t="n">
        <v>20</v>
      </c>
      <c r="K6" s="0" t="n">
        <v>771.24</v>
      </c>
      <c r="L6" s="0" t="n">
        <v>203</v>
      </c>
      <c r="M6" s="0" t="n">
        <v>10.15</v>
      </c>
    </row>
    <row r="7" customFormat="false" ht="15" hidden="false" customHeight="false" outlineLevel="0" collapsed="false">
      <c r="B7" s="0" t="n">
        <v>160136</v>
      </c>
      <c r="C7" s="0" t="s">
        <v>81</v>
      </c>
      <c r="D7" s="0" t="s">
        <v>51</v>
      </c>
      <c r="E7" s="0" t="s">
        <v>86</v>
      </c>
      <c r="F7" s="0" t="s">
        <v>87</v>
      </c>
      <c r="G7" s="0" t="s">
        <v>52</v>
      </c>
      <c r="H7" s="0" t="n">
        <v>40.61218</v>
      </c>
      <c r="I7" s="0" t="n">
        <v>812.24</v>
      </c>
      <c r="J7" s="0" t="n">
        <v>20</v>
      </c>
      <c r="K7" s="0" t="n">
        <v>812.24</v>
      </c>
      <c r="L7" s="0" t="n">
        <v>203</v>
      </c>
      <c r="M7" s="0" t="n">
        <v>10.15</v>
      </c>
    </row>
    <row r="8" customFormat="false" ht="15" hidden="false" customHeight="false" outlineLevel="0" collapsed="false">
      <c r="B8" s="0" t="n">
        <v>160136</v>
      </c>
      <c r="C8" s="0" t="s">
        <v>81</v>
      </c>
      <c r="D8" s="0" t="s">
        <v>51</v>
      </c>
      <c r="E8" s="0" t="s">
        <v>86</v>
      </c>
      <c r="F8" s="0" t="s">
        <v>87</v>
      </c>
      <c r="G8" s="0" t="s">
        <v>52</v>
      </c>
      <c r="H8" s="0" t="n">
        <v>38.56188</v>
      </c>
      <c r="I8" s="0" t="n">
        <v>771.24</v>
      </c>
      <c r="J8" s="0" t="n">
        <v>20</v>
      </c>
      <c r="K8" s="0" t="n">
        <v>771.24</v>
      </c>
      <c r="L8" s="0" t="n">
        <v>203</v>
      </c>
      <c r="M8" s="0" t="n">
        <v>10.15</v>
      </c>
    </row>
    <row r="9" customFormat="false" ht="15" hidden="false" customHeight="false" outlineLevel="0" collapsed="false">
      <c r="B9" s="0" t="n">
        <v>160136</v>
      </c>
      <c r="C9" s="0" t="s">
        <v>81</v>
      </c>
      <c r="D9" s="0" t="s">
        <v>51</v>
      </c>
      <c r="E9" s="0" t="s">
        <v>88</v>
      </c>
      <c r="F9" s="0" t="s">
        <v>89</v>
      </c>
      <c r="G9" s="0" t="s">
        <v>52</v>
      </c>
      <c r="H9" s="0" t="n">
        <v>38.56188</v>
      </c>
      <c r="I9" s="0" t="n">
        <v>385.62</v>
      </c>
      <c r="J9" s="0" t="n">
        <v>10</v>
      </c>
      <c r="K9" s="0" t="n">
        <v>385.62</v>
      </c>
      <c r="L9" s="0" t="n">
        <v>101.5</v>
      </c>
      <c r="M9" s="0" t="n">
        <v>10.15</v>
      </c>
    </row>
    <row r="10" customFormat="false" ht="15" hidden="false" customHeight="false" outlineLevel="0" collapsed="false">
      <c r="B10" s="0" t="n">
        <v>160136</v>
      </c>
      <c r="C10" s="0" t="s">
        <v>81</v>
      </c>
      <c r="D10" s="0" t="s">
        <v>35</v>
      </c>
      <c r="E10" s="0" t="s">
        <v>90</v>
      </c>
      <c r="F10" s="0" t="s">
        <v>91</v>
      </c>
      <c r="G10" s="0" t="s">
        <v>36</v>
      </c>
      <c r="H10" s="0" t="n">
        <v>11.77752</v>
      </c>
      <c r="I10" s="0" t="n">
        <v>353.33</v>
      </c>
      <c r="J10" s="0" t="n">
        <v>30</v>
      </c>
      <c r="K10" s="0" t="n">
        <v>353.33</v>
      </c>
      <c r="L10" s="0" t="n">
        <v>93</v>
      </c>
      <c r="M10" s="0" t="n">
        <v>3.1</v>
      </c>
    </row>
    <row r="11" customFormat="false" ht="15" hidden="false" customHeight="false" outlineLevel="0" collapsed="false">
      <c r="B11" s="0" t="n">
        <v>160136</v>
      </c>
      <c r="C11" s="0" t="s">
        <v>81</v>
      </c>
      <c r="D11" s="0" t="s">
        <v>35</v>
      </c>
      <c r="E11" s="0" t="s">
        <v>90</v>
      </c>
      <c r="F11" s="0" t="s">
        <v>91</v>
      </c>
      <c r="G11" s="0" t="s">
        <v>36</v>
      </c>
      <c r="H11" s="0" t="n">
        <v>11.45822</v>
      </c>
      <c r="I11" s="0" t="n">
        <v>114.58</v>
      </c>
      <c r="J11" s="0" t="n">
        <v>10</v>
      </c>
      <c r="K11" s="0" t="n">
        <v>114.58</v>
      </c>
      <c r="L11" s="0" t="n">
        <v>31</v>
      </c>
      <c r="M11" s="0" t="n">
        <v>3.1</v>
      </c>
    </row>
    <row r="12" customFormat="false" ht="15" hidden="false" customHeight="false" outlineLevel="0" collapsed="false">
      <c r="B12" s="0" t="n">
        <v>160136</v>
      </c>
      <c r="C12" s="0" t="s">
        <v>81</v>
      </c>
      <c r="D12" s="0" t="s">
        <v>35</v>
      </c>
      <c r="E12" s="0" t="s">
        <v>92</v>
      </c>
      <c r="F12" s="0" t="s">
        <v>93</v>
      </c>
      <c r="G12" s="0" t="s">
        <v>36</v>
      </c>
      <c r="H12" s="0" t="n">
        <v>11.45822</v>
      </c>
      <c r="I12" s="0" t="n">
        <v>229.16</v>
      </c>
      <c r="J12" s="0" t="n">
        <v>20</v>
      </c>
      <c r="K12" s="0" t="n">
        <v>229.16</v>
      </c>
      <c r="L12" s="0" t="n">
        <v>62</v>
      </c>
      <c r="M12" s="0" t="n">
        <v>3.1</v>
      </c>
    </row>
    <row r="13" customFormat="false" ht="15" hidden="false" customHeight="false" outlineLevel="0" collapsed="false">
      <c r="B13" s="0" t="n">
        <v>160136</v>
      </c>
      <c r="C13" s="0" t="s">
        <v>81</v>
      </c>
      <c r="D13" s="0" t="s">
        <v>35</v>
      </c>
      <c r="E13" s="0" t="s">
        <v>92</v>
      </c>
      <c r="F13" s="0" t="s">
        <v>93</v>
      </c>
      <c r="G13" s="0" t="s">
        <v>36</v>
      </c>
      <c r="H13" s="0" t="n">
        <v>11.77752</v>
      </c>
      <c r="I13" s="0" t="n">
        <v>235.55</v>
      </c>
      <c r="J13" s="0" t="n">
        <v>20</v>
      </c>
      <c r="K13" s="0" t="n">
        <v>235.55</v>
      </c>
      <c r="L13" s="0" t="n">
        <v>62</v>
      </c>
      <c r="M13" s="0" t="n">
        <v>3.1</v>
      </c>
    </row>
    <row r="14" customFormat="false" ht="15" hidden="false" customHeight="false" outlineLevel="0" collapsed="false">
      <c r="B14" s="0" t="n">
        <v>160136</v>
      </c>
      <c r="C14" s="0" t="s">
        <v>81</v>
      </c>
      <c r="D14" s="0" t="s">
        <v>35</v>
      </c>
      <c r="E14" s="0" t="s">
        <v>94</v>
      </c>
      <c r="F14" s="0" t="s">
        <v>95</v>
      </c>
      <c r="G14" s="0" t="s">
        <v>36</v>
      </c>
      <c r="H14" s="0" t="n">
        <v>11.77752</v>
      </c>
      <c r="I14" s="0" t="n">
        <v>235.55</v>
      </c>
      <c r="J14" s="0" t="n">
        <v>20</v>
      </c>
      <c r="K14" s="0" t="n">
        <v>235.55</v>
      </c>
      <c r="L14" s="0" t="n">
        <v>62</v>
      </c>
      <c r="M14" s="0" t="n">
        <v>3.1</v>
      </c>
    </row>
    <row r="15" customFormat="false" ht="15" hidden="false" customHeight="false" outlineLevel="0" collapsed="false">
      <c r="B15" s="0" t="n">
        <v>160136</v>
      </c>
      <c r="C15" s="0" t="s">
        <v>81</v>
      </c>
      <c r="D15" s="0" t="s">
        <v>35</v>
      </c>
      <c r="E15" s="0" t="s">
        <v>94</v>
      </c>
      <c r="F15" s="0" t="s">
        <v>95</v>
      </c>
      <c r="G15" s="0" t="s">
        <v>36</v>
      </c>
      <c r="H15" s="0" t="n">
        <v>11.45822</v>
      </c>
      <c r="I15" s="0" t="n">
        <v>114.58</v>
      </c>
      <c r="J15" s="0" t="n">
        <v>10</v>
      </c>
      <c r="K15" s="0" t="n">
        <v>114.58</v>
      </c>
      <c r="L15" s="0" t="n">
        <v>31</v>
      </c>
      <c r="M15" s="0" t="n">
        <v>3.1</v>
      </c>
    </row>
    <row r="16" customFormat="false" ht="15" hidden="false" customHeight="false" outlineLevel="0" collapsed="false">
      <c r="B16" s="0" t="n">
        <v>160136</v>
      </c>
      <c r="C16" s="0" t="s">
        <v>81</v>
      </c>
      <c r="D16" s="0" t="s">
        <v>35</v>
      </c>
      <c r="E16" s="0" t="s">
        <v>96</v>
      </c>
      <c r="F16" s="0" t="s">
        <v>97</v>
      </c>
      <c r="G16" s="0" t="s">
        <v>36</v>
      </c>
      <c r="H16" s="0" t="n">
        <v>11.77752</v>
      </c>
      <c r="I16" s="0" t="n">
        <v>117.78</v>
      </c>
      <c r="J16" s="0" t="n">
        <v>10</v>
      </c>
      <c r="K16" s="0" t="n">
        <v>117.78</v>
      </c>
      <c r="L16" s="0" t="n">
        <v>31</v>
      </c>
      <c r="M16" s="0" t="n">
        <v>3.1</v>
      </c>
    </row>
    <row r="17" customFormat="false" ht="15" hidden="false" customHeight="false" outlineLevel="0" collapsed="false">
      <c r="B17" s="0" t="n">
        <v>160136</v>
      </c>
      <c r="C17" s="0" t="s">
        <v>81</v>
      </c>
      <c r="D17" s="0" t="s">
        <v>35</v>
      </c>
      <c r="E17" s="0" t="s">
        <v>96</v>
      </c>
      <c r="F17" s="0" t="s">
        <v>97</v>
      </c>
      <c r="G17" s="0" t="s">
        <v>36</v>
      </c>
      <c r="H17" s="0" t="n">
        <v>11.45822</v>
      </c>
      <c r="I17" s="0" t="n">
        <v>229.16</v>
      </c>
      <c r="J17" s="0" t="n">
        <v>20</v>
      </c>
      <c r="K17" s="0" t="n">
        <v>229.16</v>
      </c>
      <c r="L17" s="0" t="n">
        <v>62</v>
      </c>
      <c r="M17" s="0" t="n">
        <v>3.1</v>
      </c>
    </row>
    <row r="18" customFormat="false" ht="15" hidden="false" customHeight="false" outlineLevel="0" collapsed="false">
      <c r="B18" s="0" t="n">
        <v>160136</v>
      </c>
      <c r="C18" s="0" t="s">
        <v>81</v>
      </c>
      <c r="D18" s="0" t="s">
        <v>35</v>
      </c>
      <c r="E18" s="0" t="s">
        <v>98</v>
      </c>
      <c r="F18" s="0" t="s">
        <v>99</v>
      </c>
      <c r="G18" s="0" t="s">
        <v>36</v>
      </c>
      <c r="H18" s="0" t="n">
        <v>12.40372</v>
      </c>
      <c r="I18" s="0" t="n">
        <v>124.04</v>
      </c>
      <c r="J18" s="0" t="n">
        <v>10</v>
      </c>
      <c r="K18" s="0" t="n">
        <v>124.04</v>
      </c>
      <c r="L18" s="0" t="n">
        <v>31</v>
      </c>
      <c r="M18" s="0" t="n">
        <v>3.1</v>
      </c>
    </row>
    <row r="19" customFormat="false" ht="15" hidden="false" customHeight="false" outlineLevel="0" collapsed="false">
      <c r="B19" s="0" t="n">
        <v>160136</v>
      </c>
      <c r="C19" s="0" t="s">
        <v>81</v>
      </c>
      <c r="D19" s="0" t="s">
        <v>35</v>
      </c>
      <c r="E19" s="0" t="s">
        <v>98</v>
      </c>
      <c r="F19" s="0" t="s">
        <v>99</v>
      </c>
      <c r="G19" s="0" t="s">
        <v>36</v>
      </c>
      <c r="H19" s="0" t="n">
        <v>11.45822</v>
      </c>
      <c r="I19" s="0" t="n">
        <v>57.29</v>
      </c>
      <c r="J19" s="0" t="n">
        <v>5</v>
      </c>
      <c r="K19" s="0" t="n">
        <v>57.29</v>
      </c>
      <c r="L19" s="0" t="n">
        <v>15.5</v>
      </c>
      <c r="M19" s="0" t="n">
        <v>3.1</v>
      </c>
    </row>
    <row r="20" customFormat="false" ht="15" hidden="false" customHeight="false" outlineLevel="0" collapsed="false">
      <c r="B20" s="0" t="n">
        <v>160136</v>
      </c>
      <c r="C20" s="0" t="s">
        <v>81</v>
      </c>
      <c r="D20" s="0" t="s">
        <v>57</v>
      </c>
      <c r="E20" s="0" t="s">
        <v>100</v>
      </c>
      <c r="F20" s="0" t="s">
        <v>101</v>
      </c>
      <c r="G20" s="0" t="s">
        <v>58</v>
      </c>
      <c r="H20" s="0" t="n">
        <v>5.5443</v>
      </c>
      <c r="I20" s="0" t="n">
        <v>110.89</v>
      </c>
      <c r="J20" s="0" t="n">
        <v>20</v>
      </c>
      <c r="K20" s="0" t="n">
        <v>110.89</v>
      </c>
      <c r="L20" s="0" t="n">
        <v>30</v>
      </c>
      <c r="M20" s="0" t="n">
        <v>1.5</v>
      </c>
    </row>
    <row r="21" customFormat="false" ht="15" hidden="false" customHeight="false" outlineLevel="0" collapsed="false">
      <c r="B21" s="0" t="n">
        <v>160136</v>
      </c>
      <c r="C21" s="0" t="s">
        <v>81</v>
      </c>
      <c r="D21" s="0" t="s">
        <v>47</v>
      </c>
      <c r="E21" s="0" t="s">
        <v>102</v>
      </c>
      <c r="F21" s="0" t="s">
        <v>103</v>
      </c>
      <c r="G21" s="0" t="s">
        <v>48</v>
      </c>
      <c r="H21" s="0" t="n">
        <v>14.04556</v>
      </c>
      <c r="I21" s="0" t="n">
        <v>561.82</v>
      </c>
      <c r="J21" s="0" t="n">
        <v>40</v>
      </c>
      <c r="K21" s="0" t="n">
        <v>561.82</v>
      </c>
      <c r="L21" s="0" t="n">
        <v>152</v>
      </c>
      <c r="M21" s="0" t="n">
        <v>3.8</v>
      </c>
    </row>
    <row r="22" customFormat="false" ht="15" hidden="false" customHeight="false" outlineLevel="0" collapsed="false">
      <c r="B22" s="0" t="n">
        <v>160136</v>
      </c>
      <c r="C22" s="0" t="s">
        <v>81</v>
      </c>
      <c r="D22" s="0" t="s">
        <v>47</v>
      </c>
      <c r="E22" s="0" t="s">
        <v>102</v>
      </c>
      <c r="F22" s="0" t="s">
        <v>103</v>
      </c>
      <c r="G22" s="0" t="s">
        <v>48</v>
      </c>
      <c r="H22" s="0" t="n">
        <v>15.20456</v>
      </c>
      <c r="I22" s="0" t="n">
        <v>304.09</v>
      </c>
      <c r="J22" s="0" t="n">
        <v>20</v>
      </c>
      <c r="K22" s="0" t="n">
        <v>304.09</v>
      </c>
      <c r="L22" s="0" t="n">
        <v>76</v>
      </c>
      <c r="M22" s="0" t="n">
        <v>3.8</v>
      </c>
    </row>
    <row r="23" customFormat="false" ht="15" hidden="false" customHeight="false" outlineLevel="0" collapsed="false">
      <c r="B23" s="0" t="n">
        <v>160136</v>
      </c>
      <c r="C23" s="0" t="s">
        <v>81</v>
      </c>
      <c r="D23" s="0" t="s">
        <v>47</v>
      </c>
      <c r="E23" s="0" t="s">
        <v>102</v>
      </c>
      <c r="F23" s="0" t="s">
        <v>103</v>
      </c>
      <c r="G23" s="0" t="s">
        <v>48</v>
      </c>
      <c r="H23" s="0" t="n">
        <v>14.43696</v>
      </c>
      <c r="I23" s="0" t="n">
        <v>288.74</v>
      </c>
      <c r="J23" s="0" t="n">
        <v>20</v>
      </c>
      <c r="K23" s="0" t="n">
        <v>288.74</v>
      </c>
      <c r="L23" s="0" t="n">
        <v>76</v>
      </c>
      <c r="M23" s="0" t="n">
        <v>3.8</v>
      </c>
    </row>
    <row r="24" customFormat="false" ht="15" hidden="false" customHeight="false" outlineLevel="0" collapsed="false">
      <c r="B24" s="0" t="n">
        <v>160136</v>
      </c>
      <c r="C24" s="0" t="s">
        <v>81</v>
      </c>
      <c r="D24" s="0" t="s">
        <v>43</v>
      </c>
      <c r="E24" s="0" t="s">
        <v>104</v>
      </c>
      <c r="F24" s="0" t="s">
        <v>105</v>
      </c>
      <c r="G24" s="0" t="s">
        <v>44</v>
      </c>
      <c r="H24" s="0" t="n">
        <v>16.81771</v>
      </c>
      <c r="I24" s="0" t="n">
        <v>672.71</v>
      </c>
      <c r="J24" s="0" t="n">
        <v>40</v>
      </c>
      <c r="K24" s="0" t="n">
        <v>672.71</v>
      </c>
      <c r="L24" s="0" t="n">
        <v>182</v>
      </c>
      <c r="M24" s="0" t="n">
        <v>4.55</v>
      </c>
    </row>
    <row r="25" customFormat="false" ht="15" hidden="false" customHeight="false" outlineLevel="0" collapsed="false">
      <c r="B25" s="0" t="n">
        <v>160136</v>
      </c>
      <c r="C25" s="0" t="s">
        <v>81</v>
      </c>
      <c r="D25" s="0" t="s">
        <v>37</v>
      </c>
      <c r="E25" s="0" t="s">
        <v>106</v>
      </c>
      <c r="F25" s="0" t="s">
        <v>107</v>
      </c>
      <c r="G25" s="0" t="s">
        <v>38</v>
      </c>
      <c r="H25" s="0" t="n">
        <v>18.60558</v>
      </c>
      <c r="I25" s="0" t="n">
        <v>744.22</v>
      </c>
      <c r="J25" s="0" t="n">
        <v>40</v>
      </c>
      <c r="K25" s="0" t="n">
        <v>744.22</v>
      </c>
      <c r="L25" s="0" t="n">
        <v>186</v>
      </c>
      <c r="M25" s="0" t="n">
        <v>4.65</v>
      </c>
    </row>
    <row r="26" customFormat="false" ht="15" hidden="false" customHeight="false" outlineLevel="0" collapsed="false">
      <c r="B26" s="0" t="n">
        <v>160136</v>
      </c>
      <c r="C26" s="0" t="s">
        <v>81</v>
      </c>
      <c r="D26" s="0" t="s">
        <v>37</v>
      </c>
      <c r="E26" s="0" t="s">
        <v>106</v>
      </c>
      <c r="F26" s="0" t="s">
        <v>107</v>
      </c>
      <c r="G26" s="0" t="s">
        <v>38</v>
      </c>
      <c r="H26" s="0" t="n">
        <v>17.18733</v>
      </c>
      <c r="I26" s="0" t="n">
        <v>687.49</v>
      </c>
      <c r="J26" s="0" t="n">
        <v>40</v>
      </c>
      <c r="K26" s="0" t="n">
        <v>687.49</v>
      </c>
      <c r="L26" s="0" t="n">
        <v>186</v>
      </c>
      <c r="M26" s="0" t="n">
        <v>4.65</v>
      </c>
    </row>
    <row r="27" customFormat="false" ht="15" hidden="false" customHeight="false" outlineLevel="0" collapsed="false">
      <c r="B27" s="0" t="n">
        <v>160136</v>
      </c>
      <c r="C27" s="0" t="s">
        <v>81</v>
      </c>
      <c r="D27" s="0" t="s">
        <v>37</v>
      </c>
      <c r="E27" s="0" t="s">
        <v>106</v>
      </c>
      <c r="F27" s="0" t="s">
        <v>107</v>
      </c>
      <c r="G27" s="0" t="s">
        <v>38</v>
      </c>
      <c r="H27" s="0" t="n">
        <v>17.66628</v>
      </c>
      <c r="I27" s="0" t="n">
        <v>1059.98</v>
      </c>
      <c r="J27" s="0" t="n">
        <v>60</v>
      </c>
      <c r="K27" s="0" t="n">
        <v>1059.98</v>
      </c>
      <c r="L27" s="0" t="n">
        <v>279</v>
      </c>
      <c r="M27" s="0" t="n">
        <v>4.65</v>
      </c>
    </row>
    <row r="28" customFormat="false" ht="15" hidden="false" customHeight="false" outlineLevel="0" collapsed="false">
      <c r="B28" s="0" t="n">
        <v>160136</v>
      </c>
      <c r="C28" s="0" t="s">
        <v>81</v>
      </c>
      <c r="D28" s="0" t="s">
        <v>49</v>
      </c>
      <c r="E28" s="0" t="s">
        <v>108</v>
      </c>
      <c r="F28" s="0" t="s">
        <v>109</v>
      </c>
      <c r="G28" s="0" t="s">
        <v>50</v>
      </c>
      <c r="H28" s="0" t="n">
        <v>14.43696</v>
      </c>
      <c r="I28" s="0" t="n">
        <v>577.48</v>
      </c>
      <c r="J28" s="0" t="n">
        <v>40</v>
      </c>
      <c r="K28" s="0" t="n">
        <v>577.48</v>
      </c>
      <c r="L28" s="0" t="n">
        <v>152</v>
      </c>
      <c r="M28" s="0" t="n">
        <v>3.8</v>
      </c>
    </row>
    <row r="29" customFormat="false" ht="15" hidden="false" customHeight="false" outlineLevel="0" collapsed="false">
      <c r="B29" s="0" t="n">
        <v>160136</v>
      </c>
      <c r="C29" s="0" t="s">
        <v>81</v>
      </c>
      <c r="D29" s="0" t="s">
        <v>49</v>
      </c>
      <c r="E29" s="0" t="s">
        <v>108</v>
      </c>
      <c r="F29" s="0" t="s">
        <v>109</v>
      </c>
      <c r="G29" s="0" t="s">
        <v>50</v>
      </c>
      <c r="H29" s="0" t="n">
        <v>14.04556</v>
      </c>
      <c r="I29" s="0" t="n">
        <v>280.91</v>
      </c>
      <c r="J29" s="0" t="n">
        <v>20</v>
      </c>
      <c r="K29" s="0" t="n">
        <v>280.91</v>
      </c>
      <c r="L29" s="0" t="n">
        <v>76</v>
      </c>
      <c r="M29" s="0" t="n">
        <v>3.8</v>
      </c>
    </row>
    <row r="30" customFormat="false" ht="15" hidden="false" customHeight="false" outlineLevel="0" collapsed="false">
      <c r="B30" s="0" t="n">
        <v>160136</v>
      </c>
      <c r="C30" s="0" t="s">
        <v>81</v>
      </c>
      <c r="D30" s="0" t="s">
        <v>49</v>
      </c>
      <c r="E30" s="0" t="s">
        <v>108</v>
      </c>
      <c r="F30" s="0" t="s">
        <v>109</v>
      </c>
      <c r="G30" s="0" t="s">
        <v>50</v>
      </c>
      <c r="H30" s="0" t="n">
        <v>15.20456</v>
      </c>
      <c r="I30" s="0" t="n">
        <v>304.09</v>
      </c>
      <c r="J30" s="0" t="n">
        <v>20</v>
      </c>
      <c r="K30" s="0" t="n">
        <v>304.09</v>
      </c>
      <c r="L30" s="0" t="n">
        <v>76</v>
      </c>
      <c r="M30" s="0" t="n">
        <v>3.8</v>
      </c>
    </row>
    <row r="31" customFormat="false" ht="15" hidden="false" customHeight="false" outlineLevel="0" collapsed="false">
      <c r="B31" s="0" t="n">
        <v>160136</v>
      </c>
      <c r="C31" s="0" t="s">
        <v>81</v>
      </c>
      <c r="D31" s="0" t="s">
        <v>61</v>
      </c>
      <c r="E31" s="0" t="s">
        <v>110</v>
      </c>
      <c r="F31" s="0" t="s">
        <v>111</v>
      </c>
      <c r="G31" s="0" t="s">
        <v>62</v>
      </c>
      <c r="H31" s="0" t="n">
        <v>0.040012</v>
      </c>
      <c r="I31" s="0" t="n">
        <v>0.04</v>
      </c>
      <c r="J31" s="0" t="n">
        <v>1</v>
      </c>
      <c r="K31" s="0" t="n">
        <v>0.04</v>
      </c>
      <c r="L31" s="0" t="n">
        <v>0.01</v>
      </c>
      <c r="M31" s="0" t="n">
        <v>0.01</v>
      </c>
    </row>
    <row r="32" customFormat="false" ht="15" hidden="false" customHeight="false" outlineLevel="0" collapsed="false">
      <c r="B32" s="0" t="n">
        <v>160136</v>
      </c>
      <c r="C32" s="0" t="s">
        <v>81</v>
      </c>
      <c r="D32" s="0" t="s">
        <v>61</v>
      </c>
      <c r="E32" s="0" t="s">
        <v>112</v>
      </c>
      <c r="F32" s="0" t="s">
        <v>113</v>
      </c>
      <c r="G32" s="0" t="s">
        <v>62</v>
      </c>
      <c r="H32" s="0" t="n">
        <v>0.040012</v>
      </c>
      <c r="I32" s="0" t="n">
        <v>0.04</v>
      </c>
      <c r="J32" s="0" t="n">
        <v>1</v>
      </c>
      <c r="K32" s="0" t="n">
        <v>0.04</v>
      </c>
      <c r="L32" s="0" t="n">
        <v>0.01</v>
      </c>
      <c r="M32" s="0" t="n">
        <v>0.01</v>
      </c>
    </row>
    <row r="33" customFormat="false" ht="15" hidden="false" customHeight="false" outlineLevel="0" collapsed="false">
      <c r="B33" s="0" t="n">
        <v>160136</v>
      </c>
      <c r="C33" s="0" t="s">
        <v>81</v>
      </c>
      <c r="D33" s="0" t="s">
        <v>63</v>
      </c>
      <c r="E33" s="0" t="s">
        <v>114</v>
      </c>
      <c r="F33" s="0" t="s">
        <v>115</v>
      </c>
      <c r="G33" s="0" t="s">
        <v>64</v>
      </c>
      <c r="H33" s="0" t="n">
        <v>0.037519</v>
      </c>
      <c r="I33" s="0" t="n">
        <v>0.04</v>
      </c>
      <c r="J33" s="0" t="n">
        <v>1</v>
      </c>
      <c r="K33" s="0" t="n">
        <v>0.04</v>
      </c>
      <c r="L33" s="0" t="n">
        <v>0.01</v>
      </c>
      <c r="M33" s="0" t="n">
        <v>0.01</v>
      </c>
    </row>
    <row r="34" customFormat="false" ht="15" hidden="false" customHeight="false" outlineLevel="0" collapsed="false">
      <c r="B34" s="0" t="n">
        <v>160136</v>
      </c>
      <c r="C34" s="0" t="s">
        <v>81</v>
      </c>
      <c r="D34" s="0" t="s">
        <v>15</v>
      </c>
      <c r="E34" s="0" t="s">
        <v>116</v>
      </c>
      <c r="F34" s="0" t="s">
        <v>117</v>
      </c>
      <c r="G34" s="0" t="s">
        <v>16</v>
      </c>
      <c r="H34" s="0" t="n">
        <v>30.77352</v>
      </c>
      <c r="I34" s="0" t="n">
        <v>307.74</v>
      </c>
      <c r="J34" s="0" t="n">
        <v>10</v>
      </c>
      <c r="K34" s="0" t="n">
        <v>307.74</v>
      </c>
      <c r="L34" s="0" t="n">
        <v>81</v>
      </c>
      <c r="M34" s="0" t="n">
        <v>8.1</v>
      </c>
    </row>
    <row r="35" customFormat="false" ht="15" hidden="false" customHeight="false" outlineLevel="0" collapsed="false">
      <c r="B35" s="0" t="n">
        <v>160136</v>
      </c>
      <c r="C35" s="0" t="s">
        <v>81</v>
      </c>
      <c r="D35" s="0" t="s">
        <v>15</v>
      </c>
      <c r="E35" s="0" t="s">
        <v>116</v>
      </c>
      <c r="F35" s="0" t="s">
        <v>117</v>
      </c>
      <c r="G35" s="0" t="s">
        <v>16</v>
      </c>
      <c r="H35" s="0" t="n">
        <v>29.93922</v>
      </c>
      <c r="I35" s="0" t="n">
        <v>1197.57</v>
      </c>
      <c r="J35" s="0" t="n">
        <v>40</v>
      </c>
      <c r="K35" s="0" t="n">
        <v>1197.57</v>
      </c>
      <c r="L35" s="0" t="n">
        <v>324</v>
      </c>
      <c r="M35" s="0" t="n">
        <v>8.1</v>
      </c>
    </row>
    <row r="36" customFormat="false" ht="15" hidden="false" customHeight="false" outlineLevel="0" collapsed="false">
      <c r="B36" s="0" t="n">
        <v>160136</v>
      </c>
      <c r="C36" s="0" t="s">
        <v>81</v>
      </c>
      <c r="D36" s="0" t="s">
        <v>15</v>
      </c>
      <c r="E36" s="0" t="s">
        <v>116</v>
      </c>
      <c r="F36" s="0" t="s">
        <v>117</v>
      </c>
      <c r="G36" s="0" t="s">
        <v>16</v>
      </c>
      <c r="H36" s="0" t="n">
        <v>32.40972</v>
      </c>
      <c r="I36" s="0" t="n">
        <v>1620.49</v>
      </c>
      <c r="J36" s="0" t="n">
        <v>50</v>
      </c>
      <c r="K36" s="0" t="n">
        <v>1620.49</v>
      </c>
      <c r="L36" s="0" t="n">
        <v>405</v>
      </c>
      <c r="M36" s="0" t="n">
        <v>8.1</v>
      </c>
    </row>
    <row r="37" customFormat="false" ht="15" hidden="false" customHeight="false" outlineLevel="0" collapsed="false">
      <c r="B37" s="0" t="n">
        <v>160136</v>
      </c>
      <c r="C37" s="0" t="s">
        <v>81</v>
      </c>
      <c r="D37" s="0" t="s">
        <v>15</v>
      </c>
      <c r="E37" s="0" t="s">
        <v>118</v>
      </c>
      <c r="F37" s="0" t="s">
        <v>119</v>
      </c>
      <c r="G37" s="0" t="s">
        <v>16</v>
      </c>
      <c r="H37" s="0" t="n">
        <v>32.40972</v>
      </c>
      <c r="I37" s="0" t="n">
        <v>1944.58</v>
      </c>
      <c r="J37" s="0" t="n">
        <v>60</v>
      </c>
      <c r="K37" s="0" t="n">
        <v>1944.58</v>
      </c>
      <c r="L37" s="0" t="n">
        <v>486</v>
      </c>
      <c r="M37" s="0" t="n">
        <v>8.1</v>
      </c>
    </row>
    <row r="38" customFormat="false" ht="15" hidden="false" customHeight="false" outlineLevel="0" collapsed="false">
      <c r="B38" s="0" t="n">
        <v>160136</v>
      </c>
      <c r="C38" s="0" t="s">
        <v>81</v>
      </c>
      <c r="D38" s="0" t="s">
        <v>15</v>
      </c>
      <c r="E38" s="0" t="s">
        <v>118</v>
      </c>
      <c r="F38" s="0" t="s">
        <v>119</v>
      </c>
      <c r="G38" s="0" t="s">
        <v>16</v>
      </c>
      <c r="H38" s="0" t="n">
        <v>30.77352</v>
      </c>
      <c r="I38" s="0" t="n">
        <v>1230.94</v>
      </c>
      <c r="J38" s="0" t="n">
        <v>40</v>
      </c>
      <c r="K38" s="0" t="n">
        <v>1230.94</v>
      </c>
      <c r="L38" s="0" t="n">
        <v>324</v>
      </c>
      <c r="M38" s="0" t="n">
        <v>8.1</v>
      </c>
    </row>
    <row r="39" customFormat="false" ht="15" hidden="false" customHeight="false" outlineLevel="0" collapsed="false">
      <c r="B39" s="0" t="n">
        <v>160136</v>
      </c>
      <c r="C39" s="0" t="s">
        <v>81</v>
      </c>
      <c r="D39" s="0" t="s">
        <v>15</v>
      </c>
      <c r="E39" s="0" t="s">
        <v>118</v>
      </c>
      <c r="F39" s="0" t="s">
        <v>119</v>
      </c>
      <c r="G39" s="0" t="s">
        <v>16</v>
      </c>
      <c r="H39" s="0" t="n">
        <v>29.93922</v>
      </c>
      <c r="I39" s="0" t="n">
        <v>2095.75</v>
      </c>
      <c r="J39" s="0" t="n">
        <v>70</v>
      </c>
      <c r="K39" s="0" t="n">
        <v>2095.75</v>
      </c>
      <c r="L39" s="0" t="n">
        <v>567</v>
      </c>
      <c r="M39" s="0" t="n">
        <v>8.1</v>
      </c>
    </row>
    <row r="40" customFormat="false" ht="15" hidden="false" customHeight="false" outlineLevel="0" collapsed="false">
      <c r="B40" s="0" t="n">
        <v>160136</v>
      </c>
      <c r="C40" s="0" t="s">
        <v>81</v>
      </c>
      <c r="D40" s="0" t="s">
        <v>15</v>
      </c>
      <c r="E40" s="0" t="s">
        <v>120</v>
      </c>
      <c r="F40" s="0" t="s">
        <v>121</v>
      </c>
      <c r="G40" s="0" t="s">
        <v>16</v>
      </c>
      <c r="H40" s="0" t="n">
        <v>29.93922</v>
      </c>
      <c r="I40" s="0" t="n">
        <v>1197.57</v>
      </c>
      <c r="J40" s="0" t="n">
        <v>40</v>
      </c>
      <c r="K40" s="0" t="n">
        <v>1197.57</v>
      </c>
      <c r="L40" s="0" t="n">
        <v>324</v>
      </c>
      <c r="M40" s="0" t="n">
        <v>8.1</v>
      </c>
    </row>
    <row r="41" customFormat="false" ht="15" hidden="false" customHeight="false" outlineLevel="0" collapsed="false">
      <c r="B41" s="0" t="n">
        <v>160136</v>
      </c>
      <c r="C41" s="0" t="s">
        <v>81</v>
      </c>
      <c r="D41" s="0" t="s">
        <v>15</v>
      </c>
      <c r="E41" s="0" t="s">
        <v>120</v>
      </c>
      <c r="F41" s="0" t="s">
        <v>121</v>
      </c>
      <c r="G41" s="0" t="s">
        <v>16</v>
      </c>
      <c r="H41" s="0" t="n">
        <v>32.40972</v>
      </c>
      <c r="I41" s="0" t="n">
        <v>1620.49</v>
      </c>
      <c r="J41" s="0" t="n">
        <v>50</v>
      </c>
      <c r="K41" s="0" t="n">
        <v>1620.49</v>
      </c>
      <c r="L41" s="0" t="n">
        <v>405</v>
      </c>
      <c r="M41" s="0" t="n">
        <v>8.1</v>
      </c>
    </row>
    <row r="42" customFormat="false" ht="15" hidden="false" customHeight="false" outlineLevel="0" collapsed="false">
      <c r="B42" s="0" t="n">
        <v>160136</v>
      </c>
      <c r="C42" s="0" t="s">
        <v>81</v>
      </c>
      <c r="D42" s="0" t="s">
        <v>15</v>
      </c>
      <c r="E42" s="0" t="s">
        <v>120</v>
      </c>
      <c r="F42" s="0" t="s">
        <v>121</v>
      </c>
      <c r="G42" s="0" t="s">
        <v>16</v>
      </c>
      <c r="H42" s="0" t="n">
        <v>30.77352</v>
      </c>
      <c r="I42" s="0" t="n">
        <v>923.21</v>
      </c>
      <c r="J42" s="0" t="n">
        <v>30</v>
      </c>
      <c r="K42" s="0" t="n">
        <v>923.21</v>
      </c>
      <c r="L42" s="0" t="n">
        <v>243</v>
      </c>
      <c r="M42" s="0" t="n">
        <v>8.1</v>
      </c>
    </row>
    <row r="43" customFormat="false" ht="15" hidden="false" customHeight="false" outlineLevel="0" collapsed="false">
      <c r="B43" s="0" t="n">
        <v>160136</v>
      </c>
      <c r="C43" s="0" t="s">
        <v>81</v>
      </c>
      <c r="D43" s="0" t="s">
        <v>17</v>
      </c>
      <c r="E43" s="0" t="s">
        <v>122</v>
      </c>
      <c r="F43" s="0" t="s">
        <v>123</v>
      </c>
      <c r="G43" s="0" t="s">
        <v>18</v>
      </c>
      <c r="H43" s="0" t="n">
        <v>0.037519</v>
      </c>
      <c r="I43" s="0" t="n">
        <v>0.04</v>
      </c>
      <c r="J43" s="0" t="n">
        <v>1</v>
      </c>
      <c r="K43" s="0" t="n">
        <v>0.04</v>
      </c>
      <c r="L43" s="0" t="n">
        <v>0.01</v>
      </c>
      <c r="M43" s="0" t="n">
        <v>0.01</v>
      </c>
    </row>
    <row r="44" customFormat="false" ht="15" hidden="false" customHeight="false" outlineLevel="0" collapsed="false">
      <c r="B44" s="0" t="n">
        <v>160136</v>
      </c>
      <c r="C44" s="0" t="s">
        <v>81</v>
      </c>
      <c r="D44" s="0" t="s">
        <v>28</v>
      </c>
      <c r="E44" s="0" t="s">
        <v>124</v>
      </c>
      <c r="F44" s="0" t="s">
        <v>125</v>
      </c>
      <c r="G44" s="0" t="s">
        <v>29</v>
      </c>
      <c r="H44" s="0" t="n">
        <v>11.64303</v>
      </c>
      <c r="I44" s="0" t="n">
        <v>349.29</v>
      </c>
      <c r="J44" s="0" t="n">
        <v>30</v>
      </c>
      <c r="K44" s="0" t="n">
        <v>349.29</v>
      </c>
      <c r="L44" s="0" t="n">
        <v>94.5</v>
      </c>
      <c r="M44" s="0" t="n">
        <v>3.15</v>
      </c>
    </row>
    <row r="45" customFormat="false" ht="15" hidden="false" customHeight="false" outlineLevel="0" collapsed="false">
      <c r="B45" s="0" t="n">
        <v>160136</v>
      </c>
      <c r="C45" s="0" t="s">
        <v>81</v>
      </c>
      <c r="D45" s="0" t="s">
        <v>28</v>
      </c>
      <c r="E45" s="0" t="s">
        <v>124</v>
      </c>
      <c r="F45" s="0" t="s">
        <v>125</v>
      </c>
      <c r="G45" s="0" t="s">
        <v>29</v>
      </c>
      <c r="H45" s="0" t="n">
        <v>11.96748</v>
      </c>
      <c r="I45" s="0" t="n">
        <v>598.37</v>
      </c>
      <c r="J45" s="0" t="n">
        <v>50</v>
      </c>
      <c r="K45" s="0" t="n">
        <v>598.37</v>
      </c>
      <c r="L45" s="0" t="n">
        <v>157.5</v>
      </c>
      <c r="M45" s="0" t="n">
        <v>3.15</v>
      </c>
    </row>
    <row r="46" customFormat="false" ht="15" hidden="false" customHeight="false" outlineLevel="0" collapsed="false">
      <c r="B46" s="0" t="n">
        <v>160136</v>
      </c>
      <c r="C46" s="0" t="s">
        <v>81</v>
      </c>
      <c r="D46" s="0" t="s">
        <v>28</v>
      </c>
      <c r="E46" s="0" t="s">
        <v>126</v>
      </c>
      <c r="F46" s="0" t="s">
        <v>127</v>
      </c>
      <c r="G46" s="0" t="s">
        <v>29</v>
      </c>
      <c r="H46" s="0" t="n">
        <v>11.64303</v>
      </c>
      <c r="I46" s="0" t="n">
        <v>349.29</v>
      </c>
      <c r="J46" s="0" t="n">
        <v>30</v>
      </c>
      <c r="K46" s="0" t="n">
        <v>349.29</v>
      </c>
      <c r="L46" s="0" t="n">
        <v>94.5</v>
      </c>
      <c r="M46" s="0" t="n">
        <v>3.15</v>
      </c>
    </row>
    <row r="47" customFormat="false" ht="15" hidden="false" customHeight="false" outlineLevel="0" collapsed="false">
      <c r="B47" s="0" t="n">
        <v>160136</v>
      </c>
      <c r="C47" s="0" t="s">
        <v>81</v>
      </c>
      <c r="D47" s="0" t="s">
        <v>28</v>
      </c>
      <c r="E47" s="0" t="s">
        <v>126</v>
      </c>
      <c r="F47" s="0" t="s">
        <v>127</v>
      </c>
      <c r="G47" s="0" t="s">
        <v>29</v>
      </c>
      <c r="H47" s="0" t="n">
        <v>11.96748</v>
      </c>
      <c r="I47" s="0" t="n">
        <v>478.7</v>
      </c>
      <c r="J47" s="0" t="n">
        <v>40</v>
      </c>
      <c r="K47" s="0" t="n">
        <v>478.7</v>
      </c>
      <c r="L47" s="0" t="n">
        <v>126</v>
      </c>
      <c r="M47" s="0" t="n">
        <v>3.15</v>
      </c>
    </row>
    <row r="48" customFormat="false" ht="15" hidden="false" customHeight="false" outlineLevel="0" collapsed="false">
      <c r="B48" s="0" t="n">
        <v>160136</v>
      </c>
      <c r="C48" s="0" t="s">
        <v>81</v>
      </c>
      <c r="D48" s="0" t="s">
        <v>28</v>
      </c>
      <c r="E48" s="0" t="s">
        <v>128</v>
      </c>
      <c r="F48" s="0" t="s">
        <v>129</v>
      </c>
      <c r="G48" s="0" t="s">
        <v>29</v>
      </c>
      <c r="H48" s="0" t="n">
        <v>11.96748</v>
      </c>
      <c r="I48" s="0" t="n">
        <v>239.35</v>
      </c>
      <c r="J48" s="0" t="n">
        <v>20</v>
      </c>
      <c r="K48" s="0" t="n">
        <v>239.35</v>
      </c>
      <c r="L48" s="0" t="n">
        <v>63</v>
      </c>
      <c r="M48" s="0" t="n">
        <v>3.15</v>
      </c>
    </row>
    <row r="49" customFormat="false" ht="15" hidden="false" customHeight="false" outlineLevel="0" collapsed="false">
      <c r="B49" s="0" t="n">
        <v>160136</v>
      </c>
      <c r="C49" s="0" t="s">
        <v>81</v>
      </c>
      <c r="D49" s="0" t="s">
        <v>28</v>
      </c>
      <c r="E49" s="0" t="s">
        <v>130</v>
      </c>
      <c r="F49" s="0" t="s">
        <v>131</v>
      </c>
      <c r="G49" s="0" t="s">
        <v>29</v>
      </c>
      <c r="H49" s="0" t="n">
        <v>11.64303</v>
      </c>
      <c r="I49" s="0" t="n">
        <v>116.43</v>
      </c>
      <c r="J49" s="0" t="n">
        <v>10</v>
      </c>
      <c r="K49" s="0" t="n">
        <v>116.43</v>
      </c>
      <c r="L49" s="0" t="n">
        <v>31.5</v>
      </c>
      <c r="M49" s="0" t="n">
        <v>3.15</v>
      </c>
    </row>
    <row r="50" customFormat="false" ht="15" hidden="false" customHeight="false" outlineLevel="0" collapsed="false">
      <c r="B50" s="0" t="n">
        <v>160136</v>
      </c>
      <c r="C50" s="0" t="s">
        <v>81</v>
      </c>
      <c r="D50" s="0" t="s">
        <v>28</v>
      </c>
      <c r="E50" s="0" t="s">
        <v>130</v>
      </c>
      <c r="F50" s="0" t="s">
        <v>131</v>
      </c>
      <c r="G50" s="0" t="s">
        <v>29</v>
      </c>
      <c r="H50" s="0" t="n">
        <v>11.96748</v>
      </c>
      <c r="I50" s="0" t="n">
        <v>478.7</v>
      </c>
      <c r="J50" s="0" t="n">
        <v>40</v>
      </c>
      <c r="K50" s="0" t="n">
        <v>478.7</v>
      </c>
      <c r="L50" s="0" t="n">
        <v>126</v>
      </c>
      <c r="M50" s="0" t="n">
        <v>3.15</v>
      </c>
    </row>
    <row r="51" customFormat="false" ht="15" hidden="false" customHeight="false" outlineLevel="0" collapsed="false">
      <c r="B51" s="0" t="n">
        <v>160136</v>
      </c>
      <c r="C51" s="0" t="s">
        <v>81</v>
      </c>
      <c r="D51" s="0" t="s">
        <v>28</v>
      </c>
      <c r="E51" s="0" t="s">
        <v>132</v>
      </c>
      <c r="F51" s="0" t="s">
        <v>133</v>
      </c>
      <c r="G51" s="0" t="s">
        <v>29</v>
      </c>
      <c r="H51" s="0" t="n">
        <v>12.60378</v>
      </c>
      <c r="I51" s="0" t="n">
        <v>126.04</v>
      </c>
      <c r="J51" s="0" t="n">
        <v>10</v>
      </c>
      <c r="K51" s="0" t="n">
        <v>126.04</v>
      </c>
      <c r="L51" s="0" t="n">
        <v>31.5</v>
      </c>
      <c r="M51" s="0" t="n">
        <v>3.15</v>
      </c>
    </row>
    <row r="52" customFormat="false" ht="15" hidden="false" customHeight="false" outlineLevel="0" collapsed="false">
      <c r="B52" s="0" t="n">
        <v>160136</v>
      </c>
      <c r="C52" s="0" t="s">
        <v>81</v>
      </c>
      <c r="D52" s="0" t="s">
        <v>28</v>
      </c>
      <c r="E52" s="0" t="s">
        <v>132</v>
      </c>
      <c r="F52" s="0" t="s">
        <v>133</v>
      </c>
      <c r="G52" s="0" t="s">
        <v>29</v>
      </c>
      <c r="H52" s="0" t="n">
        <v>11.96748</v>
      </c>
      <c r="I52" s="0" t="n">
        <v>239.35</v>
      </c>
      <c r="J52" s="0" t="n">
        <v>20</v>
      </c>
      <c r="K52" s="0" t="n">
        <v>239.35</v>
      </c>
      <c r="L52" s="0" t="n">
        <v>63</v>
      </c>
      <c r="M52" s="0" t="n">
        <v>3.15</v>
      </c>
    </row>
    <row r="53" customFormat="false" ht="15" hidden="false" customHeight="false" outlineLevel="0" collapsed="false">
      <c r="B53" s="0" t="n">
        <v>160136</v>
      </c>
      <c r="C53" s="0" t="s">
        <v>81</v>
      </c>
      <c r="D53" s="0" t="s">
        <v>28</v>
      </c>
      <c r="E53" s="0" t="s">
        <v>132</v>
      </c>
      <c r="F53" s="0" t="s">
        <v>133</v>
      </c>
      <c r="G53" s="0" t="s">
        <v>29</v>
      </c>
      <c r="H53" s="0" t="n">
        <v>11.64303</v>
      </c>
      <c r="I53" s="0" t="n">
        <v>58.22</v>
      </c>
      <c r="J53" s="0" t="n">
        <v>5</v>
      </c>
      <c r="K53" s="0" t="n">
        <v>58.22</v>
      </c>
      <c r="L53" s="0" t="n">
        <v>15.75</v>
      </c>
      <c r="M53" s="0" t="n">
        <v>3.15</v>
      </c>
    </row>
    <row r="54" customFormat="false" ht="15" hidden="false" customHeight="false" outlineLevel="0" collapsed="false">
      <c r="B54" s="0" t="n">
        <v>160136</v>
      </c>
      <c r="C54" s="0" t="s">
        <v>81</v>
      </c>
      <c r="D54" s="0" t="s">
        <v>59</v>
      </c>
      <c r="E54" s="0" t="s">
        <v>134</v>
      </c>
      <c r="F54" s="0" t="s">
        <v>135</v>
      </c>
      <c r="G54" s="0" t="s">
        <v>60</v>
      </c>
      <c r="H54" s="0" t="n">
        <v>65.34624</v>
      </c>
      <c r="I54" s="0" t="n">
        <v>65.35</v>
      </c>
      <c r="J54" s="0" t="n">
        <v>1</v>
      </c>
      <c r="K54" s="0" t="n">
        <v>65.35</v>
      </c>
      <c r="L54" s="0" t="n">
        <v>17.2</v>
      </c>
      <c r="M54" s="0" t="n">
        <v>17.2</v>
      </c>
    </row>
    <row r="55" customFormat="false" ht="15" hidden="false" customHeight="false" outlineLevel="0" collapsed="false">
      <c r="B55" s="0" t="n">
        <v>160136</v>
      </c>
      <c r="C55" s="0" t="s">
        <v>81</v>
      </c>
      <c r="D55" s="0" t="s">
        <v>33</v>
      </c>
      <c r="E55" s="0" t="s">
        <v>136</v>
      </c>
      <c r="F55" s="0" t="s">
        <v>137</v>
      </c>
      <c r="G55" s="0" t="s">
        <v>34</v>
      </c>
      <c r="H55" s="0" t="n">
        <v>10.63776</v>
      </c>
      <c r="I55" s="0" t="n">
        <v>1382.91</v>
      </c>
      <c r="J55" s="0" t="n">
        <v>130</v>
      </c>
      <c r="K55" s="0" t="n">
        <v>1382.91</v>
      </c>
      <c r="L55" s="0" t="n">
        <v>364</v>
      </c>
      <c r="M55" s="0" t="n">
        <v>2.8</v>
      </c>
    </row>
    <row r="56" customFormat="false" ht="15" hidden="false" customHeight="false" outlineLevel="0" collapsed="false">
      <c r="B56" s="0" t="n">
        <v>160136</v>
      </c>
      <c r="C56" s="0" t="s">
        <v>81</v>
      </c>
      <c r="D56" s="0" t="s">
        <v>24</v>
      </c>
      <c r="E56" s="0" t="s">
        <v>138</v>
      </c>
      <c r="F56" s="0" t="s">
        <v>139</v>
      </c>
      <c r="G56" s="0" t="s">
        <v>25</v>
      </c>
      <c r="H56" s="0" t="n">
        <v>22.0066</v>
      </c>
      <c r="I56" s="0" t="n">
        <v>440.13</v>
      </c>
      <c r="J56" s="0" t="n">
        <v>20</v>
      </c>
      <c r="K56" s="0" t="n">
        <v>440.13</v>
      </c>
      <c r="L56" s="0" t="n">
        <v>110</v>
      </c>
      <c r="M56" s="0" t="n">
        <v>5.5</v>
      </c>
    </row>
    <row r="57" customFormat="false" ht="15" hidden="false" customHeight="false" outlineLevel="0" collapsed="false">
      <c r="B57" s="0" t="n">
        <v>160136</v>
      </c>
      <c r="C57" s="0" t="s">
        <v>81</v>
      </c>
      <c r="D57" s="0" t="s">
        <v>24</v>
      </c>
      <c r="E57" s="0" t="s">
        <v>138</v>
      </c>
      <c r="F57" s="0" t="s">
        <v>139</v>
      </c>
      <c r="G57" s="0" t="s">
        <v>25</v>
      </c>
      <c r="H57" s="0" t="n">
        <v>20.3291</v>
      </c>
      <c r="I57" s="0" t="n">
        <v>609.87</v>
      </c>
      <c r="J57" s="0" t="n">
        <v>30</v>
      </c>
      <c r="K57" s="0" t="n">
        <v>609.87</v>
      </c>
      <c r="L57" s="0" t="n">
        <v>165</v>
      </c>
      <c r="M57" s="0" t="n">
        <v>5.5</v>
      </c>
    </row>
    <row r="58" customFormat="false" ht="15" hidden="false" customHeight="false" outlineLevel="0" collapsed="false">
      <c r="B58" s="0" t="n">
        <v>160136</v>
      </c>
      <c r="C58" s="0" t="s">
        <v>81</v>
      </c>
      <c r="D58" s="0" t="s">
        <v>24</v>
      </c>
      <c r="E58" s="0" t="s">
        <v>140</v>
      </c>
      <c r="F58" s="0" t="s">
        <v>141</v>
      </c>
      <c r="G58" s="0" t="s">
        <v>25</v>
      </c>
      <c r="H58" s="0" t="n">
        <v>22.0066</v>
      </c>
      <c r="I58" s="0" t="n">
        <v>440.13</v>
      </c>
      <c r="J58" s="0" t="n">
        <v>20</v>
      </c>
      <c r="K58" s="0" t="n">
        <v>440.13</v>
      </c>
      <c r="L58" s="0" t="n">
        <v>110</v>
      </c>
      <c r="M58" s="0" t="n">
        <v>5.5</v>
      </c>
    </row>
    <row r="59" customFormat="false" ht="15" hidden="false" customHeight="false" outlineLevel="0" collapsed="false">
      <c r="B59" s="0" t="n">
        <v>160136</v>
      </c>
      <c r="C59" s="0" t="s">
        <v>81</v>
      </c>
      <c r="D59" s="0" t="s">
        <v>24</v>
      </c>
      <c r="E59" s="0" t="s">
        <v>140</v>
      </c>
      <c r="F59" s="0" t="s">
        <v>141</v>
      </c>
      <c r="G59" s="0" t="s">
        <v>25</v>
      </c>
      <c r="H59" s="0" t="n">
        <v>20.3291</v>
      </c>
      <c r="I59" s="0" t="n">
        <v>609.87</v>
      </c>
      <c r="J59" s="0" t="n">
        <v>30</v>
      </c>
      <c r="K59" s="0" t="n">
        <v>609.87</v>
      </c>
      <c r="L59" s="0" t="n">
        <v>165</v>
      </c>
      <c r="M59" s="0" t="n">
        <v>5.5</v>
      </c>
    </row>
    <row r="60" customFormat="false" ht="15" hidden="false" customHeight="false" outlineLevel="0" collapsed="false">
      <c r="B60" s="0" t="n">
        <v>160136</v>
      </c>
      <c r="C60" s="0" t="s">
        <v>81</v>
      </c>
      <c r="D60" s="0" t="s">
        <v>24</v>
      </c>
      <c r="E60" s="0" t="s">
        <v>142</v>
      </c>
      <c r="F60" s="0" t="s">
        <v>143</v>
      </c>
      <c r="G60" s="0" t="s">
        <v>25</v>
      </c>
      <c r="H60" s="0" t="n">
        <v>22.0066</v>
      </c>
      <c r="I60" s="0" t="n">
        <v>440.13</v>
      </c>
      <c r="J60" s="0" t="n">
        <v>20</v>
      </c>
      <c r="K60" s="0" t="n">
        <v>440.13</v>
      </c>
      <c r="L60" s="0" t="n">
        <v>110</v>
      </c>
      <c r="M60" s="0" t="n">
        <v>5.5</v>
      </c>
    </row>
    <row r="61" customFormat="false" ht="15" hidden="false" customHeight="false" outlineLevel="0" collapsed="false">
      <c r="B61" s="0" t="n">
        <v>160136</v>
      </c>
      <c r="C61" s="0" t="s">
        <v>81</v>
      </c>
      <c r="D61" s="0" t="s">
        <v>24</v>
      </c>
      <c r="E61" s="0" t="s">
        <v>142</v>
      </c>
      <c r="F61" s="0" t="s">
        <v>143</v>
      </c>
      <c r="G61" s="0" t="s">
        <v>25</v>
      </c>
      <c r="H61" s="0" t="n">
        <v>20.3291</v>
      </c>
      <c r="I61" s="0" t="n">
        <v>406.58</v>
      </c>
      <c r="J61" s="0" t="n">
        <v>20</v>
      </c>
      <c r="K61" s="0" t="n">
        <v>406.58</v>
      </c>
      <c r="L61" s="0" t="n">
        <v>110</v>
      </c>
      <c r="M61" s="0" t="n">
        <v>5.5</v>
      </c>
    </row>
    <row r="62" customFormat="false" ht="15" hidden="false" customHeight="false" outlineLevel="0" collapsed="false">
      <c r="B62" s="0" t="n">
        <v>160136</v>
      </c>
      <c r="C62" s="0" t="s">
        <v>81</v>
      </c>
      <c r="D62" s="0" t="s">
        <v>24</v>
      </c>
      <c r="E62" s="0" t="s">
        <v>144</v>
      </c>
      <c r="F62" s="0" t="s">
        <v>145</v>
      </c>
      <c r="G62" s="0" t="s">
        <v>25</v>
      </c>
      <c r="H62" s="0" t="n">
        <v>20.3291</v>
      </c>
      <c r="I62" s="0" t="n">
        <v>304.94</v>
      </c>
      <c r="J62" s="0" t="n">
        <v>15</v>
      </c>
      <c r="K62" s="0" t="n">
        <v>304.94</v>
      </c>
      <c r="L62" s="0" t="n">
        <v>82.5</v>
      </c>
      <c r="M62" s="0" t="n">
        <v>5.5</v>
      </c>
    </row>
    <row r="63" customFormat="false" ht="15" hidden="false" customHeight="false" outlineLevel="0" collapsed="false">
      <c r="B63" s="0" t="n">
        <v>160136</v>
      </c>
      <c r="C63" s="0" t="s">
        <v>81</v>
      </c>
      <c r="D63" s="0" t="s">
        <v>41</v>
      </c>
      <c r="E63" s="0" t="s">
        <v>146</v>
      </c>
      <c r="F63" s="0" t="s">
        <v>147</v>
      </c>
      <c r="G63" s="0" t="s">
        <v>42</v>
      </c>
      <c r="H63" s="0" t="n">
        <v>11.45822</v>
      </c>
      <c r="I63" s="0" t="n">
        <v>114.58</v>
      </c>
      <c r="J63" s="0" t="n">
        <v>10</v>
      </c>
      <c r="K63" s="0" t="n">
        <v>114.58</v>
      </c>
      <c r="L63" s="0" t="n">
        <v>31</v>
      </c>
      <c r="M63" s="0" t="n">
        <v>3.1</v>
      </c>
    </row>
    <row r="64" customFormat="false" ht="15" hidden="false" customHeight="false" outlineLevel="0" collapsed="false">
      <c r="B64" s="0" t="n">
        <v>160136</v>
      </c>
      <c r="C64" s="0" t="s">
        <v>81</v>
      </c>
      <c r="D64" s="0" t="s">
        <v>41</v>
      </c>
      <c r="E64" s="0" t="s">
        <v>148</v>
      </c>
      <c r="F64" s="0" t="s">
        <v>149</v>
      </c>
      <c r="G64" s="0" t="s">
        <v>42</v>
      </c>
      <c r="H64" s="0" t="n">
        <v>11.77752</v>
      </c>
      <c r="I64" s="0" t="n">
        <v>117.78</v>
      </c>
      <c r="J64" s="0" t="n">
        <v>10</v>
      </c>
      <c r="K64" s="0" t="n">
        <v>117.78</v>
      </c>
      <c r="L64" s="0" t="n">
        <v>31</v>
      </c>
      <c r="M64" s="0" t="n">
        <v>3.1</v>
      </c>
    </row>
    <row r="65" customFormat="false" ht="15" hidden="false" customHeight="false" outlineLevel="0" collapsed="false">
      <c r="B65" s="0" t="n">
        <v>160136</v>
      </c>
      <c r="C65" s="0" t="s">
        <v>81</v>
      </c>
      <c r="D65" s="0" t="s">
        <v>30</v>
      </c>
      <c r="E65" s="0" t="s">
        <v>150</v>
      </c>
      <c r="F65" s="0" t="s">
        <v>151</v>
      </c>
      <c r="G65" s="0" t="s">
        <v>31</v>
      </c>
      <c r="H65" s="0" t="n">
        <v>41.58225</v>
      </c>
      <c r="I65" s="0" t="n">
        <v>831.65</v>
      </c>
      <c r="J65" s="0" t="n">
        <v>20</v>
      </c>
      <c r="K65" s="0" t="n">
        <v>831.65</v>
      </c>
      <c r="L65" s="0" t="n">
        <v>225</v>
      </c>
      <c r="M65" s="0" t="n">
        <v>11.25</v>
      </c>
    </row>
    <row r="66" customFormat="false" ht="15" hidden="false" customHeight="false" outlineLevel="0" collapsed="false">
      <c r="B66" s="0" t="n">
        <v>160136</v>
      </c>
      <c r="C66" s="0" t="s">
        <v>81</v>
      </c>
      <c r="D66" s="0" t="s">
        <v>30</v>
      </c>
      <c r="E66" s="0" t="s">
        <v>150</v>
      </c>
      <c r="F66" s="0" t="s">
        <v>151</v>
      </c>
      <c r="G66" s="0" t="s">
        <v>31</v>
      </c>
      <c r="H66" s="0" t="n">
        <v>45.0135</v>
      </c>
      <c r="I66" s="0" t="n">
        <v>450.14</v>
      </c>
      <c r="J66" s="0" t="n">
        <v>10</v>
      </c>
      <c r="K66" s="0" t="n">
        <v>450.14</v>
      </c>
      <c r="L66" s="0" t="n">
        <v>112.5</v>
      </c>
      <c r="M66" s="0" t="n">
        <v>11.25</v>
      </c>
    </row>
    <row r="67" customFormat="false" ht="15" hidden="false" customHeight="false" outlineLevel="0" collapsed="false">
      <c r="B67" s="0" t="n">
        <v>160136</v>
      </c>
      <c r="C67" s="0" t="s">
        <v>81</v>
      </c>
      <c r="D67" s="0" t="s">
        <v>30</v>
      </c>
      <c r="E67" s="0" t="s">
        <v>150</v>
      </c>
      <c r="F67" s="0" t="s">
        <v>151</v>
      </c>
      <c r="G67" s="0" t="s">
        <v>31</v>
      </c>
      <c r="H67" s="0" t="n">
        <v>42.741</v>
      </c>
      <c r="I67" s="0" t="n">
        <v>1282.23</v>
      </c>
      <c r="J67" s="0" t="n">
        <v>30</v>
      </c>
      <c r="K67" s="0" t="n">
        <v>1282.23</v>
      </c>
      <c r="L67" s="0" t="n">
        <v>337.5</v>
      </c>
      <c r="M67" s="0" t="n">
        <v>11.25</v>
      </c>
    </row>
    <row r="68" customFormat="false" ht="15" hidden="false" customHeight="false" outlineLevel="0" collapsed="false">
      <c r="B68" s="0" t="n">
        <v>160136</v>
      </c>
      <c r="C68" s="0" t="s">
        <v>81</v>
      </c>
      <c r="D68" s="0" t="s">
        <v>26</v>
      </c>
      <c r="E68" s="0" t="s">
        <v>152</v>
      </c>
      <c r="F68" s="0" t="s">
        <v>153</v>
      </c>
      <c r="G68" s="0" t="s">
        <v>27</v>
      </c>
      <c r="H68" s="0" t="n">
        <v>17.0051</v>
      </c>
      <c r="I68" s="0" t="n">
        <v>3401.02</v>
      </c>
      <c r="J68" s="0" t="n">
        <v>200</v>
      </c>
      <c r="K68" s="0" t="n">
        <v>3401.02</v>
      </c>
      <c r="L68" s="0" t="n">
        <v>850</v>
      </c>
      <c r="M68" s="0" t="n">
        <v>4.25</v>
      </c>
    </row>
    <row r="69" customFormat="false" ht="15" hidden="false" customHeight="false" outlineLevel="0" collapsed="false">
      <c r="B69" s="0" t="n">
        <v>160136</v>
      </c>
      <c r="C69" s="0" t="s">
        <v>81</v>
      </c>
      <c r="D69" s="0" t="s">
        <v>26</v>
      </c>
      <c r="E69" s="0" t="s">
        <v>152</v>
      </c>
      <c r="F69" s="0" t="s">
        <v>153</v>
      </c>
      <c r="G69" s="0" t="s">
        <v>27</v>
      </c>
      <c r="H69" s="0" t="n">
        <v>16.1466</v>
      </c>
      <c r="I69" s="0" t="n">
        <v>2421.99</v>
      </c>
      <c r="J69" s="0" t="n">
        <v>150</v>
      </c>
      <c r="K69" s="0" t="n">
        <v>2421.99</v>
      </c>
      <c r="L69" s="0" t="n">
        <v>637.5</v>
      </c>
      <c r="M69" s="0" t="n">
        <v>4.25</v>
      </c>
    </row>
    <row r="70" customFormat="false" ht="15" hidden="false" customHeight="false" outlineLevel="0" collapsed="false">
      <c r="B70" s="0" t="n">
        <v>160136</v>
      </c>
      <c r="C70" s="0" t="s">
        <v>81</v>
      </c>
      <c r="D70" s="0" t="s">
        <v>26</v>
      </c>
      <c r="E70" s="0" t="s">
        <v>152</v>
      </c>
      <c r="F70" s="0" t="s">
        <v>153</v>
      </c>
      <c r="G70" s="0" t="s">
        <v>27</v>
      </c>
      <c r="H70" s="0" t="n">
        <v>15.70885</v>
      </c>
      <c r="I70" s="0" t="n">
        <v>1570.89</v>
      </c>
      <c r="J70" s="0" t="n">
        <v>100</v>
      </c>
      <c r="K70" s="0" t="n">
        <v>1570.89</v>
      </c>
      <c r="L70" s="0" t="n">
        <v>425</v>
      </c>
      <c r="M70" s="0" t="n">
        <v>4.25</v>
      </c>
    </row>
    <row r="71" customFormat="false" ht="15" hidden="false" customHeight="false" outlineLevel="0" collapsed="false">
      <c r="B71" s="0" t="n">
        <v>160136</v>
      </c>
      <c r="C71" s="0" t="s">
        <v>81</v>
      </c>
      <c r="D71" s="0" t="s">
        <v>32</v>
      </c>
      <c r="E71" s="0" t="s">
        <v>154</v>
      </c>
      <c r="F71" s="0" t="s">
        <v>155</v>
      </c>
      <c r="G71" s="0" t="s">
        <v>32</v>
      </c>
      <c r="H71" s="0" t="n">
        <v>31.72332</v>
      </c>
      <c r="I71" s="0" t="n">
        <v>317.23</v>
      </c>
      <c r="J71" s="0" t="n">
        <v>10</v>
      </c>
      <c r="K71" s="0" t="n">
        <v>317.23</v>
      </c>
      <c r="L71" s="0" t="n">
        <v>83.5</v>
      </c>
      <c r="M71" s="0" t="n">
        <v>8.35</v>
      </c>
    </row>
    <row r="72" customFormat="false" ht="15" hidden="false" customHeight="false" outlineLevel="0" collapsed="false">
      <c r="B72" s="0" t="n">
        <v>160136</v>
      </c>
      <c r="C72" s="0" t="s">
        <v>81</v>
      </c>
      <c r="D72" s="0" t="s">
        <v>32</v>
      </c>
      <c r="E72" s="0" t="s">
        <v>154</v>
      </c>
      <c r="F72" s="0" t="s">
        <v>155</v>
      </c>
      <c r="G72" s="0" t="s">
        <v>32</v>
      </c>
      <c r="H72" s="0" t="n">
        <v>30.86327</v>
      </c>
      <c r="I72" s="0" t="n">
        <v>617.27</v>
      </c>
      <c r="J72" s="0" t="n">
        <v>20</v>
      </c>
      <c r="K72" s="0" t="n">
        <v>617.27</v>
      </c>
      <c r="L72" s="0" t="n">
        <v>167</v>
      </c>
      <c r="M72" s="0" t="n">
        <v>8.35</v>
      </c>
    </row>
    <row r="73" customFormat="false" ht="15" hidden="false" customHeight="false" outlineLevel="0" collapsed="false">
      <c r="B73" s="0" t="n">
        <v>160136</v>
      </c>
      <c r="C73" s="0" t="s">
        <v>81</v>
      </c>
      <c r="D73" s="0" t="s">
        <v>32</v>
      </c>
      <c r="E73" s="0" t="s">
        <v>156</v>
      </c>
      <c r="F73" s="0" t="s">
        <v>157</v>
      </c>
      <c r="G73" s="0" t="s">
        <v>32</v>
      </c>
      <c r="H73" s="0" t="n">
        <v>31.72332</v>
      </c>
      <c r="I73" s="0" t="n">
        <v>634.47</v>
      </c>
      <c r="J73" s="0" t="n">
        <v>20</v>
      </c>
      <c r="K73" s="0" t="n">
        <v>634.47</v>
      </c>
      <c r="L73" s="0" t="n">
        <v>167</v>
      </c>
      <c r="M73" s="0" t="n">
        <v>8.35</v>
      </c>
    </row>
    <row r="74" customFormat="false" ht="15" hidden="false" customHeight="false" outlineLevel="0" collapsed="false">
      <c r="B74" s="0" t="n">
        <v>160136</v>
      </c>
      <c r="C74" s="0" t="s">
        <v>81</v>
      </c>
      <c r="D74" s="0" t="s">
        <v>32</v>
      </c>
      <c r="E74" s="0" t="s">
        <v>156</v>
      </c>
      <c r="F74" s="0" t="s">
        <v>157</v>
      </c>
      <c r="G74" s="0" t="s">
        <v>32</v>
      </c>
      <c r="H74" s="0" t="n">
        <v>30.86327</v>
      </c>
      <c r="I74" s="0" t="n">
        <v>617.27</v>
      </c>
      <c r="J74" s="0" t="n">
        <v>20</v>
      </c>
      <c r="K74" s="0" t="n">
        <v>617.27</v>
      </c>
      <c r="L74" s="0" t="n">
        <v>167</v>
      </c>
      <c r="M74" s="0" t="n">
        <v>8.35</v>
      </c>
    </row>
    <row r="75" customFormat="false" ht="15" hidden="false" customHeight="false" outlineLevel="0" collapsed="false">
      <c r="B75" s="0" t="n">
        <v>160136</v>
      </c>
      <c r="C75" s="0" t="s">
        <v>81</v>
      </c>
      <c r="D75" s="0" t="s">
        <v>22</v>
      </c>
      <c r="E75" s="0" t="s">
        <v>158</v>
      </c>
      <c r="F75" s="0" t="s">
        <v>159</v>
      </c>
      <c r="G75" s="0" t="s">
        <v>23</v>
      </c>
      <c r="H75" s="0" t="n">
        <v>15.70885</v>
      </c>
      <c r="I75" s="0" t="n">
        <v>2827.59</v>
      </c>
      <c r="J75" s="0" t="n">
        <v>180</v>
      </c>
      <c r="K75" s="0" t="n">
        <v>2827.59</v>
      </c>
      <c r="L75" s="0" t="n">
        <v>765</v>
      </c>
      <c r="M75" s="0" t="n">
        <v>4.25</v>
      </c>
    </row>
    <row r="76" customFormat="false" ht="15" hidden="false" customHeight="false" outlineLevel="0" collapsed="false">
      <c r="B76" s="0" t="n">
        <v>160136</v>
      </c>
      <c r="C76" s="0" t="s">
        <v>81</v>
      </c>
      <c r="D76" s="0" t="s">
        <v>22</v>
      </c>
      <c r="E76" s="0" t="s">
        <v>158</v>
      </c>
      <c r="F76" s="0" t="s">
        <v>159</v>
      </c>
      <c r="G76" s="0" t="s">
        <v>23</v>
      </c>
      <c r="H76" s="0" t="n">
        <v>16.1466</v>
      </c>
      <c r="I76" s="0" t="n">
        <v>1776.13</v>
      </c>
      <c r="J76" s="0" t="n">
        <v>110</v>
      </c>
      <c r="K76" s="0" t="n">
        <v>1776.13</v>
      </c>
      <c r="L76" s="0" t="n">
        <v>467.5</v>
      </c>
      <c r="M76" s="0" t="n">
        <v>4.25</v>
      </c>
    </row>
    <row r="77" customFormat="false" ht="15" hidden="false" customHeight="false" outlineLevel="0" collapsed="false">
      <c r="B77" s="0" t="n">
        <v>160136</v>
      </c>
      <c r="C77" s="0" t="s">
        <v>81</v>
      </c>
      <c r="D77" s="0" t="s">
        <v>22</v>
      </c>
      <c r="E77" s="0" t="s">
        <v>158</v>
      </c>
      <c r="F77" s="0" t="s">
        <v>159</v>
      </c>
      <c r="G77" s="0" t="s">
        <v>23</v>
      </c>
      <c r="H77" s="0" t="n">
        <v>17.0051</v>
      </c>
      <c r="I77" s="0" t="n">
        <v>3060.92</v>
      </c>
      <c r="J77" s="0" t="n">
        <v>180</v>
      </c>
      <c r="K77" s="0" t="n">
        <v>3060.92</v>
      </c>
      <c r="L77" s="0" t="n">
        <v>765</v>
      </c>
      <c r="M77" s="0" t="n">
        <v>4.25</v>
      </c>
    </row>
    <row r="78" customFormat="false" ht="15" hidden="false" customHeight="false" outlineLevel="0" collapsed="false">
      <c r="B78" s="0" t="n">
        <v>160136</v>
      </c>
      <c r="C78" s="0" t="s">
        <v>81</v>
      </c>
      <c r="D78" s="0" t="s">
        <v>45</v>
      </c>
      <c r="E78" s="0" t="s">
        <v>160</v>
      </c>
      <c r="F78" s="0" t="s">
        <v>161</v>
      </c>
      <c r="G78" s="0" t="s">
        <v>46</v>
      </c>
      <c r="H78" s="0" t="n">
        <v>19.9458</v>
      </c>
      <c r="I78" s="0" t="n">
        <v>598.37</v>
      </c>
      <c r="J78" s="0" t="n">
        <v>30</v>
      </c>
      <c r="K78" s="0" t="n">
        <v>598.37</v>
      </c>
      <c r="L78" s="0" t="n">
        <v>157.5</v>
      </c>
      <c r="M78" s="0" t="n">
        <v>5.25</v>
      </c>
    </row>
    <row r="79" customFormat="false" ht="15" hidden="false" customHeight="false" outlineLevel="0" collapsed="false">
      <c r="B79" s="0" t="n">
        <v>160136</v>
      </c>
      <c r="C79" s="0" t="s">
        <v>81</v>
      </c>
      <c r="D79" s="0" t="s">
        <v>19</v>
      </c>
      <c r="E79" s="0" t="s">
        <v>162</v>
      </c>
      <c r="F79" s="0" t="s">
        <v>163</v>
      </c>
      <c r="G79" s="0" t="s">
        <v>164</v>
      </c>
      <c r="H79" s="0" t="n">
        <v>49.21476</v>
      </c>
      <c r="I79" s="0" t="n">
        <v>492.15</v>
      </c>
      <c r="J79" s="0" t="n">
        <v>10</v>
      </c>
      <c r="K79" s="0" t="n">
        <v>492.15</v>
      </c>
      <c r="L79" s="0" t="n">
        <v>123</v>
      </c>
      <c r="M79" s="0" t="n">
        <v>12.3</v>
      </c>
    </row>
    <row r="80" customFormat="false" ht="15" hidden="false" customHeight="false" outlineLevel="0" collapsed="false">
      <c r="B80" s="0" t="n">
        <v>160136</v>
      </c>
      <c r="C80" s="0" t="s">
        <v>81</v>
      </c>
      <c r="D80" s="0" t="s">
        <v>19</v>
      </c>
      <c r="E80" s="0" t="s">
        <v>162</v>
      </c>
      <c r="F80" s="0" t="s">
        <v>163</v>
      </c>
      <c r="G80" s="0" t="s">
        <v>164</v>
      </c>
      <c r="H80" s="0" t="n">
        <v>46.73016</v>
      </c>
      <c r="I80" s="0" t="n">
        <v>467.3</v>
      </c>
      <c r="J80" s="0" t="n">
        <v>10</v>
      </c>
      <c r="K80" s="0" t="n">
        <v>467.3</v>
      </c>
      <c r="L80" s="0" t="n">
        <v>123</v>
      </c>
      <c r="M80" s="0" t="n">
        <v>12.3</v>
      </c>
    </row>
    <row r="81" customFormat="false" ht="15" hidden="false" customHeight="false" outlineLevel="0" collapsed="false">
      <c r="B81" s="0" t="n">
        <v>160136</v>
      </c>
      <c r="C81" s="0" t="s">
        <v>81</v>
      </c>
      <c r="D81" s="0" t="s">
        <v>19</v>
      </c>
      <c r="E81" s="0" t="s">
        <v>165</v>
      </c>
      <c r="F81" s="0" t="s">
        <v>166</v>
      </c>
      <c r="G81" s="0" t="s">
        <v>20</v>
      </c>
      <c r="H81" s="0" t="n">
        <v>35.29871</v>
      </c>
      <c r="I81" s="0" t="n">
        <v>1764.94</v>
      </c>
      <c r="J81" s="0" t="n">
        <v>50</v>
      </c>
      <c r="K81" s="0" t="n">
        <v>1764.94</v>
      </c>
      <c r="L81" s="0" t="n">
        <v>477.5</v>
      </c>
      <c r="M81" s="0" t="n">
        <v>9.55</v>
      </c>
    </row>
    <row r="82" customFormat="false" ht="15" hidden="false" customHeight="false" outlineLevel="0" collapsed="false">
      <c r="B82" s="0" t="n">
        <v>160136</v>
      </c>
      <c r="C82" s="0" t="s">
        <v>81</v>
      </c>
      <c r="D82" s="0" t="s">
        <v>19</v>
      </c>
      <c r="E82" s="0" t="s">
        <v>165</v>
      </c>
      <c r="F82" s="0" t="s">
        <v>166</v>
      </c>
      <c r="G82" s="0" t="s">
        <v>20</v>
      </c>
      <c r="H82" s="0" t="n">
        <v>36.28236</v>
      </c>
      <c r="I82" s="0" t="n">
        <v>2176.94</v>
      </c>
      <c r="J82" s="0" t="n">
        <v>60</v>
      </c>
      <c r="K82" s="0" t="n">
        <v>2176.94</v>
      </c>
      <c r="L82" s="0" t="n">
        <v>573</v>
      </c>
      <c r="M82" s="0" t="n">
        <v>9.55</v>
      </c>
    </row>
    <row r="83" customFormat="false" ht="15" hidden="false" customHeight="false" outlineLevel="0" collapsed="false">
      <c r="B83" s="0" t="n">
        <v>160136</v>
      </c>
      <c r="C83" s="0" t="s">
        <v>81</v>
      </c>
      <c r="D83" s="0" t="s">
        <v>19</v>
      </c>
      <c r="E83" s="0" t="s">
        <v>165</v>
      </c>
      <c r="F83" s="0" t="s">
        <v>166</v>
      </c>
      <c r="G83" s="0" t="s">
        <v>20</v>
      </c>
      <c r="H83" s="0" t="n">
        <v>38.21146</v>
      </c>
      <c r="I83" s="0" t="n">
        <v>1146.34</v>
      </c>
      <c r="J83" s="0" t="n">
        <v>30</v>
      </c>
      <c r="K83" s="0" t="n">
        <v>1146.34</v>
      </c>
      <c r="L83" s="0" t="n">
        <v>286.5</v>
      </c>
      <c r="M83" s="0" t="n">
        <v>9.55</v>
      </c>
    </row>
    <row r="84" customFormat="false" ht="15" hidden="false" customHeight="false" outlineLevel="0" collapsed="false">
      <c r="B84" s="0" t="n">
        <v>160136</v>
      </c>
      <c r="C84" s="0" t="s">
        <v>81</v>
      </c>
      <c r="D84" s="0" t="s">
        <v>39</v>
      </c>
      <c r="E84" s="0" t="s">
        <v>167</v>
      </c>
      <c r="F84" s="0" t="s">
        <v>168</v>
      </c>
      <c r="G84" s="0" t="s">
        <v>40</v>
      </c>
      <c r="H84" s="0" t="n">
        <v>16.44809</v>
      </c>
      <c r="I84" s="0" t="n">
        <v>328.96</v>
      </c>
      <c r="J84" s="0" t="n">
        <v>20</v>
      </c>
      <c r="K84" s="0" t="n">
        <v>328.96</v>
      </c>
      <c r="L84" s="0" t="n">
        <v>89</v>
      </c>
      <c r="M84" s="0" t="n">
        <v>4.45</v>
      </c>
    </row>
    <row r="85" customFormat="false" ht="15" hidden="false" customHeight="false" outlineLevel="0" collapsed="false">
      <c r="B85" s="0" t="n">
        <v>160136</v>
      </c>
      <c r="C85" s="0" t="s">
        <v>81</v>
      </c>
      <c r="D85" s="0" t="s">
        <v>39</v>
      </c>
      <c r="E85" s="0" t="s">
        <v>167</v>
      </c>
      <c r="F85" s="0" t="s">
        <v>168</v>
      </c>
      <c r="G85" s="0" t="s">
        <v>40</v>
      </c>
      <c r="H85" s="0" t="n">
        <v>17.80534</v>
      </c>
      <c r="I85" s="0" t="n">
        <v>356.11</v>
      </c>
      <c r="J85" s="0" t="n">
        <v>20</v>
      </c>
      <c r="K85" s="0" t="n">
        <v>356.11</v>
      </c>
      <c r="L85" s="0" t="n">
        <v>89</v>
      </c>
      <c r="M85" s="0" t="n">
        <v>4.45</v>
      </c>
    </row>
    <row r="86" customFormat="false" ht="15" hidden="false" customHeight="false" outlineLevel="0" collapsed="false">
      <c r="B86" s="0" t="n">
        <v>160136</v>
      </c>
      <c r="C86" s="0" t="s">
        <v>81</v>
      </c>
      <c r="D86" s="0" t="s">
        <v>39</v>
      </c>
      <c r="E86" s="0" t="s">
        <v>167</v>
      </c>
      <c r="F86" s="0" t="s">
        <v>168</v>
      </c>
      <c r="G86" s="0" t="s">
        <v>40</v>
      </c>
      <c r="H86" s="0" t="n">
        <v>16.90644</v>
      </c>
      <c r="I86" s="0" t="n">
        <v>507.19</v>
      </c>
      <c r="J86" s="0" t="n">
        <v>30</v>
      </c>
      <c r="K86" s="0" t="n">
        <v>507.19</v>
      </c>
      <c r="L86" s="0" t="n">
        <v>133.5</v>
      </c>
      <c r="M86" s="0" t="n">
        <v>4.45</v>
      </c>
    </row>
    <row r="87" customFormat="false" ht="15" hidden="false" customHeight="false" outlineLevel="0" collapsed="false">
      <c r="B87" s="0" t="n">
        <v>160136</v>
      </c>
      <c r="C87" s="0" t="s">
        <v>81</v>
      </c>
      <c r="D87" s="0" t="s">
        <v>65</v>
      </c>
      <c r="E87" s="0" t="s">
        <v>169</v>
      </c>
      <c r="F87" s="0" t="s">
        <v>170</v>
      </c>
      <c r="G87" s="0" t="s">
        <v>66</v>
      </c>
      <c r="H87" s="0" t="n">
        <v>17.66628</v>
      </c>
      <c r="I87" s="0" t="n">
        <v>176.66</v>
      </c>
      <c r="J87" s="0" t="n">
        <v>10</v>
      </c>
      <c r="K87" s="0" t="n">
        <v>176.66</v>
      </c>
      <c r="L87" s="0" t="n">
        <v>46.5</v>
      </c>
      <c r="M87" s="0" t="n">
        <v>4.65</v>
      </c>
    </row>
    <row r="88" customFormat="false" ht="15" hidden="false" customHeight="false" outlineLevel="0" collapsed="false">
      <c r="B88" s="0" t="n">
        <v>160136</v>
      </c>
      <c r="C88" s="0" t="s">
        <v>81</v>
      </c>
      <c r="D88" s="0" t="s">
        <v>65</v>
      </c>
      <c r="E88" s="0" t="s">
        <v>169</v>
      </c>
      <c r="F88" s="0" t="s">
        <v>170</v>
      </c>
      <c r="G88" s="0" t="s">
        <v>66</v>
      </c>
      <c r="H88" s="0" t="n">
        <v>17.18733</v>
      </c>
      <c r="I88" s="0" t="n">
        <v>171.87</v>
      </c>
      <c r="J88" s="0" t="n">
        <v>10</v>
      </c>
      <c r="K88" s="0" t="n">
        <v>171.87</v>
      </c>
      <c r="L88" s="0" t="n">
        <v>46.5</v>
      </c>
      <c r="M88" s="0" t="n">
        <v>4.65</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M44"/>
  <sheetViews>
    <sheetView showFormulas="false" showGridLines="true" showRowColHeaders="true" showZeros="true" rightToLeft="true" tabSelected="false" showOutlineSymbols="true" defaultGridColor="true" view="normal" topLeftCell="A1" colorId="64" zoomScale="100" zoomScaleNormal="100" zoomScalePageLayoutView="100" workbookViewId="0">
      <pane xSplit="0" ySplit="2" topLeftCell="A3" activePane="bottomLeft" state="frozen"/>
      <selection pane="topLeft" activeCell="A1" activeCellId="0" sqref="A1"/>
      <selection pane="bottomLeft" activeCell="A1" activeCellId="0" sqref="A1"/>
    </sheetView>
  </sheetViews>
  <sheetFormatPr defaultColWidth="8.5390625" defaultRowHeight="15" zeroHeight="false" outlineLevelRow="0" outlineLevelCol="0"/>
  <cols>
    <col collapsed="false" customWidth="true" hidden="false" outlineLevel="0" max="1" min="1" style="0" width="13"/>
    <col collapsed="false" customWidth="true" hidden="false" outlineLevel="0" max="2" min="2" style="0" width="10"/>
    <col collapsed="false" customWidth="true" hidden="false" outlineLevel="0" max="3" min="3" style="0" width="12"/>
    <col collapsed="false" customWidth="true" hidden="false" outlineLevel="0" max="4" min="4" style="0" width="10"/>
    <col collapsed="false" customWidth="true" hidden="false" outlineLevel="0" max="5" min="5" style="0" width="24"/>
    <col collapsed="false" customWidth="true" hidden="false" outlineLevel="0" max="6" min="6" style="0" width="14"/>
    <col collapsed="false" customWidth="true" hidden="false" outlineLevel="0" max="7" min="7" style="0" width="22"/>
    <col collapsed="false" customWidth="true" hidden="false" outlineLevel="0" max="8" min="8" style="0" width="14"/>
    <col collapsed="false" customWidth="true" hidden="false" outlineLevel="0" max="9" min="9" style="0" width="10"/>
    <col collapsed="false" customWidth="true" hidden="false" outlineLevel="0" max="10" min="10" style="0" width="12"/>
    <col collapsed="false" customWidth="true" hidden="false" outlineLevel="0" max="11" min="11" style="0" width="16"/>
    <col collapsed="false" customWidth="true" hidden="false" outlineLevel="0" max="12" min="12" style="0" width="29"/>
    <col collapsed="false" customWidth="true" hidden="false" outlineLevel="0" max="13" min="13" style="0" width="30"/>
  </cols>
  <sheetData>
    <row r="1" customFormat="false" ht="15" hidden="false" customHeight="false" outlineLevel="0" collapsed="false">
      <c r="A1" s="2" t="s">
        <v>171</v>
      </c>
    </row>
    <row r="2" customFormat="false" ht="15" hidden="false" customHeight="false" outlineLevel="0" collapsed="false">
      <c r="A2" s="6" t="s">
        <v>69</v>
      </c>
      <c r="B2" s="6" t="s">
        <v>70</v>
      </c>
      <c r="C2" s="6" t="s">
        <v>71</v>
      </c>
      <c r="D2" s="6" t="s">
        <v>4</v>
      </c>
      <c r="E2" s="6" t="s">
        <v>72</v>
      </c>
      <c r="F2" s="6" t="s">
        <v>73</v>
      </c>
      <c r="G2" s="6" t="s">
        <v>74</v>
      </c>
      <c r="H2" s="6" t="s">
        <v>75</v>
      </c>
      <c r="I2" s="6" t="s">
        <v>76</v>
      </c>
      <c r="J2" s="6" t="s">
        <v>77</v>
      </c>
      <c r="K2" s="6" t="s">
        <v>78</v>
      </c>
      <c r="L2" s="6" t="s">
        <v>79</v>
      </c>
      <c r="M2" s="6" t="s">
        <v>80</v>
      </c>
    </row>
    <row r="3" customFormat="false" ht="15" hidden="false" customHeight="false" outlineLevel="0" collapsed="false">
      <c r="B3" s="0" t="n">
        <v>160136</v>
      </c>
      <c r="C3" s="0" t="s">
        <v>81</v>
      </c>
      <c r="D3" s="0" t="s">
        <v>55</v>
      </c>
      <c r="E3" s="0" t="s">
        <v>82</v>
      </c>
      <c r="F3" s="0" t="s">
        <v>83</v>
      </c>
      <c r="G3" s="0" t="s">
        <v>56</v>
      </c>
      <c r="H3" s="0" t="n">
        <v>22.68441</v>
      </c>
      <c r="I3" s="0" t="n">
        <v>1361.06</v>
      </c>
      <c r="J3" s="0" t="n">
        <v>60</v>
      </c>
      <c r="K3" s="0" t="n">
        <v>1361.06</v>
      </c>
      <c r="L3" s="0" t="n">
        <v>378</v>
      </c>
      <c r="M3" s="0" t="n">
        <v>6.3</v>
      </c>
    </row>
    <row r="4" customFormat="false" ht="15" hidden="false" customHeight="false" outlineLevel="0" collapsed="false">
      <c r="B4" s="0" t="n">
        <v>160136</v>
      </c>
      <c r="C4" s="0" t="s">
        <v>81</v>
      </c>
      <c r="D4" s="0" t="s">
        <v>55</v>
      </c>
      <c r="E4" s="0" t="s">
        <v>82</v>
      </c>
      <c r="F4" s="0" t="s">
        <v>83</v>
      </c>
      <c r="G4" s="0" t="s">
        <v>56</v>
      </c>
      <c r="H4" s="0" t="n">
        <v>22.03236</v>
      </c>
      <c r="I4" s="0" t="n">
        <v>1321.94</v>
      </c>
      <c r="J4" s="0" t="n">
        <v>60</v>
      </c>
      <c r="K4" s="0" t="n">
        <v>1321.94</v>
      </c>
      <c r="L4" s="0" t="n">
        <v>378</v>
      </c>
      <c r="M4" s="0" t="n">
        <v>6.3</v>
      </c>
    </row>
    <row r="5" customFormat="false" ht="15" hidden="false" customHeight="false" outlineLevel="0" collapsed="false">
      <c r="B5" s="0" t="n">
        <v>160136</v>
      </c>
      <c r="C5" s="0" t="s">
        <v>81</v>
      </c>
      <c r="D5" s="0" t="s">
        <v>51</v>
      </c>
      <c r="E5" s="0" t="s">
        <v>84</v>
      </c>
      <c r="F5" s="0" t="s">
        <v>85</v>
      </c>
      <c r="G5" s="0" t="s">
        <v>52</v>
      </c>
      <c r="H5" s="0" t="n">
        <v>36.547105</v>
      </c>
      <c r="I5" s="0" t="n">
        <v>365.47</v>
      </c>
      <c r="J5" s="0" t="n">
        <v>10</v>
      </c>
      <c r="K5" s="0" t="n">
        <v>365.47</v>
      </c>
      <c r="L5" s="0" t="n">
        <v>101.5</v>
      </c>
      <c r="M5" s="0" t="n">
        <v>10.15</v>
      </c>
    </row>
    <row r="6" customFormat="false" ht="15" hidden="false" customHeight="false" outlineLevel="0" collapsed="false">
      <c r="B6" s="0" t="n">
        <v>160136</v>
      </c>
      <c r="C6" s="0" t="s">
        <v>81</v>
      </c>
      <c r="D6" s="0" t="s">
        <v>51</v>
      </c>
      <c r="E6" s="0" t="s">
        <v>84</v>
      </c>
      <c r="F6" s="0" t="s">
        <v>85</v>
      </c>
      <c r="G6" s="0" t="s">
        <v>52</v>
      </c>
      <c r="H6" s="0" t="n">
        <v>35.49658</v>
      </c>
      <c r="I6" s="0" t="n">
        <v>354.97</v>
      </c>
      <c r="J6" s="0" t="n">
        <v>10</v>
      </c>
      <c r="K6" s="0" t="n">
        <v>354.97</v>
      </c>
      <c r="L6" s="0" t="n">
        <v>101.5</v>
      </c>
      <c r="M6" s="0" t="n">
        <v>10.15</v>
      </c>
    </row>
    <row r="7" customFormat="false" ht="15" hidden="false" customHeight="false" outlineLevel="0" collapsed="false">
      <c r="B7" s="0" t="n">
        <v>160136</v>
      </c>
      <c r="C7" s="0" t="s">
        <v>81</v>
      </c>
      <c r="D7" s="0" t="s">
        <v>51</v>
      </c>
      <c r="E7" s="0" t="s">
        <v>86</v>
      </c>
      <c r="F7" s="0" t="s">
        <v>87</v>
      </c>
      <c r="G7" s="0" t="s">
        <v>52</v>
      </c>
      <c r="H7" s="0" t="n">
        <v>35.49658</v>
      </c>
      <c r="I7" s="0" t="n">
        <v>709.93</v>
      </c>
      <c r="J7" s="0" t="n">
        <v>20</v>
      </c>
      <c r="K7" s="0" t="n">
        <v>709.93</v>
      </c>
      <c r="L7" s="0" t="n">
        <v>203</v>
      </c>
      <c r="M7" s="0" t="n">
        <v>10.15</v>
      </c>
    </row>
    <row r="8" customFormat="false" ht="15" hidden="false" customHeight="false" outlineLevel="0" collapsed="false">
      <c r="B8" s="0" t="n">
        <v>160136</v>
      </c>
      <c r="C8" s="0" t="s">
        <v>81</v>
      </c>
      <c r="D8" s="0" t="s">
        <v>51</v>
      </c>
      <c r="E8" s="0" t="s">
        <v>86</v>
      </c>
      <c r="F8" s="0" t="s">
        <v>87</v>
      </c>
      <c r="G8" s="0" t="s">
        <v>52</v>
      </c>
      <c r="H8" s="0" t="n">
        <v>36.547105</v>
      </c>
      <c r="I8" s="0" t="n">
        <v>730.94</v>
      </c>
      <c r="J8" s="0" t="n">
        <v>20</v>
      </c>
      <c r="K8" s="0" t="n">
        <v>730.94</v>
      </c>
      <c r="L8" s="0" t="n">
        <v>203</v>
      </c>
      <c r="M8" s="0" t="n">
        <v>10.15</v>
      </c>
    </row>
    <row r="9" customFormat="false" ht="15" hidden="false" customHeight="false" outlineLevel="0" collapsed="false">
      <c r="B9" s="0" t="n">
        <v>160136</v>
      </c>
      <c r="C9" s="0" t="s">
        <v>81</v>
      </c>
      <c r="D9" s="0" t="s">
        <v>53</v>
      </c>
      <c r="E9" s="0" t="s">
        <v>172</v>
      </c>
      <c r="F9" s="0" t="s">
        <v>173</v>
      </c>
      <c r="G9" s="0" t="s">
        <v>54</v>
      </c>
      <c r="H9" s="0" t="n">
        <v>6.46982</v>
      </c>
      <c r="I9" s="0" t="n">
        <v>129.4</v>
      </c>
      <c r="J9" s="0" t="n">
        <v>20</v>
      </c>
      <c r="K9" s="0" t="n">
        <v>129.4</v>
      </c>
      <c r="L9" s="0" t="n">
        <v>37</v>
      </c>
      <c r="M9" s="0" t="n">
        <v>1.85</v>
      </c>
    </row>
    <row r="10" customFormat="false" ht="15" hidden="false" customHeight="false" outlineLevel="0" collapsed="false">
      <c r="B10" s="0" t="n">
        <v>160136</v>
      </c>
      <c r="C10" s="0" t="s">
        <v>81</v>
      </c>
      <c r="D10" s="0" t="s">
        <v>53</v>
      </c>
      <c r="E10" s="0" t="s">
        <v>172</v>
      </c>
      <c r="F10" s="0" t="s">
        <v>173</v>
      </c>
      <c r="G10" s="0" t="s">
        <v>54</v>
      </c>
      <c r="H10" s="0" t="n">
        <v>6.661295</v>
      </c>
      <c r="I10" s="0" t="n">
        <v>133.23</v>
      </c>
      <c r="J10" s="0" t="n">
        <v>20</v>
      </c>
      <c r="K10" s="0" t="n">
        <v>133.23</v>
      </c>
      <c r="L10" s="0" t="n">
        <v>37</v>
      </c>
      <c r="M10" s="0" t="n">
        <v>1.85</v>
      </c>
    </row>
    <row r="11" customFormat="false" ht="15" hidden="false" customHeight="false" outlineLevel="0" collapsed="false">
      <c r="B11" s="0" t="n">
        <v>160136</v>
      </c>
      <c r="C11" s="0" t="s">
        <v>81</v>
      </c>
      <c r="D11" s="0" t="s">
        <v>35</v>
      </c>
      <c r="E11" s="0" t="s">
        <v>90</v>
      </c>
      <c r="F11" s="0" t="s">
        <v>91</v>
      </c>
      <c r="G11" s="0" t="s">
        <v>36</v>
      </c>
      <c r="H11" s="0" t="n">
        <v>11.16217</v>
      </c>
      <c r="I11" s="0" t="n">
        <v>111.62</v>
      </c>
      <c r="J11" s="0" t="n">
        <v>10</v>
      </c>
      <c r="K11" s="0" t="n">
        <v>111.62</v>
      </c>
      <c r="L11" s="0" t="n">
        <v>31</v>
      </c>
      <c r="M11" s="0" t="n">
        <v>3.1</v>
      </c>
    </row>
    <row r="12" customFormat="false" ht="15" hidden="false" customHeight="false" outlineLevel="0" collapsed="false">
      <c r="B12" s="0" t="n">
        <v>160136</v>
      </c>
      <c r="C12" s="0" t="s">
        <v>81</v>
      </c>
      <c r="D12" s="0" t="s">
        <v>35</v>
      </c>
      <c r="E12" s="0" t="s">
        <v>90</v>
      </c>
      <c r="F12" s="0" t="s">
        <v>91</v>
      </c>
      <c r="G12" s="0" t="s">
        <v>36</v>
      </c>
      <c r="H12" s="0" t="n">
        <v>10.84132</v>
      </c>
      <c r="I12" s="0" t="n">
        <v>108.41</v>
      </c>
      <c r="J12" s="0" t="n">
        <v>10</v>
      </c>
      <c r="K12" s="0" t="n">
        <v>108.41</v>
      </c>
      <c r="L12" s="0" t="n">
        <v>31</v>
      </c>
      <c r="M12" s="0" t="n">
        <v>3.1</v>
      </c>
    </row>
    <row r="13" customFormat="false" ht="15" hidden="false" customHeight="false" outlineLevel="0" collapsed="false">
      <c r="B13" s="0" t="n">
        <v>160136</v>
      </c>
      <c r="C13" s="0" t="s">
        <v>81</v>
      </c>
      <c r="D13" s="0" t="s">
        <v>35</v>
      </c>
      <c r="E13" s="0" t="s">
        <v>92</v>
      </c>
      <c r="F13" s="0" t="s">
        <v>93</v>
      </c>
      <c r="G13" s="0" t="s">
        <v>36</v>
      </c>
      <c r="H13" s="0" t="n">
        <v>10.84132</v>
      </c>
      <c r="I13" s="0" t="n">
        <v>216.83</v>
      </c>
      <c r="J13" s="0" t="n">
        <v>20</v>
      </c>
      <c r="K13" s="0" t="n">
        <v>216.83</v>
      </c>
      <c r="L13" s="0" t="n">
        <v>62</v>
      </c>
      <c r="M13" s="0" t="n">
        <v>3.1</v>
      </c>
    </row>
    <row r="14" customFormat="false" ht="15" hidden="false" customHeight="false" outlineLevel="0" collapsed="false">
      <c r="B14" s="0" t="n">
        <v>160136</v>
      </c>
      <c r="C14" s="0" t="s">
        <v>81</v>
      </c>
      <c r="D14" s="0" t="s">
        <v>35</v>
      </c>
      <c r="E14" s="0" t="s">
        <v>92</v>
      </c>
      <c r="F14" s="0" t="s">
        <v>93</v>
      </c>
      <c r="G14" s="0" t="s">
        <v>36</v>
      </c>
      <c r="H14" s="0" t="n">
        <v>11.16217</v>
      </c>
      <c r="I14" s="0" t="n">
        <v>223.24</v>
      </c>
      <c r="J14" s="0" t="n">
        <v>20</v>
      </c>
      <c r="K14" s="0" t="n">
        <v>223.24</v>
      </c>
      <c r="L14" s="0" t="n">
        <v>62</v>
      </c>
      <c r="M14" s="0" t="n">
        <v>3.1</v>
      </c>
    </row>
    <row r="15" customFormat="false" ht="15" hidden="false" customHeight="false" outlineLevel="0" collapsed="false">
      <c r="B15" s="0" t="n">
        <v>160136</v>
      </c>
      <c r="C15" s="0" t="s">
        <v>81</v>
      </c>
      <c r="D15" s="0" t="s">
        <v>47</v>
      </c>
      <c r="E15" s="0" t="s">
        <v>102</v>
      </c>
      <c r="F15" s="0" t="s">
        <v>103</v>
      </c>
      <c r="G15" s="0" t="s">
        <v>48</v>
      </c>
      <c r="H15" s="0" t="n">
        <v>13.28936</v>
      </c>
      <c r="I15" s="0" t="n">
        <v>265.79</v>
      </c>
      <c r="J15" s="0" t="n">
        <v>20</v>
      </c>
      <c r="K15" s="0" t="n">
        <v>265.79</v>
      </c>
      <c r="L15" s="0" t="n">
        <v>76</v>
      </c>
      <c r="M15" s="0" t="n">
        <v>3.8</v>
      </c>
    </row>
    <row r="16" customFormat="false" ht="15" hidden="false" customHeight="false" outlineLevel="0" collapsed="false">
      <c r="B16" s="0" t="n">
        <v>160136</v>
      </c>
      <c r="C16" s="0" t="s">
        <v>81</v>
      </c>
      <c r="D16" s="0" t="s">
        <v>47</v>
      </c>
      <c r="E16" s="0" t="s">
        <v>102</v>
      </c>
      <c r="F16" s="0" t="s">
        <v>103</v>
      </c>
      <c r="G16" s="0" t="s">
        <v>48</v>
      </c>
      <c r="H16" s="0" t="n">
        <v>13.68266</v>
      </c>
      <c r="I16" s="0" t="n">
        <v>273.65</v>
      </c>
      <c r="J16" s="0" t="n">
        <v>20</v>
      </c>
      <c r="K16" s="0" t="n">
        <v>273.65</v>
      </c>
      <c r="L16" s="0" t="n">
        <v>76</v>
      </c>
      <c r="M16" s="0" t="n">
        <v>3.8</v>
      </c>
    </row>
    <row r="17" customFormat="false" ht="15" hidden="false" customHeight="false" outlineLevel="0" collapsed="false">
      <c r="B17" s="0" t="n">
        <v>160136</v>
      </c>
      <c r="C17" s="0" t="s">
        <v>81</v>
      </c>
      <c r="D17" s="0" t="s">
        <v>43</v>
      </c>
      <c r="E17" s="0" t="s">
        <v>104</v>
      </c>
      <c r="F17" s="0" t="s">
        <v>105</v>
      </c>
      <c r="G17" s="0" t="s">
        <v>44</v>
      </c>
      <c r="H17" s="0" t="n">
        <v>16.383185</v>
      </c>
      <c r="I17" s="0" t="n">
        <v>655.33</v>
      </c>
      <c r="J17" s="0" t="n">
        <v>40</v>
      </c>
      <c r="K17" s="0" t="n">
        <v>655.33</v>
      </c>
      <c r="L17" s="0" t="n">
        <v>182</v>
      </c>
      <c r="M17" s="0" t="n">
        <v>4.55</v>
      </c>
    </row>
    <row r="18" customFormat="false" ht="15" hidden="false" customHeight="false" outlineLevel="0" collapsed="false">
      <c r="B18" s="0" t="n">
        <v>160136</v>
      </c>
      <c r="C18" s="0" t="s">
        <v>81</v>
      </c>
      <c r="D18" s="0" t="s">
        <v>43</v>
      </c>
      <c r="E18" s="0" t="s">
        <v>104</v>
      </c>
      <c r="F18" s="0" t="s">
        <v>105</v>
      </c>
      <c r="G18" s="0" t="s">
        <v>44</v>
      </c>
      <c r="H18" s="0" t="n">
        <v>15.91226</v>
      </c>
      <c r="I18" s="0" t="n">
        <v>636.49</v>
      </c>
      <c r="J18" s="0" t="n">
        <v>40</v>
      </c>
      <c r="K18" s="0" t="n">
        <v>636.49</v>
      </c>
      <c r="L18" s="0" t="n">
        <v>182</v>
      </c>
      <c r="M18" s="0" t="n">
        <v>4.55</v>
      </c>
    </row>
    <row r="19" customFormat="false" ht="15" hidden="false" customHeight="false" outlineLevel="0" collapsed="false">
      <c r="B19" s="0" t="n">
        <v>160136</v>
      </c>
      <c r="C19" s="0" t="s">
        <v>81</v>
      </c>
      <c r="D19" s="0" t="s">
        <v>37</v>
      </c>
      <c r="E19" s="0" t="s">
        <v>106</v>
      </c>
      <c r="F19" s="0" t="s">
        <v>107</v>
      </c>
      <c r="G19" s="0" t="s">
        <v>38</v>
      </c>
      <c r="H19" s="0" t="n">
        <v>16.26198</v>
      </c>
      <c r="I19" s="0" t="n">
        <v>650.48</v>
      </c>
      <c r="J19" s="0" t="n">
        <v>40</v>
      </c>
      <c r="K19" s="0" t="n">
        <v>650.48</v>
      </c>
      <c r="L19" s="0" t="n">
        <v>186</v>
      </c>
      <c r="M19" s="0" t="n">
        <v>4.65</v>
      </c>
    </row>
    <row r="20" customFormat="false" ht="15" hidden="false" customHeight="false" outlineLevel="0" collapsed="false">
      <c r="B20" s="0" t="n">
        <v>160136</v>
      </c>
      <c r="C20" s="0" t="s">
        <v>81</v>
      </c>
      <c r="D20" s="0" t="s">
        <v>37</v>
      </c>
      <c r="E20" s="0" t="s">
        <v>106</v>
      </c>
      <c r="F20" s="0" t="s">
        <v>107</v>
      </c>
      <c r="G20" s="0" t="s">
        <v>38</v>
      </c>
      <c r="H20" s="0" t="n">
        <v>16.743255</v>
      </c>
      <c r="I20" s="0" t="n">
        <v>669.73</v>
      </c>
      <c r="J20" s="0" t="n">
        <v>40</v>
      </c>
      <c r="K20" s="0" t="n">
        <v>669.73</v>
      </c>
      <c r="L20" s="0" t="n">
        <v>186</v>
      </c>
      <c r="M20" s="0" t="n">
        <v>4.65</v>
      </c>
    </row>
    <row r="21" customFormat="false" ht="15" hidden="false" customHeight="false" outlineLevel="0" collapsed="false">
      <c r="B21" s="0" t="n">
        <v>160136</v>
      </c>
      <c r="C21" s="0" t="s">
        <v>81</v>
      </c>
      <c r="D21" s="0" t="s">
        <v>49</v>
      </c>
      <c r="E21" s="0" t="s">
        <v>108</v>
      </c>
      <c r="F21" s="0" t="s">
        <v>109</v>
      </c>
      <c r="G21" s="0" t="s">
        <v>50</v>
      </c>
      <c r="H21" s="0" t="n">
        <v>13.68266</v>
      </c>
      <c r="I21" s="0" t="n">
        <v>273.65</v>
      </c>
      <c r="J21" s="0" t="n">
        <v>20</v>
      </c>
      <c r="K21" s="0" t="n">
        <v>273.65</v>
      </c>
      <c r="L21" s="0" t="n">
        <v>76</v>
      </c>
      <c r="M21" s="0" t="n">
        <v>3.8</v>
      </c>
    </row>
    <row r="22" customFormat="false" ht="15" hidden="false" customHeight="false" outlineLevel="0" collapsed="false">
      <c r="B22" s="0" t="n">
        <v>160136</v>
      </c>
      <c r="C22" s="0" t="s">
        <v>81</v>
      </c>
      <c r="D22" s="0" t="s">
        <v>49</v>
      </c>
      <c r="E22" s="0" t="s">
        <v>108</v>
      </c>
      <c r="F22" s="0" t="s">
        <v>109</v>
      </c>
      <c r="G22" s="0" t="s">
        <v>50</v>
      </c>
      <c r="H22" s="0" t="n">
        <v>13.28936</v>
      </c>
      <c r="I22" s="0" t="n">
        <v>265.79</v>
      </c>
      <c r="J22" s="0" t="n">
        <v>20</v>
      </c>
      <c r="K22" s="0" t="n">
        <v>265.79</v>
      </c>
      <c r="L22" s="0" t="n">
        <v>76</v>
      </c>
      <c r="M22" s="0" t="n">
        <v>3.8</v>
      </c>
    </row>
    <row r="23" customFormat="false" ht="15" hidden="false" customHeight="false" outlineLevel="0" collapsed="false">
      <c r="B23" s="0" t="n">
        <v>160136</v>
      </c>
      <c r="C23" s="0" t="s">
        <v>81</v>
      </c>
      <c r="D23" s="0" t="s">
        <v>17</v>
      </c>
      <c r="E23" s="0" t="s">
        <v>174</v>
      </c>
      <c r="F23" s="0" t="s">
        <v>175</v>
      </c>
      <c r="G23" s="0" t="s">
        <v>18</v>
      </c>
      <c r="H23" s="0" t="n">
        <v>29.16567</v>
      </c>
      <c r="I23" s="0" t="n">
        <v>583.31</v>
      </c>
      <c r="J23" s="0" t="n">
        <v>20</v>
      </c>
      <c r="K23" s="0" t="n">
        <v>583.31</v>
      </c>
      <c r="L23" s="0" t="n">
        <v>162</v>
      </c>
      <c r="M23" s="0" t="n">
        <v>8.1</v>
      </c>
    </row>
    <row r="24" customFormat="false" ht="15" hidden="false" customHeight="false" outlineLevel="0" collapsed="false">
      <c r="B24" s="0" t="n">
        <v>160136</v>
      </c>
      <c r="C24" s="0" t="s">
        <v>81</v>
      </c>
      <c r="D24" s="0" t="s">
        <v>17</v>
      </c>
      <c r="E24" s="0" t="s">
        <v>174</v>
      </c>
      <c r="F24" s="0" t="s">
        <v>175</v>
      </c>
      <c r="G24" s="0" t="s">
        <v>18</v>
      </c>
      <c r="H24" s="0" t="n">
        <v>28.32732</v>
      </c>
      <c r="I24" s="0" t="n">
        <v>1133.09</v>
      </c>
      <c r="J24" s="0" t="n">
        <v>40</v>
      </c>
      <c r="K24" s="0" t="n">
        <v>1133.09</v>
      </c>
      <c r="L24" s="0" t="n">
        <v>324</v>
      </c>
      <c r="M24" s="0" t="n">
        <v>8.1</v>
      </c>
    </row>
    <row r="25" customFormat="false" ht="15" hidden="false" customHeight="false" outlineLevel="0" collapsed="false">
      <c r="B25" s="0" t="n">
        <v>160136</v>
      </c>
      <c r="C25" s="0" t="s">
        <v>81</v>
      </c>
      <c r="D25" s="0" t="s">
        <v>17</v>
      </c>
      <c r="E25" s="0" t="s">
        <v>122</v>
      </c>
      <c r="F25" s="0" t="s">
        <v>123</v>
      </c>
      <c r="G25" s="0" t="s">
        <v>18</v>
      </c>
      <c r="H25" s="0" t="n">
        <v>29.16567</v>
      </c>
      <c r="I25" s="0" t="n">
        <v>2333.25</v>
      </c>
      <c r="J25" s="0" t="n">
        <v>80</v>
      </c>
      <c r="K25" s="0" t="n">
        <v>2333.25</v>
      </c>
      <c r="L25" s="0" t="n">
        <v>648</v>
      </c>
      <c r="M25" s="0" t="n">
        <v>8.1</v>
      </c>
    </row>
    <row r="26" customFormat="false" ht="15" hidden="false" customHeight="false" outlineLevel="0" collapsed="false">
      <c r="B26" s="0" t="n">
        <v>160136</v>
      </c>
      <c r="C26" s="0" t="s">
        <v>81</v>
      </c>
      <c r="D26" s="0" t="s">
        <v>17</v>
      </c>
      <c r="E26" s="0" t="s">
        <v>122</v>
      </c>
      <c r="F26" s="0" t="s">
        <v>123</v>
      </c>
      <c r="G26" s="0" t="s">
        <v>18</v>
      </c>
      <c r="H26" s="0" t="n">
        <v>28.32732</v>
      </c>
      <c r="I26" s="0" t="n">
        <v>3116.01</v>
      </c>
      <c r="J26" s="0" t="n">
        <v>110</v>
      </c>
      <c r="K26" s="0" t="n">
        <v>3116.01</v>
      </c>
      <c r="L26" s="0" t="n">
        <v>891</v>
      </c>
      <c r="M26" s="0" t="n">
        <v>8.1</v>
      </c>
    </row>
    <row r="27" customFormat="false" ht="15" hidden="false" customHeight="false" outlineLevel="0" collapsed="false">
      <c r="B27" s="0" t="n">
        <v>160136</v>
      </c>
      <c r="C27" s="0" t="s">
        <v>81</v>
      </c>
      <c r="D27" s="0" t="s">
        <v>17</v>
      </c>
      <c r="E27" s="0" t="s">
        <v>176</v>
      </c>
      <c r="F27" s="0" t="s">
        <v>177</v>
      </c>
      <c r="G27" s="0" t="s">
        <v>18</v>
      </c>
      <c r="H27" s="0" t="n">
        <v>28.32732</v>
      </c>
      <c r="I27" s="0" t="n">
        <v>1982.91</v>
      </c>
      <c r="J27" s="0" t="n">
        <v>70</v>
      </c>
      <c r="K27" s="0" t="n">
        <v>1982.91</v>
      </c>
      <c r="L27" s="0" t="n">
        <v>567</v>
      </c>
      <c r="M27" s="0" t="n">
        <v>8.1</v>
      </c>
    </row>
    <row r="28" customFormat="false" ht="15" hidden="false" customHeight="false" outlineLevel="0" collapsed="false">
      <c r="B28" s="0" t="n">
        <v>160136</v>
      </c>
      <c r="C28" s="0" t="s">
        <v>81</v>
      </c>
      <c r="D28" s="0" t="s">
        <v>17</v>
      </c>
      <c r="E28" s="0" t="s">
        <v>176</v>
      </c>
      <c r="F28" s="0" t="s">
        <v>177</v>
      </c>
      <c r="G28" s="0" t="s">
        <v>18</v>
      </c>
      <c r="H28" s="0" t="n">
        <v>29.16567</v>
      </c>
      <c r="I28" s="0" t="n">
        <v>1458.28</v>
      </c>
      <c r="J28" s="0" t="n">
        <v>50</v>
      </c>
      <c r="K28" s="0" t="n">
        <v>1458.28</v>
      </c>
      <c r="L28" s="0" t="n">
        <v>405</v>
      </c>
      <c r="M28" s="0" t="n">
        <v>8.1</v>
      </c>
    </row>
    <row r="29" customFormat="false" ht="15" hidden="false" customHeight="false" outlineLevel="0" collapsed="false">
      <c r="B29" s="0" t="n">
        <v>160136</v>
      </c>
      <c r="C29" s="0" t="s">
        <v>81</v>
      </c>
      <c r="D29" s="0" t="s">
        <v>41</v>
      </c>
      <c r="E29" s="0" t="s">
        <v>146</v>
      </c>
      <c r="F29" s="0" t="s">
        <v>147</v>
      </c>
      <c r="G29" s="0" t="s">
        <v>42</v>
      </c>
      <c r="H29" s="0" t="n">
        <v>10.84132</v>
      </c>
      <c r="I29" s="0" t="n">
        <v>108.41</v>
      </c>
      <c r="J29" s="0" t="n">
        <v>10</v>
      </c>
      <c r="K29" s="0" t="n">
        <v>108.41</v>
      </c>
      <c r="L29" s="0" t="n">
        <v>31</v>
      </c>
      <c r="M29" s="0" t="n">
        <v>3.1</v>
      </c>
    </row>
    <row r="30" customFormat="false" ht="15" hidden="false" customHeight="false" outlineLevel="0" collapsed="false">
      <c r="B30" s="0" t="n">
        <v>160136</v>
      </c>
      <c r="C30" s="0" t="s">
        <v>81</v>
      </c>
      <c r="D30" s="0" t="s">
        <v>41</v>
      </c>
      <c r="E30" s="0" t="s">
        <v>146</v>
      </c>
      <c r="F30" s="0" t="s">
        <v>147</v>
      </c>
      <c r="G30" s="0" t="s">
        <v>42</v>
      </c>
      <c r="H30" s="0" t="n">
        <v>11.16217</v>
      </c>
      <c r="I30" s="0" t="n">
        <v>111.62</v>
      </c>
      <c r="J30" s="0" t="n">
        <v>10</v>
      </c>
      <c r="K30" s="0" t="n">
        <v>111.62</v>
      </c>
      <c r="L30" s="0" t="n">
        <v>31</v>
      </c>
      <c r="M30" s="0" t="n">
        <v>3.1</v>
      </c>
    </row>
    <row r="31" customFormat="false" ht="15" hidden="false" customHeight="false" outlineLevel="0" collapsed="false">
      <c r="B31" s="0" t="n">
        <v>160136</v>
      </c>
      <c r="C31" s="0" t="s">
        <v>81</v>
      </c>
      <c r="D31" s="0" t="s">
        <v>41</v>
      </c>
      <c r="E31" s="0" t="s">
        <v>178</v>
      </c>
      <c r="F31" s="0" t="s">
        <v>179</v>
      </c>
      <c r="G31" s="0" t="s">
        <v>42</v>
      </c>
      <c r="H31" s="0" t="n">
        <v>11.16217</v>
      </c>
      <c r="I31" s="0" t="n">
        <v>223.24</v>
      </c>
      <c r="J31" s="0" t="n">
        <v>20</v>
      </c>
      <c r="K31" s="0" t="n">
        <v>223.24</v>
      </c>
      <c r="L31" s="0" t="n">
        <v>62</v>
      </c>
      <c r="M31" s="0" t="n">
        <v>3.1</v>
      </c>
    </row>
    <row r="32" customFormat="false" ht="15" hidden="false" customHeight="false" outlineLevel="0" collapsed="false">
      <c r="B32" s="0" t="n">
        <v>160136</v>
      </c>
      <c r="C32" s="0" t="s">
        <v>81</v>
      </c>
      <c r="D32" s="0" t="s">
        <v>41</v>
      </c>
      <c r="E32" s="0" t="s">
        <v>178</v>
      </c>
      <c r="F32" s="0" t="s">
        <v>179</v>
      </c>
      <c r="G32" s="0" t="s">
        <v>42</v>
      </c>
      <c r="H32" s="0" t="n">
        <v>10.84132</v>
      </c>
      <c r="I32" s="0" t="n">
        <v>216.83</v>
      </c>
      <c r="J32" s="0" t="n">
        <v>20</v>
      </c>
      <c r="K32" s="0" t="n">
        <v>216.83</v>
      </c>
      <c r="L32" s="0" t="n">
        <v>62</v>
      </c>
      <c r="M32" s="0" t="n">
        <v>3.1</v>
      </c>
    </row>
    <row r="33" customFormat="false" ht="15" hidden="false" customHeight="false" outlineLevel="0" collapsed="false">
      <c r="B33" s="0" t="n">
        <v>160136</v>
      </c>
      <c r="C33" s="0" t="s">
        <v>81</v>
      </c>
      <c r="D33" s="0" t="s">
        <v>41</v>
      </c>
      <c r="E33" s="0" t="s">
        <v>148</v>
      </c>
      <c r="F33" s="0" t="s">
        <v>149</v>
      </c>
      <c r="G33" s="0" t="s">
        <v>42</v>
      </c>
      <c r="H33" s="0" t="n">
        <v>10.84132</v>
      </c>
      <c r="I33" s="0" t="n">
        <v>108.41</v>
      </c>
      <c r="J33" s="0" t="n">
        <v>10</v>
      </c>
      <c r="K33" s="0" t="n">
        <v>108.41</v>
      </c>
      <c r="L33" s="0" t="n">
        <v>31</v>
      </c>
      <c r="M33" s="0" t="n">
        <v>3.1</v>
      </c>
    </row>
    <row r="34" customFormat="false" ht="15" hidden="false" customHeight="false" outlineLevel="0" collapsed="false">
      <c r="B34" s="0" t="n">
        <v>160136</v>
      </c>
      <c r="C34" s="0" t="s">
        <v>81</v>
      </c>
      <c r="D34" s="0" t="s">
        <v>41</v>
      </c>
      <c r="E34" s="0" t="s">
        <v>148</v>
      </c>
      <c r="F34" s="0" t="s">
        <v>149</v>
      </c>
      <c r="G34" s="0" t="s">
        <v>42</v>
      </c>
      <c r="H34" s="0" t="n">
        <v>11.16217</v>
      </c>
      <c r="I34" s="0" t="n">
        <v>111.62</v>
      </c>
      <c r="J34" s="0" t="n">
        <v>10</v>
      </c>
      <c r="K34" s="0" t="n">
        <v>111.62</v>
      </c>
      <c r="L34" s="0" t="n">
        <v>31</v>
      </c>
      <c r="M34" s="0" t="n">
        <v>3.1</v>
      </c>
    </row>
    <row r="35" customFormat="false" ht="15" hidden="false" customHeight="false" outlineLevel="0" collapsed="false">
      <c r="B35" s="0" t="n">
        <v>160136</v>
      </c>
      <c r="C35" s="0" t="s">
        <v>81</v>
      </c>
      <c r="D35" s="0" t="s">
        <v>26</v>
      </c>
      <c r="E35" s="0" t="s">
        <v>152</v>
      </c>
      <c r="F35" s="0" t="s">
        <v>153</v>
      </c>
      <c r="G35" s="0" t="s">
        <v>27</v>
      </c>
      <c r="H35" s="0" t="n">
        <v>15.302975</v>
      </c>
      <c r="I35" s="0" t="n">
        <v>1836.36</v>
      </c>
      <c r="J35" s="0" t="n">
        <v>120</v>
      </c>
      <c r="K35" s="0" t="n">
        <v>1836.36</v>
      </c>
      <c r="L35" s="0" t="n">
        <v>510</v>
      </c>
      <c r="M35" s="0" t="n">
        <v>4.25</v>
      </c>
    </row>
    <row r="36" customFormat="false" ht="15" hidden="false" customHeight="false" outlineLevel="0" collapsed="false">
      <c r="B36" s="0" t="n">
        <v>160136</v>
      </c>
      <c r="C36" s="0" t="s">
        <v>81</v>
      </c>
      <c r="D36" s="0" t="s">
        <v>26</v>
      </c>
      <c r="E36" s="0" t="s">
        <v>152</v>
      </c>
      <c r="F36" s="0" t="s">
        <v>153</v>
      </c>
      <c r="G36" s="0" t="s">
        <v>27</v>
      </c>
      <c r="H36" s="0" t="n">
        <v>14.8631</v>
      </c>
      <c r="I36" s="0" t="n">
        <v>2080.83</v>
      </c>
      <c r="J36" s="0" t="n">
        <v>140</v>
      </c>
      <c r="K36" s="0" t="n">
        <v>2080.83</v>
      </c>
      <c r="L36" s="0" t="n">
        <v>595</v>
      </c>
      <c r="M36" s="0" t="n">
        <v>4.25</v>
      </c>
    </row>
    <row r="37" customFormat="false" ht="15" hidden="false" customHeight="false" outlineLevel="0" collapsed="false">
      <c r="B37" s="0" t="n">
        <v>160136</v>
      </c>
      <c r="C37" s="0" t="s">
        <v>81</v>
      </c>
      <c r="D37" s="0" t="s">
        <v>22</v>
      </c>
      <c r="E37" s="0" t="s">
        <v>158</v>
      </c>
      <c r="F37" s="0" t="s">
        <v>159</v>
      </c>
      <c r="G37" s="0" t="s">
        <v>23</v>
      </c>
      <c r="H37" s="0" t="n">
        <v>15.302975</v>
      </c>
      <c r="I37" s="0" t="n">
        <v>1836.36</v>
      </c>
      <c r="J37" s="0" t="n">
        <v>120</v>
      </c>
      <c r="K37" s="0" t="n">
        <v>1836.36</v>
      </c>
      <c r="L37" s="0" t="n">
        <v>510</v>
      </c>
      <c r="M37" s="0" t="n">
        <v>4.25</v>
      </c>
    </row>
    <row r="38" customFormat="false" ht="15" hidden="false" customHeight="false" outlineLevel="0" collapsed="false">
      <c r="B38" s="0" t="n">
        <v>160136</v>
      </c>
      <c r="C38" s="0" t="s">
        <v>81</v>
      </c>
      <c r="D38" s="0" t="s">
        <v>22</v>
      </c>
      <c r="E38" s="0" t="s">
        <v>158</v>
      </c>
      <c r="F38" s="0" t="s">
        <v>159</v>
      </c>
      <c r="G38" s="0" t="s">
        <v>23</v>
      </c>
      <c r="H38" s="0" t="n">
        <v>14.8631</v>
      </c>
      <c r="I38" s="0" t="n">
        <v>2080.83</v>
      </c>
      <c r="J38" s="0" t="n">
        <v>140</v>
      </c>
      <c r="K38" s="0" t="n">
        <v>2080.83</v>
      </c>
      <c r="L38" s="0" t="n">
        <v>595</v>
      </c>
      <c r="M38" s="0" t="n">
        <v>4.25</v>
      </c>
    </row>
    <row r="39" customFormat="false" ht="15" hidden="false" customHeight="false" outlineLevel="0" collapsed="false">
      <c r="B39" s="0" t="n">
        <v>160136</v>
      </c>
      <c r="C39" s="0" t="s">
        <v>81</v>
      </c>
      <c r="D39" s="0" t="s">
        <v>21</v>
      </c>
      <c r="E39" s="0" t="s">
        <v>165</v>
      </c>
      <c r="F39" s="0" t="s">
        <v>166</v>
      </c>
      <c r="G39" s="0" t="s">
        <v>20</v>
      </c>
      <c r="H39" s="0" t="n">
        <v>34.386685</v>
      </c>
      <c r="I39" s="0" t="n">
        <v>1375.47</v>
      </c>
      <c r="J39" s="0" t="n">
        <v>40</v>
      </c>
      <c r="K39" s="0" t="n">
        <v>1375.47</v>
      </c>
      <c r="L39" s="0" t="n">
        <v>382</v>
      </c>
      <c r="M39" s="0" t="n">
        <v>9.55</v>
      </c>
    </row>
    <row r="40" customFormat="false" ht="15" hidden="false" customHeight="false" outlineLevel="0" collapsed="false">
      <c r="B40" s="0" t="n">
        <v>160136</v>
      </c>
      <c r="C40" s="0" t="s">
        <v>81</v>
      </c>
      <c r="D40" s="0" t="s">
        <v>21</v>
      </c>
      <c r="E40" s="0" t="s">
        <v>165</v>
      </c>
      <c r="F40" s="0" t="s">
        <v>166</v>
      </c>
      <c r="G40" s="0" t="s">
        <v>20</v>
      </c>
      <c r="H40" s="0" t="n">
        <v>33.39826</v>
      </c>
      <c r="I40" s="0" t="n">
        <v>2003.9</v>
      </c>
      <c r="J40" s="0" t="n">
        <v>60</v>
      </c>
      <c r="K40" s="0" t="n">
        <v>2003.9</v>
      </c>
      <c r="L40" s="0" t="n">
        <v>573</v>
      </c>
      <c r="M40" s="0" t="n">
        <v>9.55</v>
      </c>
    </row>
    <row r="41" customFormat="false" ht="15" hidden="false" customHeight="false" outlineLevel="0" collapsed="false">
      <c r="B41" s="0" t="n">
        <v>160136</v>
      </c>
      <c r="C41" s="0" t="s">
        <v>81</v>
      </c>
      <c r="D41" s="0" t="s">
        <v>39</v>
      </c>
      <c r="E41" s="0" t="s">
        <v>167</v>
      </c>
      <c r="F41" s="0" t="s">
        <v>168</v>
      </c>
      <c r="G41" s="0" t="s">
        <v>40</v>
      </c>
      <c r="H41" s="0" t="n">
        <v>16.023115</v>
      </c>
      <c r="I41" s="0" t="n">
        <v>160.23</v>
      </c>
      <c r="J41" s="0" t="n">
        <v>10</v>
      </c>
      <c r="K41" s="0" t="n">
        <v>160.23</v>
      </c>
      <c r="L41" s="0" t="n">
        <v>44.5</v>
      </c>
      <c r="M41" s="0" t="n">
        <v>4.45</v>
      </c>
    </row>
    <row r="42" customFormat="false" ht="15" hidden="false" customHeight="false" outlineLevel="0" collapsed="false">
      <c r="B42" s="0" t="n">
        <v>160136</v>
      </c>
      <c r="C42" s="0" t="s">
        <v>81</v>
      </c>
      <c r="D42" s="0" t="s">
        <v>39</v>
      </c>
      <c r="E42" s="0" t="s">
        <v>167</v>
      </c>
      <c r="F42" s="0" t="s">
        <v>168</v>
      </c>
      <c r="G42" s="0" t="s">
        <v>40</v>
      </c>
      <c r="H42" s="0" t="n">
        <v>15.56254</v>
      </c>
      <c r="I42" s="0" t="n">
        <v>155.63</v>
      </c>
      <c r="J42" s="0" t="n">
        <v>10</v>
      </c>
      <c r="K42" s="0" t="n">
        <v>155.63</v>
      </c>
      <c r="L42" s="0" t="n">
        <v>44.5</v>
      </c>
      <c r="M42" s="0" t="n">
        <v>4.45</v>
      </c>
    </row>
    <row r="43" customFormat="false" ht="15" hidden="false" customHeight="false" outlineLevel="0" collapsed="false">
      <c r="B43" s="0" t="n">
        <v>160136</v>
      </c>
      <c r="C43" s="0" t="s">
        <v>81</v>
      </c>
      <c r="D43" s="0" t="s">
        <v>65</v>
      </c>
      <c r="E43" s="0" t="s">
        <v>169</v>
      </c>
      <c r="F43" s="0" t="s">
        <v>170</v>
      </c>
      <c r="G43" s="0" t="s">
        <v>66</v>
      </c>
      <c r="H43" s="0" t="n">
        <v>16.743255</v>
      </c>
      <c r="I43" s="0" t="n">
        <v>167.43</v>
      </c>
      <c r="J43" s="0" t="n">
        <v>10</v>
      </c>
      <c r="K43" s="0" t="n">
        <v>167.43</v>
      </c>
      <c r="L43" s="0" t="n">
        <v>46.5</v>
      </c>
      <c r="M43" s="0" t="n">
        <v>4.65</v>
      </c>
    </row>
    <row r="44" customFormat="false" ht="15" hidden="false" customHeight="false" outlineLevel="0" collapsed="false">
      <c r="B44" s="0" t="n">
        <v>160136</v>
      </c>
      <c r="C44" s="0" t="s">
        <v>81</v>
      </c>
      <c r="D44" s="0" t="s">
        <v>65</v>
      </c>
      <c r="E44" s="0" t="s">
        <v>169</v>
      </c>
      <c r="F44" s="0" t="s">
        <v>170</v>
      </c>
      <c r="G44" s="0" t="s">
        <v>66</v>
      </c>
      <c r="H44" s="0" t="n">
        <v>16.26198</v>
      </c>
      <c r="I44" s="0" t="n">
        <v>162.62</v>
      </c>
      <c r="J44" s="0" t="n">
        <v>10</v>
      </c>
      <c r="K44" s="0" t="n">
        <v>162.62</v>
      </c>
      <c r="L44" s="0" t="n">
        <v>46.5</v>
      </c>
      <c r="M44" s="0" t="n">
        <v>4.65</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38"/>
  <sheetViews>
    <sheetView showFormulas="false" showGridLines="true" showRowColHeaders="true" showZeros="true" rightToLeft="tru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5390625" defaultRowHeight="15" zeroHeight="false" outlineLevelRow="0" outlineLevelCol="0"/>
  <cols>
    <col collapsed="false" customWidth="true" hidden="false" outlineLevel="0" max="1" min="1" style="0" width="130"/>
  </cols>
  <sheetData>
    <row r="1" customFormat="false" ht="17.15" hidden="false" customHeight="false" outlineLevel="0" collapsed="false">
      <c r="A1" s="1" t="s">
        <v>180</v>
      </c>
    </row>
    <row r="2" customFormat="false" ht="15" hidden="false" customHeight="false" outlineLevel="0" collapsed="false">
      <c r="A2" s="2" t="s">
        <v>1</v>
      </c>
      <c r="B2" s="3" t="n">
        <f aca="false">השוואה!B2</f>
        <v>46279</v>
      </c>
    </row>
    <row r="4" customFormat="false" ht="15" hidden="false" customHeight="false" outlineLevel="0" collapsed="false">
      <c r="A4" s="15" t="s">
        <v>181</v>
      </c>
    </row>
    <row r="5" customFormat="false" ht="15" hidden="false" customHeight="false" outlineLevel="0" collapsed="false">
      <c r="A5" s="16" t="s">
        <v>182</v>
      </c>
    </row>
    <row r="6" customFormat="false" ht="15" hidden="false" customHeight="false" outlineLevel="0" collapsed="false">
      <c r="A6" s="16" t="s">
        <v>183</v>
      </c>
    </row>
    <row r="7" customFormat="false" ht="15" hidden="false" customHeight="false" outlineLevel="0" collapsed="false">
      <c r="A7" s="16" t="s">
        <v>184</v>
      </c>
    </row>
    <row r="8" customFormat="false" ht="15" hidden="false" customHeight="false" outlineLevel="0" collapsed="false">
      <c r="A8" s="16" t="s">
        <v>185</v>
      </c>
    </row>
    <row r="9" customFormat="false" ht="15" hidden="false" customHeight="false" outlineLevel="0" collapsed="false">
      <c r="A9" s="16" t="s">
        <v>186</v>
      </c>
    </row>
    <row r="10" customFormat="false" ht="15" hidden="false" customHeight="false" outlineLevel="0" collapsed="false">
      <c r="A10" s="16" t="s">
        <v>187</v>
      </c>
    </row>
    <row r="11" customFormat="false" ht="15" hidden="false" customHeight="false" outlineLevel="0" collapsed="false">
      <c r="A11" s="16"/>
    </row>
    <row r="12" customFormat="false" ht="15" hidden="false" customHeight="false" outlineLevel="0" collapsed="false">
      <c r="A12" s="15" t="s">
        <v>188</v>
      </c>
    </row>
    <row r="13" customFormat="false" ht="52.2" hidden="false" customHeight="false" outlineLevel="0" collapsed="false">
      <c r="A13" s="16" t="s">
        <v>189</v>
      </c>
    </row>
    <row r="14" customFormat="false" ht="15" hidden="false" customHeight="false" outlineLevel="0" collapsed="false">
      <c r="A14" s="16"/>
    </row>
    <row r="15" customFormat="false" ht="15" hidden="false" customHeight="false" outlineLevel="0" collapsed="false">
      <c r="A15" s="15" t="s">
        <v>190</v>
      </c>
    </row>
    <row r="16" customFormat="false" ht="39.55" hidden="false" customHeight="false" outlineLevel="0" collapsed="false">
      <c r="A16" s="16" t="s">
        <v>191</v>
      </c>
    </row>
    <row r="17" customFormat="false" ht="26.85" hidden="false" customHeight="false" outlineLevel="0" collapsed="false">
      <c r="A17" s="16" t="s">
        <v>192</v>
      </c>
    </row>
    <row r="18" customFormat="false" ht="26.85" hidden="false" customHeight="false" outlineLevel="0" collapsed="false">
      <c r="A18" s="16" t="s">
        <v>193</v>
      </c>
    </row>
    <row r="19" customFormat="false" ht="15" hidden="false" customHeight="false" outlineLevel="0" collapsed="false">
      <c r="A19" s="16"/>
    </row>
    <row r="20" customFormat="false" ht="15" hidden="false" customHeight="false" outlineLevel="0" collapsed="false">
      <c r="A20" s="15" t="s">
        <v>194</v>
      </c>
    </row>
    <row r="21" customFormat="false" ht="15" hidden="false" customHeight="false" outlineLevel="0" collapsed="false">
      <c r="A21" s="16" t="s">
        <v>195</v>
      </c>
    </row>
    <row r="22" customFormat="false" ht="15" hidden="false" customHeight="false" outlineLevel="0" collapsed="false">
      <c r="A22" s="16" t="s">
        <v>196</v>
      </c>
    </row>
    <row r="23" customFormat="false" ht="15" hidden="false" customHeight="false" outlineLevel="0" collapsed="false">
      <c r="A23" s="16"/>
    </row>
    <row r="24" customFormat="false" ht="15" hidden="false" customHeight="false" outlineLevel="0" collapsed="false">
      <c r="A24" s="15" t="s">
        <v>197</v>
      </c>
    </row>
    <row r="25" customFormat="false" ht="39.55" hidden="false" customHeight="false" outlineLevel="0" collapsed="false">
      <c r="A25" s="16" t="s">
        <v>198</v>
      </c>
    </row>
    <row r="26" customFormat="false" ht="39.55" hidden="false" customHeight="false" outlineLevel="0" collapsed="false">
      <c r="A26" s="16" t="s">
        <v>199</v>
      </c>
    </row>
    <row r="27" customFormat="false" ht="15" hidden="false" customHeight="false" outlineLevel="0" collapsed="false">
      <c r="A27" s="16"/>
    </row>
    <row r="28" customFormat="false" ht="15" hidden="false" customHeight="false" outlineLevel="0" collapsed="false">
      <c r="A28" s="15" t="s">
        <v>200</v>
      </c>
    </row>
    <row r="29" customFormat="false" ht="15" hidden="false" customHeight="false" outlineLevel="0" collapsed="false">
      <c r="A29" s="16" t="s">
        <v>201</v>
      </c>
    </row>
    <row r="30" customFormat="false" ht="15" hidden="false" customHeight="false" outlineLevel="0" collapsed="false">
      <c r="A30" s="16" t="s">
        <v>202</v>
      </c>
    </row>
    <row r="31" customFormat="false" ht="15" hidden="false" customHeight="false" outlineLevel="0" collapsed="false">
      <c r="A31" s="16" t="s">
        <v>203</v>
      </c>
    </row>
    <row r="32" customFormat="false" ht="15" hidden="false" customHeight="false" outlineLevel="0" collapsed="false">
      <c r="A32" s="16"/>
    </row>
    <row r="33" customFormat="false" ht="15" hidden="false" customHeight="false" outlineLevel="0" collapsed="false">
      <c r="A33" s="15" t="s">
        <v>204</v>
      </c>
    </row>
    <row r="34" customFormat="false" ht="15" hidden="false" customHeight="false" outlineLevel="0" collapsed="false">
      <c r="A34" s="16" t="s">
        <v>205</v>
      </c>
    </row>
    <row r="35" customFormat="false" ht="15" hidden="false" customHeight="false" outlineLevel="0" collapsed="false">
      <c r="A35" s="16" t="s">
        <v>206</v>
      </c>
    </row>
    <row r="36" customFormat="false" ht="15" hidden="false" customHeight="false" outlineLevel="0" collapsed="false">
      <c r="A36" s="16" t="s">
        <v>207</v>
      </c>
    </row>
    <row r="37" customFormat="false" ht="15" hidden="false" customHeight="false" outlineLevel="0" collapsed="false">
      <c r="A37" s="16" t="s">
        <v>208</v>
      </c>
    </row>
    <row r="38" customFormat="false" ht="26.85" hidden="false" customHeight="false" outlineLevel="0" collapsed="false">
      <c r="A38" s="16" t="s">
        <v>209</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2026-09-14T10:47:01Z</dcterms:created>
  <dc:creator>openpyxl</dc:creator>
  <dc:description/>
  <dc:language>en-US</dc:language>
  <cp:lastModifiedBy/>
  <dcterms:modified xsi:type="dcterms:W3CDTF">2026-09-14T10:47:01Z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