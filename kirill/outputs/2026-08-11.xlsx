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<sst xmlns="http://schemas.openxmlformats.org/spreadsheetml/2006/main" count="126" uniqueCount="100">
  <si>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</si>
  <si>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</si>
  <si>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</si>
  <si>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</si>
  <si>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</si>
  <si>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</si>
  <si>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</si>
  <si>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</si>
  <si>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</si>
  <si>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</si>
  <si>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</si>
  <si>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</si>
  <si>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</si>
  <si>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</si>
  <si>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</si>
  <si>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</si>
  <si>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</si>
  <si>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</si>
  <si>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</si>
  <si>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</si>
  <si>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</si>
  <si>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</si>
  <si>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</si>
  <si>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</si>
  <si>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</si>
  <si>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</si>
  <si>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</si>
  <si>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</si>
  <si>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</si>
  <si>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</si>
  <si>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</si>
  <si>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</si>
  <si>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</si>
  <si>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</si>
  <si>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</si>
  <si>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</si>
  <si>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</si>
  <si>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</si>
  <si>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</si>
  <si>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</si>
  <si>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</si>
  <si>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</si>
  <si>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</si>
  <si>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</si>
  <si>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</si>
  <si>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</si>
  <si>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</si>
  <si>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</si>
  <si>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</si>
  <si>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</si>
  <si>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</si>
  <si>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</si>
  <si>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</si>
  <si>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</si>
  <si>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</si>
  <si>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</si>
  <si>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</si>
  <si>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</si>
  <si>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</si>
  <si>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</si>
  <si>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</si>
  <si>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</si>
  <si>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</si>
  <si>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</si>
  <si>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</si>
  <si>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</si>
  <si>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</si>
  <si>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</si>
  <si>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</si>
  <si>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</si>
  <si>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</si>
  <si>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</si>
  <si>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</si>
  <si>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</si>
  <si>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</si>
  <si>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</si>
  <si>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</si>
  <si>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</si>
  <si>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</si>
  <si>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</si>
  <si>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</si>
  <si>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</si>
  <si>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</si>
  <si>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</si>
  <si>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</si>
  <si>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</si>
  <si>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</si>
  <si>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</si>
  <si>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</si>
  <si>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</si>
  <si>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</si>
  <si>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PPlay1108 - מקור גולמי.xlsx ("PPlay1 of uriel (Reporter)", נוצר 11/08/2026 10:26:04, תקופה 2026/Aug, Month-to-Date). נשלפו 8 שורות קטגוריה שיש להן נתונים עד כה החודש, מתוך 12 הקטגוריות במקרא גיליון Pplay1 (4 הקטגוריות הנותרות — גוד פארם, גוד פארם מרכז, 0צרכנים פרטיים, 0שונות — אין להן עדיין נתונים החודש; תקין ל-MTD, לא נתון חסר). שורת "Customers" בדוח המקור (₪235,364.2) היא שורת סה"כ-אב ואינה שווה לסכום שורות הקטגוריה (₪414,058.9) — כפי שהיה גם בדוחות הקודמים, זו שורת מטה-דוח שאינה תואמת אף ערך במקרא ולכן לא יובאה, בהתאם למוסכמת עבודה. שורה נוספת בדוח המקור, "זיכויים BE" (₪-65.6), אינה תואמת אף ערך במקרא הקבוע (12 הקטגוריות) — לא נראתה בדוחות קודמים; הוחרגה לפי מוסכמת "שם תואם בדיוק למקרא" (כמו שורת Customers), ולא צורפה לקטגוריית BE הקיימת ללא אישור מפורש. לתשומת לב המשתמש/ראובן: ייתכן שמדובר בזיכוי השייך לערוץ BE (כמו אילת BE / שופרסל BE) — מומלץ לאשר אם יש לעדכן את המקרא. מכר נטו = עמודה B × 0.91 (מקדם קבוע, מאושר ב-kirill.md).</t>
  </si>
  <si>
    <t xml:space="preserve">Source: report1108.xls (Meditex Group IL, Custom Sales by Customer Summary, 01 August 2026 - 31 August 2026, Month-to-Date) —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(כ-680 שורות פירוט בקובץ המקור), לפי מוסכמת עבודה. סה"כ שורת "Total" בדוח הגולמי המלא: 701,576.80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</si>
  <si>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</si>
  <si>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</si>
  <si>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Amazon Seller Central (Sales / Refund cost), "Month to date, 1-11 August 2026", נמסר 11/08/2026. אין קובץ מקור — נתון ידני מתועד. נתונים נוספים בצילום (לא בשימוש בנוסחה): Sales -2.6% מול תקופה קודמת, Orders/Units 793/800, Refunds 69, Est. payout $8,498.50, Gross profit $4,062.37, Net profit $4,062.37 (+43.1%).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</si>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</sst>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46245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135692.739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26919.347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31246.209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96280.3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24764.194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21510.53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2038.73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5352.24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644594.789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112633.12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757765.439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66145.53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224198.1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981963.539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29441.9</v>
      </c>
      <c r="H3" s="27" t="n">
        <f aca="false">IF(G3="","",G3*0.91)</f>
        <v>26792.129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80</v>
      </c>
      <c r="H4" s="27" t="n">
        <f aca="false">IF(G4="","",G4*0.91)</f>
        <v>72.8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178629</v>
      </c>
      <c r="H5" s="27" t="n">
        <f aca="false">IF(G5="","",G5*0.91)</f>
        <v>162552.39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823.6</v>
      </c>
      <c r="H6" s="27" t="n">
        <f aca="false">IF(G6="","",G6*0.91)</f>
        <v>749.476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82.7</v>
      </c>
      <c r="H9" s="27" t="n">
        <f aca="false">IF(G9="","",G9*0.91)</f>
        <v>75.257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149112.9</v>
      </c>
      <c r="H10" s="27" t="n">
        <f aca="false">IF(G10="","",G10*0.91)</f>
        <v>135692.739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28675.4</v>
      </c>
      <c r="H11" s="27" t="n">
        <f aca="false">IF(G11="","",G11*0.91)</f>
        <v>26094.614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27213.4</v>
      </c>
      <c r="H13" s="27" t="n">
        <f aca="false">IF(G13="","",G13*0.91)</f>
        <v>24764.194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21510.53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5352.24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2038.73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4381.28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96280.3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112633.12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29441.9</v>
      </c>
      <c r="C2" s="27" t="n">
        <f aca="false">B2*0.91</f>
        <v>26792.129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80</v>
      </c>
      <c r="C3" s="27" t="n">
        <f aca="false">B3*0.91</f>
        <v>72.8</v>
      </c>
    </row>
    <row r="4" customFormat="false" ht="14.25" hidden="false" customHeight="true" outlineLevel="0" collapsed="false">
      <c r="A4" s="26" t="s">
        <v>50</v>
      </c>
      <c r="B4" s="27" t="n">
        <v>178629</v>
      </c>
      <c r="C4" s="27" t="n">
        <f aca="false">B4*0.91</f>
        <v>162552.39</v>
      </c>
    </row>
    <row r="5" customFormat="false" ht="14.25" hidden="false" customHeight="true" outlineLevel="0" collapsed="false">
      <c r="A5" s="26" t="s">
        <v>51</v>
      </c>
      <c r="B5" s="27" t="n">
        <v>823.6</v>
      </c>
      <c r="C5" s="27" t="n">
        <f aca="false">B5*0.91</f>
        <v>749.476</v>
      </c>
    </row>
    <row r="6" customFormat="false" ht="14.25" hidden="false" customHeight="true" outlineLevel="0" collapsed="false">
      <c r="A6" s="26" t="s">
        <v>54</v>
      </c>
      <c r="B6" s="27" t="n">
        <v>82.7</v>
      </c>
      <c r="C6" s="27" t="n">
        <f aca="false">B6*0.91</f>
        <v>75.257</v>
      </c>
    </row>
    <row r="7" customFormat="false" ht="14.25" hidden="false" customHeight="true" outlineLevel="0" collapsed="false">
      <c r="A7" s="26" t="s">
        <v>3</v>
      </c>
      <c r="B7" s="27" t="n">
        <v>149112.9</v>
      </c>
      <c r="C7" s="27" t="n">
        <f aca="false">B7*0.91</f>
        <v>135692.739</v>
      </c>
    </row>
    <row r="8" customFormat="false" ht="14.25" hidden="false" customHeight="true" outlineLevel="0" collapsed="false">
      <c r="A8" s="26" t="s">
        <v>55</v>
      </c>
      <c r="B8" s="27" t="n">
        <v>28675.4</v>
      </c>
      <c r="C8" s="27" t="n">
        <f aca="false">B8*0.91</f>
        <v>26094.614</v>
      </c>
    </row>
    <row r="9" customFormat="false" ht="14.25" hidden="false" customHeight="true" outlineLevel="0" collapsed="false">
      <c r="A9" s="26" t="s">
        <v>57</v>
      </c>
      <c r="B9" s="27" t="n">
        <v>27213.4</v>
      </c>
      <c r="C9" s="27" t="n">
        <f aca="false">B9*0.91</f>
        <v>24764.194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21510.53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5352.24</v>
      </c>
    </row>
    <row r="6" customFormat="false" ht="15" hidden="false" customHeight="true" outlineLevel="0" collapsed="false">
      <c r="A6" s="26" t="s">
        <v>65</v>
      </c>
      <c r="D6" s="29" t="n">
        <v>2038.73</v>
      </c>
    </row>
    <row r="7" customFormat="false" ht="15" hidden="false" customHeight="true" outlineLevel="0" collapsed="false">
      <c r="A7" s="26" t="s">
        <v>69</v>
      </c>
      <c r="D7" s="29" t="n">
        <v>96280.3</v>
      </c>
    </row>
    <row r="8" customFormat="false" ht="15" hidden="false" customHeight="true" outlineLevel="0" collapsed="false">
      <c r="A8" s="26" t="s">
        <v>70</v>
      </c>
      <c r="D8" s="29" t="n">
        <v>112633.12</v>
      </c>
    </row>
    <row r="9" customFormat="false" ht="15" hidden="false" customHeight="true" outlineLevel="0" collapsed="false">
      <c r="A9" s="26" t="s">
        <v>71</v>
      </c>
      <c r="D9" s="29" t="n">
        <v>537.53</v>
      </c>
    </row>
    <row r="10" customFormat="false" ht="14.25" hidden="false" customHeight="true" outlineLevel="0" collapsed="false">
      <c r="A10" s="26" t="s">
        <v>66</v>
      </c>
      <c r="D10" s="29" t="n">
        <v>4381.28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1368.95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24186.96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-2138.45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2026-08-11T08:12:13Z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