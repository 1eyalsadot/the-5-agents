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FreeSans"/>
            <family val="2"/>
          </rPr>
          <t xml:space="preserve">אין קובץ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מקור היום (</t>
        </r>
        <r>
          <rPr>
            <sz val="10"/>
            <rFont val="Arial"/>
            <family val="2"/>
          </rPr>
          <t xml:space="preserve">03/08/26) — לא נמסר קובץ PPLAY1 </t>
        </r>
        <r>
          <rPr>
            <sz val="10"/>
            <rFont val="FreeSans"/>
            <family val="2"/>
          </rPr>
          <t xml:space="preserve">בתהליך היומי. עמודות </t>
        </r>
        <r>
          <rPr>
            <sz val="10"/>
            <rFont val="Arial"/>
            <family val="2"/>
          </rPr>
          <t xml:space="preserve">G/H </t>
        </r>
        <r>
          <rPr>
            <sz val="10"/>
            <rFont val="FreeSans"/>
            <family val="2"/>
          </rPr>
          <t xml:space="preserve">בגיליון הזה יחזירו </t>
        </r>
        <r>
          <rPr>
            <sz val="10"/>
            <rFont val="Arial"/>
            <family val="2"/>
          </rPr>
          <t xml:space="preserve">"" (</t>
        </r>
        <r>
          <rPr>
            <sz val="10"/>
            <rFont val="FreeSans"/>
            <family val="2"/>
          </rPr>
          <t xml:space="preserve">וממילא </t>
        </r>
        <r>
          <rPr>
            <sz val="10"/>
            <rFont val="Arial"/>
            <family val="2"/>
          </rPr>
          <t xml:space="preserve">0 בסיכומים ב-סהכ!C, </t>
        </r>
        <r>
          <rPr>
            <sz val="10"/>
            <rFont val="FreeSans"/>
            <family val="2"/>
          </rPr>
          <t xml:space="preserve">דרך </t>
        </r>
        <r>
          <rPr>
            <sz val="10"/>
            <rFont val="Arial"/>
            <family val="2"/>
          </rPr>
          <t xml:space="preserve">SUMIF) </t>
        </r>
        <r>
          <rPr>
            <sz val="10"/>
            <rFont val="FreeSans"/>
            <family val="2"/>
          </rPr>
          <t xml:space="preserve">עד שיסופק קובץ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חדש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<sst xmlns="http://schemas.openxmlformats.org/spreadsheetml/2006/main" count="123" uniqueCount="100">
  <si>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</si>
  <si>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</si>
  <si>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</si>
  <si>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</si>
  <si>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</si>
  <si>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</si>
  <si>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</si>
  <si>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</si>
  <si>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</si>
  <si>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</si>
  <si>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</si>
  <si>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</si>
  <si>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</si>
  <si>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</si>
  <si>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</si>
  <si>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</si>
  <si>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</si>
  <si>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</si>
  <si>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</si>
  <si>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</si>
  <si>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</si>
  <si>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</si>
  <si>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</si>
  <si>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</si>
  <si>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</si>
  <si>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</si>
  <si>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</si>
  <si>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</si>
  <si>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</si>
  <si>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</si>
  <si>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</si>
  <si>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</si>
  <si>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</si>
  <si>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</si>
  <si>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</si>
  <si>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</si>
  <si>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</si>
  <si>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</si>
  <si>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</si>
  <si>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</si>
  <si>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</si>
  <si>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</si>
  <si>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</si>
  <si>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</si>
  <si>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</si>
  <si>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</si>
  <si>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</si>
  <si>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</si>
  <si>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</si>
  <si>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</si>
  <si>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</si>
  <si>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</si>
  <si>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</si>
  <si>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</si>
  <si>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</si>
  <si>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</si>
  <si>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</si>
  <si>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</si>
  <si>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</si>
  <si>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</si>
  <si>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</si>
  <si>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</si>
  <si>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</si>
  <si>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</si>
  <si>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</si>
  <si>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</si>
  <si>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</si>
  <si>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</si>
  <si>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</si>
  <si>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</si>
  <si>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</si>
  <si>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</si>
  <si>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</si>
  <si>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</si>
  <si>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</si>
  <si>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</si>
  <si>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</si>
  <si>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</si>
  <si>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</si>
  <si>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</si>
  <si>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</si>
  <si>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</si>
  <si>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</si>
  <si>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</si>
  <si>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</si>
  <si>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</si>
  <si>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</si>
  <si>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</si>
  <si>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</si>
  <si>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</si>
  <si>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</si>
  <si>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PPlay0408 - מקור גולמי.xlsx ("PPlay1 of uriel (Reporter)", נוצר 04/08/2026 09:21:07, תקופה 2026/Aug, Month-to-Date). נשלפו 5 שורות קטגוריה שיש להן נתונים עד כה החודש, מתוך 12 הקטגוריות במקרא גיליון Pplay1 (7 הקטגוריות הנותרות אין להן עדיין נתונים החודש — תקין ל-MTD, לא נתון חסר). שורת "Customers" בדוח המקור (₪14,077.8) היא שורת סה"כ-אב ואינה תואמת אף ערך במקרא — לא יובאה, בהתאם למוסכמת עבודה. מכר נטו = עמודה B × 0.91 (מקדם מעודכן; תוקן מ-0.89 (שגוי) ל-0.91 ב-04/08/2026, מתועד ומאושר ב-kirill.md).</t>
  </si>
  <si>
    <t xml:space="preserve">Source: CustomSalesbyCustomerSummary826.xls (Meditex Group IL, Custom Sales by Customer Summary, 01 August 2026 - 31 August 2026, Month-to-Date) — נשלפו 9 שורות הסיכום (קטגוריה) שיש להן מכירות עד כה החודש, מתוך 14 הקטגוריות במקרא "ריכוז" (5 הקטגוריות הנותרות אין להן מכירות עדיין החודש — תקין ל-MTD, לא נתון חסר). לא יובאו שורות פירוט חשבוניות/לקוחות-בת מהדוח הגולמי (254 שורות בקובץ המקור), לפי מוסכמת עבודה. סה"כ הדוח הגולמי המלא: 439,772.07. הערה חשובה: בדוח המקור מופיעות גם שתי קטגוריות נוספות עם מכירות החודש שאינן חלק מ-14 הקטגוריות הקיימות במקרא "ריכוז" — "202 - Super-Pharm POLAND" (132,101.57 ₪) ו-"214 - Alfred Gera&amp; Sons Ltd. MALTA" (25,951.00 ₪), סה"כ 158,052.57 ₪. אלה נראות תואמות ללקוחות "SUPER PHARM POLAND" (#20) ו-"ALFRED GERA" (#33) בגיליון סה"כ, אך אין להן כרגע שורת מיפוי בגיליון "ריכוז" — לא נוספה מיפוי חדש ללא אישור (זהו שינוי מבני בדוח המקור לעומת ימים קודמים). הסכומים האלה אינם משוקללים כרגע בסה"כ הכללי (C41) — יש להעביר לראובן/למשתמש להחלטה.</t>
  </si>
  <si>
    <t xml:space="preserve">Customer</t>
  </si>
  <si>
    <t xml:space="preserve">Sales</t>
  </si>
  <si>
    <t xml:space="preserve">Source: צילום מסך שסופק על ידי המשתמש, לוח בקרה Amazon Seller Central (Sales / Refund cost), "Month to date, 1-3 August 2026", נמסר 04/08/2026. אין קובץ מקור — נתון ידני מתועד.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</si>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</sst>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  <numFmt numFmtId="171" formatCode="\₪#,##0_);&quot;(₪&quot;#,##0\)"/>
  </numFmts>
  <fonts count="22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2.38"/>
    <col collapsed="false" customWidth="true" hidden="false" outlineLevel="0" max="2" min="2" style="0" width="27"/>
    <col collapsed="false" customWidth="true" hidden="false" outlineLevel="0" max="3" min="3" style="0" width="9.87"/>
  </cols>
  <sheetData>
    <row r="1" customFormat="false" ht="15.75" hidden="false" customHeight="true" outlineLevel="0" collapsed="false">
      <c r="B1" s="1" t="s">
        <v>0</v>
      </c>
      <c r="C1" s="2"/>
    </row>
    <row r="2" customFormat="false" ht="14.25" hidden="false" customHeight="true" outlineLevel="0" collapsed="false">
      <c r="A2" s="3" t="s">
        <v>1</v>
      </c>
      <c r="B2" s="4" t="n">
        <v>46238</v>
      </c>
      <c r="C2" s="5" t="n">
        <v>8.2026</v>
      </c>
    </row>
    <row r="3" customFormat="false" ht="14.25" hidden="false" customHeight="true" outlineLevel="0" collapsed="false">
      <c r="A3" s="6" t="n">
        <v>5</v>
      </c>
      <c r="B3" s="7" t="s">
        <v>2</v>
      </c>
      <c r="C3" s="8" t="n">
        <f aca="false">SUMIF(Pplay1!$F$3:$F$14,A3,Pplay1!$H$3:$H$14)+SUMIF(ריכוז!$B$3:$B$16,A3,ריכוז!$C$3:$C$16)</f>
        <v>213454.8</v>
      </c>
    </row>
    <row r="4" customFormat="false" ht="14.25" hidden="false" customHeight="true" outlineLevel="0" collapsed="false">
      <c r="A4" s="9" t="n">
        <v>1</v>
      </c>
      <c r="B4" s="7" t="s">
        <v>3</v>
      </c>
      <c r="C4" s="8" t="n">
        <f aca="false">SUMIF(Pplay1!$F$3:$F$14,A4,Pplay1!$H$3:$H$14)+SUMIF(ריכוז!$B$3:$B$16,A4,ריכוז!$C$3:$C$16)</f>
        <v>-3145.961</v>
      </c>
    </row>
    <row r="5" customFormat="false" ht="14.25" hidden="false" customHeight="true" outlineLevel="0" collapsed="false">
      <c r="A5" s="9" t="n">
        <v>7</v>
      </c>
      <c r="B5" s="7" t="s">
        <v>4</v>
      </c>
      <c r="C5" s="8" t="n">
        <f aca="false">SUMIF(Pplay1!$F$3:$F$14,A5,Pplay1!$H$3:$H$14)+SUMIF(ריכוז!$B$3:$B$16,A5,ריכוז!$C$3:$C$16)</f>
        <v>6119.113</v>
      </c>
    </row>
    <row r="6" customFormat="false" ht="14.25" hidden="false" customHeight="true" outlineLevel="0" collapsed="false">
      <c r="A6" s="9" t="n">
        <v>4</v>
      </c>
      <c r="B6" s="7" t="s">
        <v>5</v>
      </c>
      <c r="C6" s="8" t="n">
        <f aca="false">SUMIF(Pplay1!$F$3:$F$14,A6,Pplay1!$H$3:$H$14)+SUMIF(ריכוז!$B$3:$B$16,A6,ריכוז!$C$3:$C$16)</f>
        <v>5249.4</v>
      </c>
    </row>
    <row r="7" customFormat="false" ht="14.25" hidden="false" customHeight="true" outlineLevel="0" collapsed="false">
      <c r="A7" s="9" t="n">
        <v>3</v>
      </c>
      <c r="B7" s="7" t="s">
        <v>6</v>
      </c>
      <c r="C7" s="8" t="n">
        <f aca="false">SUMIF(Pplay1!$F$3:$F$14,A7,Pplay1!$H$3:$H$14)+SUMIF(ריכוז!$B$3:$B$16,A7,ריכוז!$C$3:$C$16)</f>
        <v>21161</v>
      </c>
    </row>
    <row r="8" customFormat="false" ht="14.25" hidden="false" customHeight="true" outlineLevel="0" collapsed="false">
      <c r="A8" s="9" t="n">
        <v>8</v>
      </c>
      <c r="B8" s="7" t="s">
        <v>7</v>
      </c>
      <c r="C8" s="8" t="n">
        <f aca="false">SUMIF(Pplay1!$F$3:$F$14,A8,Pplay1!$H$3:$H$14)+SUMIF(ריכוז!$B$3:$B$16,A8,ריכוז!$C$3:$C$16)</f>
        <v>5820.815</v>
      </c>
    </row>
    <row r="9" customFormat="false" ht="14.25" hidden="false" customHeight="true" outlineLevel="0" collapsed="false">
      <c r="A9" s="9" t="n">
        <v>6</v>
      </c>
      <c r="B9" s="7" t="s">
        <v>8</v>
      </c>
      <c r="C9" s="8" t="n">
        <f aca="false">SUMIF(Pplay1!$F$3:$F$14,A9,Pplay1!$H$3:$H$14)+SUMIF(ריכוז!$B$3:$B$16,A9,ריכוז!$C$3:$C$16)</f>
        <v>5871.08</v>
      </c>
    </row>
    <row r="10" customFormat="false" ht="14.25" hidden="false" customHeight="true" outlineLevel="0" collapsed="false">
      <c r="A10" s="10" t="n">
        <v>10</v>
      </c>
      <c r="B10" s="11" t="s">
        <v>9</v>
      </c>
      <c r="C10" s="8" t="n">
        <f aca="false">SUMIF(Pplay1!$F$3:$F$14,A10,Pplay1!$H$3:$H$14)+SUMIF(ריכוז!$B$3:$B$16,A10,ריכוז!$C$3:$C$16)</f>
        <v>1363.29</v>
      </c>
    </row>
    <row r="11" customFormat="false" ht="14.25" hidden="false" customHeight="true" outlineLevel="0" collapsed="false">
      <c r="A11" s="9" t="n">
        <v>11</v>
      </c>
      <c r="B11" s="7" t="s">
        <v>10</v>
      </c>
      <c r="C11" s="8" t="n">
        <f aca="false">SUMIF(Pplay1!$F$3:$F$14,A11,Pplay1!$H$3:$H$14)+SUMIF(ריכוז!$B$3:$B$16,A11,ריכוז!$C$3:$C$16)</f>
        <v>893.04</v>
      </c>
    </row>
    <row r="12" customFormat="false" ht="14.25" hidden="false" customHeight="true" outlineLevel="0" collapsed="false">
      <c r="A12" s="9" t="n">
        <v>14</v>
      </c>
      <c r="B12" s="7" t="s">
        <v>11</v>
      </c>
      <c r="C12" s="8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9" t="n">
        <v>15</v>
      </c>
      <c r="B13" s="7" t="s">
        <v>12</v>
      </c>
      <c r="C13" s="8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9" t="n">
        <v>13</v>
      </c>
      <c r="B14" s="7" t="s">
        <v>13</v>
      </c>
      <c r="C14" s="8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9" t="n">
        <v>9</v>
      </c>
      <c r="B15" s="7" t="s">
        <v>14</v>
      </c>
      <c r="C15" s="8" t="n">
        <f aca="false">SUMIF(Pplay1!$F$3:$F$14,A15,Pplay1!$H$3:$H$14)+SUMIF(ריכוז!$B$3:$B$16,A15,ריכוז!$C$3:$C$16)</f>
        <v>3042.1</v>
      </c>
    </row>
    <row r="16" customFormat="false" ht="15" hidden="false" customHeight="true" outlineLevel="0" collapsed="false">
      <c r="A16" s="12"/>
      <c r="B16" s="13" t="s">
        <v>15</v>
      </c>
      <c r="C16" s="14" t="n">
        <f aca="false">SUM(C3:C15)</f>
        <v>259828.677</v>
      </c>
    </row>
    <row r="17" customFormat="false" ht="14.25" hidden="false" customHeight="true" outlineLevel="0" collapsed="false">
      <c r="A17" s="9" t="n">
        <v>2</v>
      </c>
      <c r="B17" s="7" t="s">
        <v>16</v>
      </c>
      <c r="C17" s="8" t="n">
        <f aca="false">SUMIF(Pplay1!$F$3:$F$14,A17,Pplay1!$H$3:$H$14)+SUMIF(ריכוז!$B$3:$B$16,A17,ריכוז!$C$3:$C$16)</f>
        <v>34463.07</v>
      </c>
    </row>
    <row r="18" customFormat="false" ht="14.25" hidden="false" customHeight="true" outlineLevel="0" collapsed="false">
      <c r="A18" s="9" t="n">
        <v>12</v>
      </c>
      <c r="B18" s="7" t="s">
        <v>17</v>
      </c>
      <c r="C18" s="8" t="n">
        <f aca="false">SUMIF(Pplay1!$F$3:$F$14,A18,Pplay1!$H$3:$H$14)+SUMIF(ריכוז!$B$3:$B$16,A18,ריכוז!$C$3:$C$16)</f>
        <v>238.46</v>
      </c>
    </row>
    <row r="19" customFormat="false" ht="15" hidden="false" customHeight="true" outlineLevel="0" collapsed="false">
      <c r="A19" s="10"/>
      <c r="B19" s="15" t="s">
        <v>18</v>
      </c>
      <c r="C19" s="14" t="n">
        <f aca="false">C18+C17+C16</f>
        <v>294530.207</v>
      </c>
    </row>
    <row r="20" customFormat="false" ht="14.25" hidden="false" customHeight="true" outlineLevel="0" collapsed="false">
      <c r="A20" s="10" t="n">
        <v>50</v>
      </c>
      <c r="B20" s="11" t="s">
        <v>19</v>
      </c>
      <c r="C20" s="8" t="n">
        <f aca="false">(Amazon_מקור!B3+Amazon_מקור!B4)*3</f>
        <v>18855.99</v>
      </c>
    </row>
    <row r="21" customFormat="false" ht="14.25" hidden="false" customHeight="true" outlineLevel="0" collapsed="false">
      <c r="A21" s="10" t="n">
        <v>20</v>
      </c>
      <c r="B21" s="11" t="s">
        <v>20</v>
      </c>
      <c r="C21" s="8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0" t="n">
        <v>21</v>
      </c>
      <c r="B22" s="11" t="s">
        <v>21</v>
      </c>
      <c r="C22" s="8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0" t="n">
        <v>22</v>
      </c>
      <c r="B23" s="11" t="s">
        <v>22</v>
      </c>
      <c r="C23" s="8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0" t="n">
        <v>23</v>
      </c>
      <c r="B24" s="11" t="s">
        <v>23</v>
      </c>
      <c r="C24" s="8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0" t="n">
        <v>24</v>
      </c>
      <c r="B25" s="11" t="s">
        <v>24</v>
      </c>
      <c r="C25" s="8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0" t="n">
        <v>25</v>
      </c>
      <c r="B26" s="11" t="s">
        <v>25</v>
      </c>
      <c r="C26" s="8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0" t="n">
        <v>26</v>
      </c>
      <c r="B27" s="11" t="s">
        <v>26</v>
      </c>
      <c r="C27" s="8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0" t="n">
        <v>27</v>
      </c>
      <c r="B28" s="11" t="s">
        <v>27</v>
      </c>
      <c r="C28" s="8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0" t="n">
        <v>28</v>
      </c>
      <c r="B29" s="11" t="s">
        <v>28</v>
      </c>
      <c r="C29" s="8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0" t="n">
        <v>29</v>
      </c>
      <c r="B30" s="11" t="s">
        <v>29</v>
      </c>
      <c r="C30" s="8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0" t="n">
        <v>30</v>
      </c>
      <c r="B31" s="11" t="s">
        <v>30</v>
      </c>
      <c r="C31" s="8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0" t="n">
        <v>31</v>
      </c>
      <c r="B32" s="11" t="s">
        <v>31</v>
      </c>
      <c r="C32" s="8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0" t="n">
        <v>37</v>
      </c>
      <c r="B33" s="11" t="s">
        <v>32</v>
      </c>
      <c r="C33" s="8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0" t="n">
        <v>32</v>
      </c>
      <c r="B34" s="11" t="s">
        <v>33</v>
      </c>
      <c r="C34" s="8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0" t="n">
        <v>33</v>
      </c>
      <c r="B35" s="11" t="s">
        <v>34</v>
      </c>
      <c r="C35" s="8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0" t="n">
        <v>38</v>
      </c>
      <c r="B36" s="11" t="s">
        <v>35</v>
      </c>
      <c r="C36" s="8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0" t="n">
        <v>34</v>
      </c>
      <c r="B37" s="11" t="s">
        <v>36</v>
      </c>
      <c r="C37" s="8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0" t="n">
        <v>35</v>
      </c>
      <c r="B38" s="11" t="s">
        <v>37</v>
      </c>
      <c r="C38" s="8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0" t="n">
        <v>36</v>
      </c>
      <c r="B39" s="11" t="s">
        <v>38</v>
      </c>
      <c r="C39" s="8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0"/>
      <c r="B40" s="16" t="s">
        <v>39</v>
      </c>
      <c r="C40" s="17" t="n">
        <f aca="false">SUM(C20:C39)</f>
        <v>176908.56</v>
      </c>
    </row>
    <row r="41" customFormat="false" ht="15" hidden="false" customHeight="true" outlineLevel="0" collapsed="false">
      <c r="A41" s="10"/>
      <c r="B41" s="18" t="s">
        <v>40</v>
      </c>
      <c r="C41" s="19" t="n">
        <f aca="false">C40+C19</f>
        <v>471438.767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11.5"/>
  </cols>
  <sheetData>
    <row r="1" customFormat="false" ht="15" hidden="false" customHeight="true" outlineLevel="0" collapsed="false">
      <c r="A1" s="20" t="s">
        <v>41</v>
      </c>
      <c r="F1" s="21" t="s">
        <v>42</v>
      </c>
    </row>
    <row r="2" customFormat="false" ht="14.25" hidden="false" customHeight="true" outlineLevel="0" collapsed="false">
      <c r="B2" s="22" t="s">
        <v>5</v>
      </c>
      <c r="C2" s="22" t="s">
        <v>4</v>
      </c>
      <c r="D2" s="22" t="s">
        <v>43</v>
      </c>
      <c r="E2" s="22" t="s">
        <v>44</v>
      </c>
      <c r="F2" s="23" t="s">
        <v>45</v>
      </c>
      <c r="G2" s="23" t="s">
        <v>46</v>
      </c>
      <c r="H2" s="23" t="s">
        <v>47</v>
      </c>
    </row>
    <row r="3" customFormat="false" ht="14.25" hidden="false" customHeight="true" outlineLevel="0" collapsed="false">
      <c r="A3" s="24" t="s">
        <v>48</v>
      </c>
      <c r="B3" s="22" t="n">
        <v>4</v>
      </c>
      <c r="C3" s="22"/>
      <c r="D3" s="22"/>
      <c r="E3" s="22"/>
      <c r="F3" s="25" t="n">
        <f aca="false">IF(B3&lt;&gt;"",B3,IF(C3&lt;&gt;"",C3,IF(D3&lt;&gt;"",D3,IF(E3&lt;&gt;"",E3,""))))</f>
        <v>4</v>
      </c>
      <c r="G3" s="26" t="n">
        <f aca="false">IFERROR(INDEX(PPLAY1_מקור!$B:$B,MATCH(A3,PPLAY1_מקור!$A:$A,0)),"")</f>
        <v>4414</v>
      </c>
      <c r="H3" s="26" t="n">
        <f aca="false">IF(G3="","",G3*0.91)</f>
        <v>4016.74</v>
      </c>
    </row>
    <row r="4" customFormat="false" ht="14.25" hidden="false" customHeight="true" outlineLevel="0" collapsed="false">
      <c r="A4" s="24" t="s">
        <v>49</v>
      </c>
      <c r="B4" s="22" t="n">
        <v>4</v>
      </c>
      <c r="C4" s="22"/>
      <c r="D4" s="22"/>
      <c r="E4" s="22"/>
      <c r="F4" s="25" t="n">
        <f aca="false">IF(B4&lt;&gt;"",B4,IF(C4&lt;&gt;"",C4,IF(D4&lt;&gt;"",D4,IF(E4&lt;&gt;"",E4,""))))</f>
        <v>4</v>
      </c>
      <c r="G4" s="26" t="str">
        <f aca="false">IFERROR(INDEX(PPLAY1_מקור!$B:$B,MATCH(A4,PPLAY1_מקור!$A:$A,0)),"")</f>
        <v/>
      </c>
      <c r="H4" s="26" t="str">
        <f aca="false">IF(G4="","",G4*0.91)</f>
        <v/>
      </c>
    </row>
    <row r="5" customFormat="false" ht="14.25" hidden="false" customHeight="true" outlineLevel="0" collapsed="false">
      <c r="A5" s="24" t="s">
        <v>50</v>
      </c>
      <c r="B5" s="22"/>
      <c r="C5" s="22"/>
      <c r="D5" s="22"/>
      <c r="E5" s="22"/>
      <c r="F5" s="25" t="str">
        <f aca="false">IF(B5&lt;&gt;"",B5,IF(C5&lt;&gt;"",C5,IF(D5&lt;&gt;"",D5,IF(E5&lt;&gt;"",E5,""))))</f>
        <v/>
      </c>
      <c r="G5" s="26" t="n">
        <f aca="false">IFERROR(INDEX(PPLAY1_מקור!$B:$B,MATCH(A5,PPLAY1_מקור!$A:$A,0)),"")</f>
        <v>3267.2</v>
      </c>
      <c r="H5" s="26" t="n">
        <f aca="false">IF(G5="","",G5*0.91)</f>
        <v>2973.152</v>
      </c>
    </row>
    <row r="6" customFormat="false" ht="14.25" hidden="false" customHeight="true" outlineLevel="0" collapsed="false">
      <c r="A6" s="24" t="s">
        <v>51</v>
      </c>
      <c r="B6" s="22"/>
      <c r="C6" s="22" t="n">
        <v>7</v>
      </c>
      <c r="D6" s="22"/>
      <c r="E6" s="22"/>
      <c r="F6" s="25" t="n">
        <f aca="false">IF(B6&lt;&gt;"",B6,IF(C6&lt;&gt;"",C6,IF(D6&lt;&gt;"",D6,IF(E6&lt;&gt;"",E6,""))))</f>
        <v>7</v>
      </c>
      <c r="G6" s="26" t="str">
        <f aca="false">IFERROR(INDEX(PPLAY1_מקור!$B:$B,MATCH(A6,PPLAY1_מקור!$A:$A,0)),"")</f>
        <v/>
      </c>
      <c r="H6" s="26" t="str">
        <f aca="false">IF(G6="","",G6*0.91)</f>
        <v/>
      </c>
    </row>
    <row r="7" customFormat="false" ht="14.25" hidden="false" customHeight="true" outlineLevel="0" collapsed="false">
      <c r="A7" s="24" t="s">
        <v>52</v>
      </c>
      <c r="B7" s="22" t="n">
        <v>4</v>
      </c>
      <c r="C7" s="22"/>
      <c r="D7" s="22"/>
      <c r="E7" s="22"/>
      <c r="F7" s="25" t="n">
        <f aca="false">IF(B7&lt;&gt;"",B7,IF(C7&lt;&gt;"",C7,IF(D7&lt;&gt;"",D7,IF(E7&lt;&gt;"",E7,""))))</f>
        <v>4</v>
      </c>
      <c r="G7" s="26" t="str">
        <f aca="false">IFERROR(INDEX(PPLAY1_מקור!$B:$B,MATCH(A7,PPLAY1_מקור!$A:$A,0)),"")</f>
        <v/>
      </c>
      <c r="H7" s="26" t="str">
        <f aca="false">IF(G7="","",G7*0.91)</f>
        <v/>
      </c>
    </row>
    <row r="8" customFormat="false" ht="14.25" hidden="false" customHeight="true" outlineLevel="0" collapsed="false">
      <c r="A8" s="24" t="s">
        <v>53</v>
      </c>
      <c r="B8" s="22" t="n">
        <v>4</v>
      </c>
      <c r="C8" s="22"/>
      <c r="D8" s="22"/>
      <c r="E8" s="22"/>
      <c r="F8" s="25" t="n">
        <f aca="false">IF(B8&lt;&gt;"",B8,IF(C8&lt;&gt;"",C8,IF(D8&lt;&gt;"",D8,IF(E8&lt;&gt;"",E8,""))))</f>
        <v>4</v>
      </c>
      <c r="G8" s="26" t="str">
        <f aca="false">IFERROR(INDEX(PPLAY1_מקור!$B:$B,MATCH(A8,PPLAY1_מקור!$A:$A,0)),"")</f>
        <v/>
      </c>
      <c r="H8" s="26" t="str">
        <f aca="false">IF(G8="","",G8*0.91)</f>
        <v/>
      </c>
    </row>
    <row r="9" customFormat="false" ht="14.25" hidden="false" customHeight="true" outlineLevel="0" collapsed="false">
      <c r="A9" s="24" t="s">
        <v>54</v>
      </c>
      <c r="B9" s="22"/>
      <c r="C9" s="22" t="n">
        <v>7</v>
      </c>
      <c r="D9" s="22"/>
      <c r="E9" s="22"/>
      <c r="F9" s="25" t="n">
        <f aca="false">IF(B9&lt;&gt;"",B9,IF(C9&lt;&gt;"",C9,IF(D9&lt;&gt;"",D9,IF(E9&lt;&gt;"",E9,""))))</f>
        <v>7</v>
      </c>
      <c r="G9" s="26" t="str">
        <f aca="false">IFERROR(INDEX(PPLAY1_מקור!$B:$B,MATCH(A9,PPLAY1_מקור!$A:$A,0)),"")</f>
        <v/>
      </c>
      <c r="H9" s="26" t="str">
        <f aca="false">IF(G9="","",G9*0.91)</f>
        <v/>
      </c>
    </row>
    <row r="10" customFormat="false" ht="14.25" hidden="false" customHeight="true" outlineLevel="0" collapsed="false">
      <c r="A10" s="24" t="s">
        <v>3</v>
      </c>
      <c r="B10" s="22"/>
      <c r="C10" s="22"/>
      <c r="D10" s="22" t="n">
        <v>1</v>
      </c>
      <c r="E10" s="22"/>
      <c r="F10" s="25" t="n">
        <f aca="false">IF(B10&lt;&gt;"",B10,IF(C10&lt;&gt;"",C10,IF(D10&lt;&gt;"",D10,IF(E10&lt;&gt;"",E10,""))))</f>
        <v>1</v>
      </c>
      <c r="G10" s="26" t="n">
        <f aca="false">IFERROR(INDEX(PPLAY1_מקור!$B:$B,MATCH(A10,PPLAY1_מקור!$A:$A,0)),"")</f>
        <v>-3457.1</v>
      </c>
      <c r="H10" s="26" t="n">
        <f aca="false">IF(G10="","",G10*0.91)</f>
        <v>-3145.961</v>
      </c>
    </row>
    <row r="11" customFormat="false" ht="14.25" hidden="false" customHeight="true" outlineLevel="0" collapsed="false">
      <c r="A11" s="24" t="s">
        <v>55</v>
      </c>
      <c r="B11" s="22"/>
      <c r="C11" s="22" t="n">
        <v>7</v>
      </c>
      <c r="D11" s="22"/>
      <c r="E11" s="22"/>
      <c r="F11" s="25" t="n">
        <f aca="false">IF(B11&lt;&gt;"",B11,IF(C11&lt;&gt;"",C11,IF(D11&lt;&gt;"",D11,IF(E11&lt;&gt;"",E11,""))))</f>
        <v>7</v>
      </c>
      <c r="G11" s="26" t="n">
        <f aca="false">IFERROR(INDEX(PPLAY1_מקור!$B:$B,MATCH(A11,PPLAY1_מקור!$A:$A,0)),"")</f>
        <v>6724.3</v>
      </c>
      <c r="H11" s="26" t="n">
        <f aca="false">IF(G11="","",G11*0.91)</f>
        <v>6119.113</v>
      </c>
    </row>
    <row r="12" customFormat="false" ht="14.25" hidden="false" customHeight="true" outlineLevel="0" collapsed="false">
      <c r="A12" s="24" t="s">
        <v>56</v>
      </c>
      <c r="B12" s="22" t="n">
        <v>4</v>
      </c>
      <c r="C12" s="22"/>
      <c r="D12" s="22"/>
      <c r="E12" s="22"/>
      <c r="F12" s="25" t="n">
        <f aca="false">IF(B12&lt;&gt;"",B12,IF(C12&lt;&gt;"",C12,IF(D12&lt;&gt;"",D12,IF(E12&lt;&gt;"",E12,""))))</f>
        <v>4</v>
      </c>
      <c r="G12" s="26" t="str">
        <f aca="false">IFERROR(INDEX(PPLAY1_מקור!$B:$B,MATCH(A12,PPLAY1_מקור!$A:$A,0)),"")</f>
        <v/>
      </c>
      <c r="H12" s="26" t="str">
        <f aca="false">IF(G12="","",G12*0.91)</f>
        <v/>
      </c>
    </row>
    <row r="13" customFormat="false" ht="14.25" hidden="false" customHeight="true" outlineLevel="0" collapsed="false">
      <c r="A13" s="24" t="s">
        <v>57</v>
      </c>
      <c r="B13" s="22"/>
      <c r="C13" s="22"/>
      <c r="D13" s="22"/>
      <c r="E13" s="22" t="n">
        <v>8</v>
      </c>
      <c r="F13" s="25" t="n">
        <f aca="false">IF(B13&lt;&gt;"",B13,IF(C13&lt;&gt;"",C13,IF(D13&lt;&gt;"",D13,IF(E13&lt;&gt;"",E13,""))))</f>
        <v>8</v>
      </c>
      <c r="G13" s="26" t="n">
        <f aca="false">IFERROR(INDEX(PPLAY1_מקור!$B:$B,MATCH(A13,PPLAY1_מקור!$A:$A,0)),"")</f>
        <v>6396.5</v>
      </c>
      <c r="H13" s="26" t="n">
        <f aca="false">IF(G13="","",G13*0.91)</f>
        <v>5820.815</v>
      </c>
    </row>
    <row r="14" customFormat="false" ht="14.25" hidden="false" customHeight="true" outlineLevel="0" collapsed="false">
      <c r="A14" s="24" t="s">
        <v>58</v>
      </c>
      <c r="B14" s="22" t="n">
        <v>4</v>
      </c>
      <c r="C14" s="22"/>
      <c r="D14" s="22"/>
      <c r="E14" s="22"/>
      <c r="F14" s="25" t="n">
        <f aca="false">IF(B14&lt;&gt;"",B14,IF(C14&lt;&gt;"",C14,IF(D14&lt;&gt;"",D14,IF(E14&lt;&gt;"",E14,""))))</f>
        <v>4</v>
      </c>
      <c r="G14" s="26" t="str">
        <f aca="false">IFERROR(INDEX(PPLAY1_מקור!$B:$B,MATCH(A14,PPLAY1_מקור!$A:$A,0)),"")</f>
        <v/>
      </c>
      <c r="H14" s="26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28.25"/>
    <col collapsed="false" customWidth="true" hidden="false" outlineLevel="0" max="3" min="3" style="0" width="20"/>
  </cols>
  <sheetData>
    <row r="1" customFormat="false" ht="15" hidden="false" customHeight="true" outlineLevel="0" collapsed="false">
      <c r="A1" s="20" t="s">
        <v>59</v>
      </c>
      <c r="C1" s="23" t="s">
        <v>60</v>
      </c>
    </row>
    <row r="2" customFormat="false" ht="15" hidden="false" customHeight="true" outlineLevel="0" collapsed="false">
      <c r="A2" s="20"/>
    </row>
    <row r="3" customFormat="false" ht="14.25" hidden="false" customHeight="true" outlineLevel="0" collapsed="false">
      <c r="A3" s="27" t="s">
        <v>61</v>
      </c>
      <c r="B3" s="0" t="n">
        <v>6</v>
      </c>
      <c r="C3" s="26" t="n">
        <f aca="false">IFERROR(INDEX(NetSuite_מקור!$D:$D,MATCH(A3,NetSuite_מקור!$A:$A,0)),"")</f>
        <v>5871.08</v>
      </c>
    </row>
    <row r="4" customFormat="false" ht="14.25" hidden="false" customHeight="true" outlineLevel="0" collapsed="false">
      <c r="A4" s="27" t="s">
        <v>62</v>
      </c>
      <c r="B4" s="0" t="n">
        <v>5</v>
      </c>
      <c r="C4" s="26" t="n">
        <f aca="false">IFERROR(INDEX(NetSuite_מקור!$D:$D,MATCH(A4,NetSuite_מקור!$A:$A,0)),"")</f>
        <v>213454.8</v>
      </c>
    </row>
    <row r="5" customFormat="false" ht="14.25" hidden="false" customHeight="true" outlineLevel="0" collapsed="false">
      <c r="A5" s="27" t="s">
        <v>63</v>
      </c>
      <c r="B5" s="0" t="n">
        <v>9</v>
      </c>
      <c r="C5" s="26" t="n">
        <f aca="false">IFERROR(INDEX(NetSuite_מקור!$D:$D,MATCH(A5,NetSuite_מקור!$A:$A,0)),"")</f>
        <v>3042.1</v>
      </c>
    </row>
    <row r="6" customFormat="false" ht="14.25" hidden="false" customHeight="true" outlineLevel="0" collapsed="false">
      <c r="A6" s="27" t="s">
        <v>64</v>
      </c>
      <c r="B6" s="0" t="n">
        <v>11</v>
      </c>
      <c r="C6" s="26" t="n">
        <f aca="false">IFERROR(INDEX(NetSuite_מקור!$D:$D,MATCH(A6,NetSuite_מקור!$A:$A,0)),"")</f>
        <v>893.04</v>
      </c>
    </row>
    <row r="7" customFormat="false" ht="14.25" hidden="false" customHeight="true" outlineLevel="0" collapsed="false">
      <c r="A7" s="27" t="s">
        <v>65</v>
      </c>
      <c r="B7" s="0" t="n">
        <v>10</v>
      </c>
      <c r="C7" s="26" t="n">
        <f aca="false">IFERROR(INDEX(NetSuite_מקור!$D:$D,MATCH(A7,NetSuite_מקור!$A:$A,0)),"")</f>
        <v>1363.29</v>
      </c>
    </row>
    <row r="8" customFormat="false" ht="14.25" hidden="false" customHeight="true" outlineLevel="0" collapsed="false">
      <c r="A8" s="27" t="s">
        <v>66</v>
      </c>
      <c r="B8" s="0" t="n">
        <v>4</v>
      </c>
      <c r="C8" s="26" t="n">
        <f aca="false">IFERROR(INDEX(NetSuite_מקור!$D:$D,MATCH(A8,NetSuite_מקור!$A:$A,0)),"")</f>
        <v>1232.66</v>
      </c>
    </row>
    <row r="9" customFormat="false" ht="14.25" hidden="false" customHeight="true" outlineLevel="0" collapsed="false">
      <c r="A9" s="27" t="s">
        <v>67</v>
      </c>
      <c r="B9" s="0" t="n">
        <v>13</v>
      </c>
      <c r="C9" s="26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7" t="s">
        <v>68</v>
      </c>
      <c r="B10" s="0" t="n">
        <v>8</v>
      </c>
      <c r="C10" s="26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7" t="s">
        <v>69</v>
      </c>
      <c r="B11" s="0" t="n">
        <v>3</v>
      </c>
      <c r="C11" s="26" t="n">
        <f aca="false">IFERROR(INDEX(NetSuite_מקור!$D:$D,MATCH(A11,NetSuite_מקור!$A:$A,0)),"")</f>
        <v>21161</v>
      </c>
    </row>
    <row r="12" customFormat="false" ht="14.25" hidden="false" customHeight="true" outlineLevel="0" collapsed="false">
      <c r="A12" s="27" t="s">
        <v>70</v>
      </c>
      <c r="B12" s="0" t="n">
        <v>2</v>
      </c>
      <c r="C12" s="26" t="n">
        <f aca="false">IFERROR(INDEX(NetSuite_מקור!$D:$D,MATCH(A12,NetSuite_מקור!$A:$A,0)),"")</f>
        <v>34463.07</v>
      </c>
    </row>
    <row r="13" customFormat="false" ht="14.25" hidden="false" customHeight="true" outlineLevel="0" collapsed="false">
      <c r="A13" s="27" t="s">
        <v>71</v>
      </c>
      <c r="B13" s="0" t="n">
        <v>12</v>
      </c>
      <c r="C13" s="26" t="n">
        <f aca="false">IFERROR(INDEX(NetSuite_מקור!$D:$D,MATCH(A13,NetSuite_מקור!$A:$A,0)),"")</f>
        <v>238.46</v>
      </c>
    </row>
    <row r="14" customFormat="false" ht="14.25" hidden="false" customHeight="true" outlineLevel="0" collapsed="false">
      <c r="A14" s="27" t="s">
        <v>72</v>
      </c>
      <c r="B14" s="0" t="n">
        <v>23</v>
      </c>
      <c r="C14" s="26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7" t="s">
        <v>73</v>
      </c>
      <c r="B15" s="0" t="n">
        <v>25</v>
      </c>
      <c r="C15" s="26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7" t="s">
        <v>74</v>
      </c>
      <c r="B16" s="0" t="n">
        <v>28</v>
      </c>
      <c r="C16" s="26" t="str">
        <f aca="false">IFERROR(INDEX(NetSuite_מקור!$D:$D,MATCH(A16,NetSuite_מקור!$A:$A,0)),"")</f>
        <v/>
      </c>
    </row>
    <row r="17" customFormat="false" ht="14.25" hidden="false" customHeight="false" outlineLevel="0" collapsed="false">
      <c r="A17" s="27" t="s">
        <v>75</v>
      </c>
      <c r="B17" s="0" t="n">
        <v>20</v>
      </c>
      <c r="C17" s="28" t="n">
        <f aca="false">IFERROR(INDEX(NetSuite_מקור!$D:$D,MATCH(A17,NetSuite_מקור!$A:$A,0)),"")</f>
        <v>132101.57</v>
      </c>
    </row>
    <row r="18" customFormat="false" ht="14.25" hidden="false" customHeight="false" outlineLevel="0" collapsed="false">
      <c r="A18" s="27" t="s">
        <v>76</v>
      </c>
      <c r="B18" s="0" t="n">
        <v>33</v>
      </c>
      <c r="C18" s="28" t="n">
        <f aca="false">IFERROR(INDEX(NetSuite_מקור!$D:$D,MATCH(A18,NetSuite_מקור!$A:$A,0)),"")</f>
        <v>25951</v>
      </c>
    </row>
    <row r="19" customFormat="false" ht="14.25" hidden="false" customHeight="false" outlineLevel="0" collapsed="false">
      <c r="A19" s="27" t="s">
        <v>77</v>
      </c>
      <c r="B19" s="0" t="n">
        <v>21</v>
      </c>
      <c r="C19" s="28" t="str">
        <f aca="false">IFERROR(INDEX(NetSuite_מקור!$D:$D,MATCH(A19,NetSuite_מקור!$A:$A,0)),"")</f>
        <v/>
      </c>
    </row>
    <row r="20" customFormat="false" ht="14.25" hidden="false" customHeight="false" outlineLevel="0" collapsed="false">
      <c r="A20" s="27" t="s">
        <v>78</v>
      </c>
      <c r="B20" s="0" t="n">
        <v>22</v>
      </c>
      <c r="C20" s="28" t="str">
        <f aca="false">IFERROR(INDEX(NetSuite_מקור!$D:$D,MATCH(A20,NetSuite_מקור!$A:$A,0)),"")</f>
        <v/>
      </c>
    </row>
    <row r="21" customFormat="false" ht="14.25" hidden="false" customHeight="false" outlineLevel="0" collapsed="false">
      <c r="A21" s="27" t="s">
        <v>79</v>
      </c>
      <c r="B21" s="0" t="n">
        <v>24</v>
      </c>
      <c r="C21" s="28" t="str">
        <f aca="false">IFERROR(INDEX(NetSuite_מקור!$D:$D,MATCH(A21,NetSuite_מקור!$A:$A,0)),"")</f>
        <v/>
      </c>
    </row>
    <row r="22" customFormat="false" ht="14.25" hidden="false" customHeight="false" outlineLevel="0" collapsed="false">
      <c r="A22" s="27" t="s">
        <v>80</v>
      </c>
      <c r="B22" s="0" t="n">
        <v>26</v>
      </c>
      <c r="C22" s="28" t="str">
        <f aca="false">IFERROR(INDEX(NetSuite_מקור!$D:$D,MATCH(A22,NetSuite_מקור!$A:$A,0)),"")</f>
        <v/>
      </c>
    </row>
    <row r="23" customFormat="false" ht="14.25" hidden="false" customHeight="false" outlineLevel="0" collapsed="false">
      <c r="A23" s="27" t="s">
        <v>81</v>
      </c>
      <c r="B23" s="0" t="n">
        <v>27</v>
      </c>
      <c r="C23" s="28" t="str">
        <f aca="false">IFERROR(INDEX(NetSuite_מקור!$D:$D,MATCH(A23,NetSuite_מקור!$A:$A,0)),"")</f>
        <v/>
      </c>
    </row>
    <row r="24" customFormat="false" ht="14.25" hidden="false" customHeight="false" outlineLevel="0" collapsed="false">
      <c r="A24" s="27" t="s">
        <v>82</v>
      </c>
      <c r="B24" s="0" t="n">
        <v>29</v>
      </c>
      <c r="C24" s="28" t="str">
        <f aca="false">IFERROR(INDEX(NetSuite_מקור!$D:$D,MATCH(A24,NetSuite_מקור!$A:$A,0)),"")</f>
        <v/>
      </c>
    </row>
    <row r="25" customFormat="false" ht="14.25" hidden="false" customHeight="false" outlineLevel="0" collapsed="false">
      <c r="A25" s="27" t="s">
        <v>83</v>
      </c>
      <c r="B25" s="0" t="n">
        <v>30</v>
      </c>
      <c r="C25" s="28" t="str">
        <f aca="false">IFERROR(INDEX(NetSuite_מקור!$D:$D,MATCH(A25,NetSuite_מקור!$A:$A,0)),"")</f>
        <v/>
      </c>
    </row>
    <row r="26" customFormat="false" ht="14.25" hidden="false" customHeight="false" outlineLevel="0" collapsed="false">
      <c r="A26" s="27" t="s">
        <v>84</v>
      </c>
      <c r="B26" s="0" t="n">
        <v>31</v>
      </c>
      <c r="C26" s="28" t="str">
        <f aca="false">IFERROR(INDEX(NetSuite_מקור!$D:$D,MATCH(A26,NetSuite_מקור!$A:$A,0)),"")</f>
        <v/>
      </c>
    </row>
    <row r="27" customFormat="false" ht="14.25" hidden="false" customHeight="false" outlineLevel="0" collapsed="false">
      <c r="A27" s="27" t="s">
        <v>85</v>
      </c>
      <c r="B27" s="0" t="n">
        <v>32</v>
      </c>
      <c r="C27" s="28" t="str">
        <f aca="false">IFERROR(INDEX(NetSuite_מקור!$D:$D,MATCH(A27,NetSuite_מקור!$A:$A,0)),"")</f>
        <v/>
      </c>
    </row>
    <row r="28" customFormat="false" ht="14.25" hidden="false" customHeight="false" outlineLevel="0" collapsed="false">
      <c r="A28" s="27" t="s">
        <v>86</v>
      </c>
      <c r="B28" s="0" t="n">
        <v>34</v>
      </c>
      <c r="C28" s="28" t="str">
        <f aca="false">IFERROR(INDEX(NetSuite_מקור!$D:$D,MATCH(A28,NetSuite_מקור!$A:$A,0)),"")</f>
        <v/>
      </c>
    </row>
    <row r="29" customFormat="false" ht="14.25" hidden="false" customHeight="false" outlineLevel="0" collapsed="false">
      <c r="A29" s="27" t="s">
        <v>87</v>
      </c>
      <c r="B29" s="0" t="n">
        <v>35</v>
      </c>
      <c r="C29" s="28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5" hidden="false" customHeight="true" outlineLevel="0" collapsed="false">
      <c r="A1" s="23" t="s">
        <v>88</v>
      </c>
      <c r="B1" s="23" t="s">
        <v>89</v>
      </c>
      <c r="C1" s="23" t="s">
        <v>47</v>
      </c>
      <c r="D1" s="23" t="s">
        <v>90</v>
      </c>
    </row>
    <row r="2" customFormat="false" ht="14.25" hidden="false" customHeight="false" outlineLevel="0" collapsed="false">
      <c r="A2" s="25" t="s">
        <v>48</v>
      </c>
      <c r="B2" s="26" t="n">
        <v>4414</v>
      </c>
      <c r="C2" s="26" t="n">
        <f aca="false">B2*0.91</f>
        <v>4016.74</v>
      </c>
      <c r="D2" s="29" t="s">
        <v>91</v>
      </c>
    </row>
    <row r="3" customFormat="false" ht="14.25" hidden="false" customHeight="false" outlineLevel="0" collapsed="false">
      <c r="A3" s="25" t="s">
        <v>50</v>
      </c>
      <c r="B3" s="26" t="n">
        <v>3267.2</v>
      </c>
      <c r="C3" s="26" t="n">
        <f aca="false">B3*0.91</f>
        <v>2973.152</v>
      </c>
    </row>
    <row r="4" customFormat="false" ht="14.25" hidden="false" customHeight="false" outlineLevel="0" collapsed="false">
      <c r="A4" s="25" t="s">
        <v>3</v>
      </c>
      <c r="B4" s="26" t="n">
        <v>-3457.1</v>
      </c>
      <c r="C4" s="26" t="n">
        <f aca="false">B4*0.91</f>
        <v>-3145.961</v>
      </c>
    </row>
    <row r="5" customFormat="false" ht="14.25" hidden="false" customHeight="false" outlineLevel="0" collapsed="false">
      <c r="A5" s="25" t="s">
        <v>55</v>
      </c>
      <c r="B5" s="26" t="n">
        <v>6724.3</v>
      </c>
      <c r="C5" s="26" t="n">
        <f aca="false">B5*0.91</f>
        <v>6119.113</v>
      </c>
    </row>
    <row r="6" customFormat="false" ht="14.25" hidden="false" customHeight="false" outlineLevel="0" collapsed="false">
      <c r="A6" s="25" t="s">
        <v>57</v>
      </c>
      <c r="B6" s="26" t="n">
        <v>6396.5</v>
      </c>
      <c r="C6" s="26" t="n">
        <f aca="false">B6*0.91</f>
        <v>5820.815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4" style="0" width="14"/>
  </cols>
  <sheetData>
    <row r="1" customFormat="false" ht="15" hidden="false" customHeight="true" outlineLevel="0" collapsed="false">
      <c r="A1" s="29" t="s">
        <v>92</v>
      </c>
    </row>
    <row r="2" customFormat="false" ht="15" hidden="false" customHeight="true" outlineLevel="0" collapsed="false">
      <c r="A2" s="23" t="s">
        <v>93</v>
      </c>
      <c r="D2" s="23" t="s">
        <v>94</v>
      </c>
    </row>
    <row r="3" customFormat="false" ht="15" hidden="false" customHeight="true" outlineLevel="0" collapsed="false">
      <c r="A3" s="25" t="s">
        <v>61</v>
      </c>
      <c r="D3" s="28" t="n">
        <v>5871.08</v>
      </c>
    </row>
    <row r="4" customFormat="false" ht="15" hidden="false" customHeight="true" outlineLevel="0" collapsed="false">
      <c r="A4" s="25" t="s">
        <v>62</v>
      </c>
      <c r="D4" s="28" t="n">
        <v>213454.8</v>
      </c>
    </row>
    <row r="5" customFormat="false" ht="15" hidden="false" customHeight="true" outlineLevel="0" collapsed="false">
      <c r="A5" s="25" t="s">
        <v>63</v>
      </c>
      <c r="D5" s="28" t="n">
        <v>3042.1</v>
      </c>
    </row>
    <row r="6" customFormat="false" ht="15" hidden="false" customHeight="true" outlineLevel="0" collapsed="false">
      <c r="A6" s="25" t="s">
        <v>64</v>
      </c>
      <c r="D6" s="28" t="n">
        <v>893.04</v>
      </c>
    </row>
    <row r="7" customFormat="false" ht="15" hidden="false" customHeight="true" outlineLevel="0" collapsed="false">
      <c r="A7" s="25" t="s">
        <v>65</v>
      </c>
      <c r="D7" s="28" t="n">
        <v>1363.29</v>
      </c>
    </row>
    <row r="8" customFormat="false" ht="15" hidden="false" customHeight="true" outlineLevel="0" collapsed="false">
      <c r="A8" s="25" t="s">
        <v>66</v>
      </c>
      <c r="D8" s="28" t="n">
        <v>1232.66</v>
      </c>
    </row>
    <row r="9" customFormat="false" ht="15" hidden="false" customHeight="true" outlineLevel="0" collapsed="false">
      <c r="A9" s="25" t="s">
        <v>69</v>
      </c>
      <c r="D9" s="28" t="n">
        <v>21161</v>
      </c>
    </row>
    <row r="10" customFormat="false" ht="14.25" hidden="false" customHeight="false" outlineLevel="0" collapsed="false">
      <c r="A10" s="25" t="s">
        <v>70</v>
      </c>
      <c r="D10" s="28" t="n">
        <v>34463.07</v>
      </c>
    </row>
    <row r="11" customFormat="false" ht="14.25" hidden="false" customHeight="false" outlineLevel="0" collapsed="false">
      <c r="A11" s="25" t="s">
        <v>71</v>
      </c>
      <c r="D11" s="28" t="n">
        <v>238.46</v>
      </c>
    </row>
    <row r="12" customFormat="false" ht="14.25" hidden="false" customHeight="false" outlineLevel="0" collapsed="false">
      <c r="A12" s="30" t="s">
        <v>75</v>
      </c>
      <c r="B12" s="31"/>
      <c r="C12" s="31"/>
      <c r="D12" s="32" t="n">
        <v>132101.57</v>
      </c>
      <c r="E12" s="33" t="n">
        <v>7230</v>
      </c>
    </row>
    <row r="13" customFormat="false" ht="14.25" hidden="false" customHeight="false" outlineLevel="0" collapsed="false">
      <c r="A13" s="30" t="s">
        <v>76</v>
      </c>
      <c r="B13" s="31"/>
      <c r="C13" s="31"/>
      <c r="D13" s="32" t="n">
        <v>25951</v>
      </c>
      <c r="E13" s="33" t="n">
        <v>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5" hidden="false" customHeight="true" outlineLevel="0" collapsed="false">
      <c r="A1" s="29" t="s">
        <v>95</v>
      </c>
    </row>
    <row r="2" customFormat="false" ht="15" hidden="false" customHeight="true" outlineLevel="0" collapsed="false">
      <c r="A2" s="23" t="s">
        <v>88</v>
      </c>
      <c r="B2" s="23" t="s">
        <v>96</v>
      </c>
      <c r="C2" s="23" t="s">
        <v>90</v>
      </c>
    </row>
    <row r="3" customFormat="false" ht="15" hidden="false" customHeight="true" outlineLevel="0" collapsed="false">
      <c r="A3" s="25" t="s">
        <v>94</v>
      </c>
      <c r="B3" s="26" t="n">
        <v>7079.98</v>
      </c>
      <c r="C3" s="29" t="s">
        <v>97</v>
      </c>
    </row>
    <row r="4" customFormat="false" ht="15" hidden="false" customHeight="true" outlineLevel="0" collapsed="false">
      <c r="A4" s="25" t="s">
        <v>98</v>
      </c>
      <c r="B4" s="26" t="n">
        <v>-794.65</v>
      </c>
      <c r="C4" s="29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2026-08-04T09:33:45Z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