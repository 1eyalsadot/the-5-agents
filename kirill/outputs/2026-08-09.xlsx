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<sst xmlns="http://schemas.openxmlformats.org/spreadsheetml/2006/main" count="126" uniqueCount="100">
  <si>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</si>
  <si>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</si>
  <si>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</si>
  <si>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</si>
  <si>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</si>
  <si>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</si>
  <si>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</si>
  <si>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</si>
  <si>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</si>
  <si>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</si>
  <si>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</si>
  <si>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</si>
  <si>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</si>
  <si>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</si>
  <si>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</si>
  <si>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</si>
  <si>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</si>
  <si>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</si>
  <si>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</si>
  <si>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</si>
  <si>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</si>
  <si>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</si>
  <si>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</si>
  <si>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</si>
  <si>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</si>
  <si>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</si>
  <si>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</si>
  <si>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</si>
  <si>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</si>
  <si>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</si>
  <si>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</si>
  <si>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</si>
  <si>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</si>
  <si>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</si>
  <si>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</si>
  <si>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</si>
  <si>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</si>
  <si>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</si>
  <si>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</si>
  <si>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</si>
  <si>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</si>
  <si>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</si>
  <si>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</si>
  <si>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</si>
  <si>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</si>
  <si>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</si>
  <si>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</si>
  <si>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</si>
  <si>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</si>
  <si>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</si>
  <si>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</si>
  <si>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</si>
  <si>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</si>
  <si>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</si>
  <si>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</si>
  <si>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</si>
  <si>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</si>
  <si>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</si>
  <si>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</si>
  <si>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</si>
  <si>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</si>
  <si>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</si>
  <si>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</si>
  <si>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</si>
  <si>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</si>
  <si>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</si>
  <si>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</si>
  <si>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</si>
  <si>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</si>
  <si>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</si>
  <si>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</si>
  <si>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</si>
  <si>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</si>
  <si>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</si>
  <si>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</si>
  <si>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</si>
  <si>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</si>
  <si>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</si>
  <si>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</si>
  <si>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</si>
  <si>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</si>
  <si>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</si>
  <si>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</si>
  <si>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</si>
  <si>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</si>
  <si>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</si>
  <si>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</si>
  <si>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</si>
  <si>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תיאור</t>
  </si>
  <si>
    <t xml:space="preserve">2026/Aug (סכום גולמי, MTD)</t>
  </si>
  <si>
    <t xml:space="preserve">הערה</t>
  </si>
  <si>
    <t xml:space="preserve">Source: PPlay1.xlsx ("PPlay1 of uriel (Reporter)", נוצר 09/08/2026 09:12:35, תקופה 2026/Aug, Month-to-Date). נשלפו 8 שורות קטגוריה שיש להן נתונים עד כה החודש, מתוך 12 הקטגוריות במקרא גיליון Pplay1 (4 הקטגוריות הנותרות אין להן עדיין נתונים החודש — תקין ל-MTD, לא נתון חסר). שורת "Customers" בדוח המקור (₪193,065.5) היא שורת סה"כ-אב ואינה שווה לסכום שורות הקטגוריה (שהוא גבוה יותר, ₪339,136.2) — כפי שהיה גם בדוחות הקודמים, זו שורת מטה-דוח שאינה תואמת אף ערך במקרא ולכן לא יובאה, בהתאם למוסכמת עבודה. מכר נטו = עמודה B × 0.91 (מקדם קבוע, מאושר ב-kirill.md).</t>
  </si>
  <si>
    <t xml:space="preserve">Source: CustomSalesbyCustomerSummary596.xls (Meditex Group IL, Custom Sales by Customer Summary, 01 August 2026 - 31 August 2026, Month-to-Date) — נשלפו 11 שורות הסיכום (קטגוריה) שיש להן מכירות עד כה החודש, מתוך 27 הקטגוריות במקרא "ריכוז" (16 הקטגוריות הנותרות אין להן מכירות עדיין החודש — תקין ל-MTD, לא נתון חסר). לא יובאו שורות פירוט חשבוניות/לקוחות-בת מהדוח הגולמי (524 שורות פירוט בקובץ המקור), לפי מוסכמת עבודה. סה"כ שורת "Total" בדוח הגולמי המלא: 525,616.45 — תואם בדיוק לסכום 11 שורות הקטגוריה שנשלפו, כך שלא נותרה מכירה כלשהי שלא סווגה. כולל את "202 - Super-Pharm POLAND" (132,101.57) ו-"214 - Alfred Gera&amp; Sons Ltd. MALTA" (25,951.00), שממופות כבר בגיליון "ריכוז" (שורות 17-18) ללקוחות #20 ו-#33 בגיליון סה"כ, בהתאם למקרא הקבוע (ראה kirill.md).</t>
  </si>
  <si>
    <t xml:space="preserve">Customer</t>
  </si>
  <si>
    <t xml:space="preserve">Sales</t>
  </si>
  <si>
    <t xml:space="preserve">Source: צילום מסך שסופק על ידי המשתמש (ראובן), לוח בקרה Amazon Seller Central (Sales / Refund cost), "Month to date, 1-8 August 2026", נמסר 09/08/2026. אין קובץ מקור — נתון ידני מתועד. נתונים נוספים בצילום (לא בשימוש בנוסחה): Sales +15.2% מול תקופה קודמת, Orders/Units 657/664, Refunds 64, Est. payout $7,026.99, Gross profit $3,293.86, Net profit $3,293.86 (+13.8%).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</si>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</sst>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46243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213454.8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116911.158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16013.088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26860.656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42497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19082.063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15033.88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1987.5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1050.01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3042.1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455932.255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86783.6999999999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543253.485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54796.08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212848.65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756102.135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25945.6</v>
      </c>
      <c r="H3" s="27" t="n">
        <f aca="false">IF(G3="","",G3*0.91)</f>
        <v>23610.496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80</v>
      </c>
      <c r="H4" s="27" t="n">
        <f aca="false">IF(G4="","",G4*0.91)</f>
        <v>72.8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146070.7</v>
      </c>
      <c r="H5" s="27" t="n">
        <f aca="false">IF(G5="","",G5*0.91)</f>
        <v>132924.337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184.9</v>
      </c>
      <c r="H6" s="27" t="n">
        <f aca="false">IF(G6="","",G6*0.91)</f>
        <v>168.259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str">
        <f aca="false">IFERROR(INDEX(PPLAY1_מקור!$B:$B,MATCH(A7,PPLAY1_מקור!$A:$A,0)),"")</f>
        <v/>
      </c>
      <c r="H7" s="27" t="str">
        <f aca="false">IF(G7="","",G7*0.91)</f>
        <v/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82.7</v>
      </c>
      <c r="H9" s="27" t="n">
        <f aca="false">IF(G9="","",G9*0.91)</f>
        <v>75.257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128473.8</v>
      </c>
      <c r="H10" s="27" t="n">
        <f aca="false">IF(G10="","",G10*0.91)</f>
        <v>116911.158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17329.2</v>
      </c>
      <c r="H11" s="27" t="n">
        <f aca="false">IF(G11="","",G11*0.91)</f>
        <v>15769.572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20969.3</v>
      </c>
      <c r="H13" s="27" t="n">
        <f aca="false">IF(G13="","",G13*0.91)</f>
        <v>19082.063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15033.88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213454.8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3042.1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1050.01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1987.5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3177.36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42497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86783.6999999999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25945.6</v>
      </c>
      <c r="C2" s="27" t="n">
        <f aca="false">B2*0.91</f>
        <v>23610.496</v>
      </c>
      <c r="D2" s="30" t="s">
        <v>91</v>
      </c>
    </row>
    <row r="3" customFormat="false" ht="14.25" hidden="false" customHeight="true" outlineLevel="0" collapsed="false">
      <c r="A3" s="26" t="s">
        <v>49</v>
      </c>
      <c r="B3" s="27" t="n">
        <v>80</v>
      </c>
      <c r="C3" s="27" t="n">
        <f aca="false">B3*0.91</f>
        <v>72.8</v>
      </c>
    </row>
    <row r="4" customFormat="false" ht="14.25" hidden="false" customHeight="true" outlineLevel="0" collapsed="false">
      <c r="A4" s="26" t="s">
        <v>50</v>
      </c>
      <c r="B4" s="27" t="n">
        <v>146070.7</v>
      </c>
      <c r="C4" s="27" t="n">
        <f aca="false">B4*0.91</f>
        <v>132924.337</v>
      </c>
    </row>
    <row r="5" customFormat="false" ht="14.25" hidden="false" customHeight="true" outlineLevel="0" collapsed="false">
      <c r="A5" s="26" t="s">
        <v>51</v>
      </c>
      <c r="B5" s="27" t="n">
        <v>184.9</v>
      </c>
      <c r="C5" s="27" t="n">
        <f aca="false">B5*0.91</f>
        <v>168.259</v>
      </c>
    </row>
    <row r="6" customFormat="false" ht="14.25" hidden="false" customHeight="true" outlineLevel="0" collapsed="false">
      <c r="A6" s="26" t="s">
        <v>54</v>
      </c>
      <c r="B6" s="27" t="n">
        <v>82.7</v>
      </c>
      <c r="C6" s="27" t="n">
        <f aca="false">B6*0.91</f>
        <v>75.257</v>
      </c>
    </row>
    <row r="7" customFormat="false" ht="14.25" hidden="false" customHeight="true" outlineLevel="0" collapsed="false">
      <c r="A7" s="26" t="s">
        <v>3</v>
      </c>
      <c r="B7" s="27" t="n">
        <v>128473.8</v>
      </c>
      <c r="C7" s="27" t="n">
        <f aca="false">B7*0.91</f>
        <v>116911.158</v>
      </c>
    </row>
    <row r="8" customFormat="false" ht="14.25" hidden="false" customHeight="true" outlineLevel="0" collapsed="false">
      <c r="A8" s="26" t="s">
        <v>55</v>
      </c>
      <c r="B8" s="27" t="n">
        <v>17329.2</v>
      </c>
      <c r="C8" s="27" t="n">
        <f aca="false">B8*0.91</f>
        <v>15769.572</v>
      </c>
    </row>
    <row r="9" customFormat="false" ht="14.25" hidden="false" customHeight="true" outlineLevel="0" collapsed="false">
      <c r="A9" s="26" t="s">
        <v>57</v>
      </c>
      <c r="B9" s="27" t="n">
        <v>20969.3</v>
      </c>
      <c r="C9" s="27" t="n">
        <f aca="false">B9*0.91</f>
        <v>19082.063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15033.88</v>
      </c>
    </row>
    <row r="4" customFormat="false" ht="15" hidden="false" customHeight="true" outlineLevel="0" collapsed="false">
      <c r="A4" s="26" t="s">
        <v>62</v>
      </c>
      <c r="D4" s="29" t="n">
        <v>213454.8</v>
      </c>
    </row>
    <row r="5" customFormat="false" ht="15" hidden="false" customHeight="true" outlineLevel="0" collapsed="false">
      <c r="A5" s="26" t="s">
        <v>63</v>
      </c>
      <c r="D5" s="29" t="n">
        <v>3042.1</v>
      </c>
    </row>
    <row r="6" customFormat="false" ht="15" hidden="false" customHeight="true" outlineLevel="0" collapsed="false">
      <c r="A6" s="26" t="s">
        <v>65</v>
      </c>
      <c r="D6" s="29" t="n">
        <v>1987.5</v>
      </c>
    </row>
    <row r="7" customFormat="false" ht="15" hidden="false" customHeight="true" outlineLevel="0" collapsed="false">
      <c r="A7" s="26" t="s">
        <v>69</v>
      </c>
      <c r="D7" s="29" t="n">
        <v>42497</v>
      </c>
    </row>
    <row r="8" customFormat="false" ht="15" hidden="false" customHeight="true" outlineLevel="0" collapsed="false">
      <c r="A8" s="26" t="s">
        <v>70</v>
      </c>
      <c r="D8" s="29" t="n">
        <v>86783.6999999999</v>
      </c>
    </row>
    <row r="9" customFormat="false" ht="15" hidden="false" customHeight="true" outlineLevel="0" collapsed="false">
      <c r="A9" s="26" t="s">
        <v>71</v>
      </c>
      <c r="D9" s="29" t="n">
        <v>537.53</v>
      </c>
    </row>
    <row r="10" customFormat="false" ht="14.25" hidden="false" customHeight="true" outlineLevel="0" collapsed="false">
      <c r="A10" s="26" t="s">
        <v>66</v>
      </c>
      <c r="D10" s="29" t="n">
        <v>3177.36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25951</v>
      </c>
      <c r="E12" s="34"/>
    </row>
    <row r="13" customFormat="false" ht="14.25" hidden="false" customHeight="true" outlineLevel="0" collapsed="false">
      <c r="A13" s="31" t="s">
        <v>64</v>
      </c>
      <c r="B13" s="32"/>
      <c r="C13" s="32"/>
      <c r="D13" s="33" t="n">
        <v>1050.01</v>
      </c>
      <c r="E1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88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94</v>
      </c>
      <c r="B3" s="27" t="n">
        <v>20244.72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-1979.36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2026-08-09T06:40:25Z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