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1156658meditex-my.sharepoint.com/personal/eyals_uriel_co_il/Documents/שולחן העבודה/"/>
    </mc:Choice>
  </mc:AlternateContent>
  <xr:revisionPtr revIDLastSave="9" documentId="8_{6D954D4F-2EBD-43C7-8CA5-AB90B182D199}" xr6:coauthVersionLast="47" xr6:coauthVersionMax="47" xr10:uidLastSave="{11A0503A-D9A9-44FA-BF67-14CEB6911643}"/>
  <bookViews>
    <workbookView xWindow="-120" yWindow="-120" windowWidth="29040" windowHeight="15720" tabRatio="500" xr2:uid="{00000000-000D-0000-FFFF-FFFF00000000}"/>
  </bookViews>
  <sheets>
    <sheet name="חאזם" sheetId="1" r:id="rId1"/>
    <sheet name="דודו" sheetId="2" r:id="rId2"/>
    <sheet name="חיים" sheetId="3" r:id="rId3"/>
    <sheet name="סטאס" sheetId="4" r:id="rId4"/>
    <sheet name="DASHBOARD"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1" i="4" l="1"/>
  <c r="G26" i="4" s="1"/>
  <c r="C21" i="4"/>
  <c r="E20" i="4"/>
  <c r="D20" i="4"/>
  <c r="C20" i="4"/>
  <c r="H19" i="4"/>
  <c r="F19" i="4"/>
  <c r="F18" i="4"/>
  <c r="F17" i="4"/>
  <c r="G16" i="4"/>
  <c r="F16" i="4"/>
  <c r="H16" i="4" s="1"/>
  <c r="H15" i="4"/>
  <c r="F15" i="4"/>
  <c r="G15" i="4" s="1"/>
  <c r="E14" i="4"/>
  <c r="E21" i="4" s="1"/>
  <c r="D14" i="4"/>
  <c r="C14" i="4"/>
  <c r="H13" i="4"/>
  <c r="G13" i="4"/>
  <c r="F13" i="4"/>
  <c r="H12" i="4"/>
  <c r="F12" i="4"/>
  <c r="G12" i="4" s="1"/>
  <c r="H11" i="4"/>
  <c r="G11" i="4"/>
  <c r="F11" i="4"/>
  <c r="F14" i="4" s="1"/>
  <c r="B5" i="4"/>
  <c r="B4" i="4"/>
  <c r="C21" i="3"/>
  <c r="B8" i="5" s="1"/>
  <c r="E20" i="3"/>
  <c r="E21" i="3" s="1"/>
  <c r="D20" i="3"/>
  <c r="C20" i="3"/>
  <c r="H19" i="3"/>
  <c r="F19" i="3"/>
  <c r="H18" i="3"/>
  <c r="F18" i="3"/>
  <c r="H17" i="3"/>
  <c r="G17" i="3"/>
  <c r="F17" i="3"/>
  <c r="H16" i="3"/>
  <c r="F16" i="3"/>
  <c r="G16" i="3" s="1"/>
  <c r="H15" i="3"/>
  <c r="G15" i="3"/>
  <c r="F15" i="3"/>
  <c r="H14" i="3"/>
  <c r="G14" i="3"/>
  <c r="F14" i="3"/>
  <c r="E14" i="3"/>
  <c r="D14" i="3"/>
  <c r="D21" i="3" s="1"/>
  <c r="C14" i="3"/>
  <c r="H13" i="3"/>
  <c r="F13" i="3"/>
  <c r="G13" i="3" s="1"/>
  <c r="H12" i="3"/>
  <c r="G12" i="3"/>
  <c r="F12" i="3"/>
  <c r="G11" i="3"/>
  <c r="F11" i="3"/>
  <c r="B5" i="3"/>
  <c r="B4" i="3"/>
  <c r="E20" i="2"/>
  <c r="D20" i="2"/>
  <c r="C20" i="2"/>
  <c r="C21" i="2" s="1"/>
  <c r="H19" i="2"/>
  <c r="F19" i="2"/>
  <c r="G18" i="2"/>
  <c r="F18" i="2"/>
  <c r="H18" i="2" s="1"/>
  <c r="H17" i="2"/>
  <c r="F17" i="2"/>
  <c r="G17" i="2" s="1"/>
  <c r="H16" i="2"/>
  <c r="G16" i="2"/>
  <c r="F16" i="2"/>
  <c r="G15" i="2"/>
  <c r="F15" i="2"/>
  <c r="F20" i="2" s="1"/>
  <c r="F14" i="2"/>
  <c r="F21" i="2" s="1"/>
  <c r="E14" i="2"/>
  <c r="E21" i="2" s="1"/>
  <c r="D14" i="2"/>
  <c r="D21" i="2" s="1"/>
  <c r="C14" i="2"/>
  <c r="H13" i="2"/>
  <c r="G13" i="2"/>
  <c r="F13" i="2"/>
  <c r="F12" i="2"/>
  <c r="F11" i="2"/>
  <c r="B5" i="2"/>
  <c r="B4" i="2"/>
  <c r="E19" i="1"/>
  <c r="D19" i="1"/>
  <c r="C19" i="1"/>
  <c r="H18" i="1"/>
  <c r="F18" i="1"/>
  <c r="F17" i="1"/>
  <c r="G17" i="1" s="1"/>
  <c r="F16" i="1"/>
  <c r="H16" i="1" s="1"/>
  <c r="F15" i="1"/>
  <c r="C15" i="1"/>
  <c r="F14" i="1"/>
  <c r="E13" i="1"/>
  <c r="D13" i="1"/>
  <c r="C13" i="1"/>
  <c r="F12" i="1"/>
  <c r="H12" i="1" s="1"/>
  <c r="F11" i="1"/>
  <c r="F10" i="1"/>
  <c r="B5" i="1"/>
  <c r="B4" i="1"/>
  <c r="A9" i="5"/>
  <c r="A8" i="5"/>
  <c r="A7" i="5"/>
  <c r="A6" i="5"/>
  <c r="B7" i="4"/>
  <c r="B7" i="1"/>
  <c r="B7" i="2"/>
  <c r="B7" i="3"/>
  <c r="D20" i="1" l="1"/>
  <c r="C6" i="5" s="1"/>
  <c r="E20" i="1"/>
  <c r="F19" i="1"/>
  <c r="G14" i="1"/>
  <c r="G16" i="1"/>
  <c r="G12" i="1"/>
  <c r="H17" i="1"/>
  <c r="C20" i="1"/>
  <c r="G21" i="2"/>
  <c r="D7" i="5" s="1"/>
  <c r="F21" i="4"/>
  <c r="H14" i="4"/>
  <c r="G14" i="4"/>
  <c r="C8" i="5"/>
  <c r="G26" i="3"/>
  <c r="H19" i="1"/>
  <c r="G19" i="1"/>
  <c r="H21" i="2"/>
  <c r="B7" i="5"/>
  <c r="G20" i="2"/>
  <c r="H20" i="2"/>
  <c r="B6" i="5"/>
  <c r="C7" i="5"/>
  <c r="G26" i="2"/>
  <c r="G11" i="1"/>
  <c r="F13" i="1"/>
  <c r="G15" i="1"/>
  <c r="G12" i="2"/>
  <c r="G19" i="4"/>
  <c r="H11" i="1"/>
  <c r="H15" i="1"/>
  <c r="H12" i="2"/>
  <c r="G14" i="2"/>
  <c r="H14" i="2"/>
  <c r="G19" i="2"/>
  <c r="G17" i="4"/>
  <c r="G19" i="3"/>
  <c r="B9" i="5"/>
  <c r="C9" i="5"/>
  <c r="G18" i="1"/>
  <c r="H17" i="4"/>
  <c r="G10" i="1"/>
  <c r="H14" i="1"/>
  <c r="G11" i="2"/>
  <c r="H15" i="2"/>
  <c r="H11" i="3"/>
  <c r="G18" i="4"/>
  <c r="F20" i="4"/>
  <c r="H10" i="1"/>
  <c r="H11" i="2"/>
  <c r="G18" i="3"/>
  <c r="F20" i="3"/>
  <c r="F21" i="3" s="1"/>
  <c r="H18" i="4"/>
  <c r="B6" i="3"/>
  <c r="B6" i="1"/>
  <c r="B6" i="2"/>
  <c r="B6" i="4"/>
  <c r="A26" i="4" l="1"/>
  <c r="F9" i="5" s="1"/>
  <c r="I15" i="4"/>
  <c r="J15" i="4" s="1"/>
  <c r="I11" i="4"/>
  <c r="J11" i="4" s="1"/>
  <c r="I13" i="4"/>
  <c r="J13" i="4" s="1"/>
  <c r="I12" i="4"/>
  <c r="J12" i="4" s="1"/>
  <c r="I16" i="4"/>
  <c r="J16" i="4" s="1"/>
  <c r="I19" i="4"/>
  <c r="J19" i="4" s="1"/>
  <c r="I18" i="4"/>
  <c r="J18" i="4" s="1"/>
  <c r="I14" i="4"/>
  <c r="J14" i="4" s="1"/>
  <c r="I17" i="4"/>
  <c r="J17" i="4" s="1"/>
  <c r="A26" i="2"/>
  <c r="F7" i="5" s="1"/>
  <c r="I14" i="2"/>
  <c r="J14" i="2" s="1"/>
  <c r="I20" i="2"/>
  <c r="J20" i="2" s="1"/>
  <c r="I12" i="2"/>
  <c r="J12" i="2" s="1"/>
  <c r="I15" i="2"/>
  <c r="J15" i="2" s="1"/>
  <c r="I11" i="2"/>
  <c r="J11" i="2" s="1"/>
  <c r="I17" i="2"/>
  <c r="J17" i="2" s="1"/>
  <c r="I13" i="2"/>
  <c r="J13" i="2" s="1"/>
  <c r="I21" i="2"/>
  <c r="J21" i="2" s="1"/>
  <c r="E7" i="5" s="1"/>
  <c r="I19" i="2"/>
  <c r="J19" i="2" s="1"/>
  <c r="I16" i="2"/>
  <c r="J16" i="2" s="1"/>
  <c r="I18" i="2"/>
  <c r="J18" i="2" s="1"/>
  <c r="F6" i="5"/>
  <c r="F10" i="5" s="1"/>
  <c r="I14" i="1"/>
  <c r="J14" i="1" s="1"/>
  <c r="I11" i="1"/>
  <c r="J11" i="1" s="1"/>
  <c r="I17" i="1"/>
  <c r="J17" i="1" s="1"/>
  <c r="I15" i="1"/>
  <c r="J15" i="1" s="1"/>
  <c r="I19" i="1"/>
  <c r="J19" i="1" s="1"/>
  <c r="I16" i="1"/>
  <c r="J16" i="1" s="1"/>
  <c r="I10" i="1"/>
  <c r="J10" i="1" s="1"/>
  <c r="I12" i="1"/>
  <c r="J12" i="1" s="1"/>
  <c r="I18" i="1"/>
  <c r="J18" i="1" s="1"/>
  <c r="A26" i="3"/>
  <c r="F8" i="5" s="1"/>
  <c r="I15" i="3"/>
  <c r="J15" i="3" s="1"/>
  <c r="I13" i="3"/>
  <c r="J13" i="3" s="1"/>
  <c r="I17" i="3"/>
  <c r="J17" i="3" s="1"/>
  <c r="I14" i="3"/>
  <c r="J14" i="3" s="1"/>
  <c r="I12" i="3"/>
  <c r="J12" i="3" s="1"/>
  <c r="I16" i="3"/>
  <c r="J16" i="3" s="1"/>
  <c r="I11" i="3"/>
  <c r="J11" i="3" s="1"/>
  <c r="I19" i="3"/>
  <c r="J19" i="3" s="1"/>
  <c r="I18" i="3"/>
  <c r="J18" i="3" s="1"/>
  <c r="I21" i="3"/>
  <c r="J21" i="3" s="1"/>
  <c r="E8" i="5" s="1"/>
  <c r="G21" i="3"/>
  <c r="D8" i="5" s="1"/>
  <c r="H21" i="3"/>
  <c r="D26" i="3" s="1"/>
  <c r="G8" i="5" s="1"/>
  <c r="I21" i="4"/>
  <c r="J21" i="4" s="1"/>
  <c r="E9" i="5" s="1"/>
  <c r="G21" i="4"/>
  <c r="D9" i="5" s="1"/>
  <c r="H20" i="3"/>
  <c r="F20" i="1"/>
  <c r="I13" i="1"/>
  <c r="J13" i="1" s="1"/>
  <c r="H13" i="1"/>
  <c r="G13" i="1"/>
  <c r="H21" i="4"/>
  <c r="D26" i="4" s="1"/>
  <c r="G9" i="5" s="1"/>
  <c r="B10" i="5"/>
  <c r="D26" i="2"/>
  <c r="G7" i="5" s="1"/>
  <c r="G20" i="3"/>
  <c r="I20" i="3"/>
  <c r="J20" i="3" s="1"/>
  <c r="I20" i="4"/>
  <c r="J20" i="4" s="1"/>
  <c r="H20" i="4"/>
  <c r="G20" i="4"/>
  <c r="C10" i="5"/>
  <c r="A2" i="5" l="1"/>
  <c r="G10" i="5"/>
  <c r="D10" i="5"/>
  <c r="I20" i="1"/>
  <c r="G20" i="1"/>
  <c r="D6" i="5" s="1"/>
  <c r="H20" i="1"/>
  <c r="G6" i="5" s="1"/>
  <c r="J20" i="1" l="1"/>
  <c r="E6" i="5" s="1"/>
  <c r="E10" i="5"/>
</calcChain>
</file>

<file path=xl/sharedStrings.xml><?xml version="1.0" encoding="utf-8"?>
<sst xmlns="http://schemas.openxmlformats.org/spreadsheetml/2006/main" count="155" uniqueCount="60">
  <si>
    <t>מעקב ביצועי סוכן חאזם</t>
  </si>
  <si>
    <t>תאריך חישוב:</t>
  </si>
  <si>
    <t>יום בדיקה (קלט ידני):</t>
  </si>
  <si>
    <t>תחילת החודש הרלוונטי:</t>
  </si>
  <si>
    <t>סוף החודש הרלוונטי:</t>
  </si>
  <si>
    <t>סה"כ ימי א'-ה' בחודש:</t>
  </si>
  <si>
    <t>ימי א'-ה' שעברו (מ-1 בחודש עד יום הבדיקה):</t>
  </si>
  <si>
    <t>גיליון זה = נתוני מקור וחישוב (Working Data): כל הנוסחאות, המקור וה-snapshot המלאים נמצאים כאן. לתצוגת סיכום ויזואלית עם גרפים למנהל  ⇦  עבור לגיליון DASHBOARD.</t>
  </si>
  <si>
    <t>סוכן</t>
  </si>
  <si>
    <t>קטגוריה</t>
  </si>
  <si>
    <t>יעד חודשי (₪)</t>
  </si>
  <si>
    <t>מכירות (snapshot)</t>
  </si>
  <si>
    <t>פתוחות (snapshot)</t>
  </si>
  <si>
    <t>מכירות עד לבדיקה (₪)</t>
  </si>
  <si>
    <t>אחוז ביצוע לפי יעד</t>
  </si>
  <si>
    <t>כמה נשאר לסיום החודש (₪)</t>
  </si>
  <si>
    <t>קצב אומדן סוף חודש (₪)</t>
  </si>
  <si>
    <t>קצב %</t>
  </si>
  <si>
    <t>חאזם</t>
  </si>
  <si>
    <t>בתי מרקחת פרטיים</t>
  </si>
  <si>
    <t>BE</t>
  </si>
  <si>
    <t>סופרפארם</t>
  </si>
  <si>
    <t>סה"כ</t>
  </si>
  <si>
    <t>מכוני אורטופדיה</t>
  </si>
  <si>
    <t>מכוני פיזוטרפיה</t>
  </si>
  <si>
    <t>מאוחדת</t>
  </si>
  <si>
    <t>חנויות פרטיות</t>
  </si>
  <si>
    <t>חנויות ספורט</t>
  </si>
  <si>
    <t>סה"כ כללי</t>
  </si>
  <si>
    <t>סיכום ביצועים — סה"כ כללי (חאזם)</t>
  </si>
  <si>
    <t>ימים שנותרו (א'-ה', עד סוף החודש)</t>
  </si>
  <si>
    <t>יעד יומי נדרש להשלמה (₪)</t>
  </si>
  <si>
    <t>אחוז ביצוע נוכחי (מתוך היעד הכולל)</t>
  </si>
  <si>
    <t>הערה: "ימים שנותרו" = סה"כ ימי א'-ה' בחודש (B6) פחות ימי א'-ה' שעברו עד יום הבדיקה (B7). "יעד יומי נדרש" = הסכום שנותר להשלמת היעד הכללי (H21) חלקי הימים שנותרו. עיצוב מותנה על תא האחוז: אדום מתחת ל-33%, צהוב 33%-66%, ירוק מעל 66%.</t>
  </si>
  <si>
    <t>מעקב ביצועי סוכן דודו</t>
  </si>
  <si>
    <t>הערה: עמודות D ('מכירות') ו-E ('פתוחות') הן צילום מצב (snapshot) של הערכים המחושבים (קאש) שכבר קיימים בקובץ המקור שהועלה (agents-tracking-source-full.xlsx, גיליון 'דודו'), שם הם תוצאה של נוסחאות פנימיות מול גיליונות 'מכירות'/'פתוחות' באותו קובץ. הועתקו לכאן כערכים קשיחים (לא לינק חי), בהתאם לאותה שיטה שבה נבנה גיליון חאזם. לתשומת לב - פער בנתוני המקור: לא נמצא יעד חודשי (עמודה C) לקטגוריות: מכוני פיזוטרפיה; חנויות ספורט. עד להשלמה ידנית, אחוז ביצוע וקצב % לקטגוריות אלה יוצגו כריק.</t>
  </si>
  <si>
    <t>דודו</t>
  </si>
  <si>
    <t>סיכום ביצועים — סה"כ כללי (דודו)</t>
  </si>
  <si>
    <t>מעקב ביצועי סוכן חיים</t>
  </si>
  <si>
    <t>הערה: עמודות D ('מכירות') ו-E ('פתוחות') הן צילום מצב (snapshot) של הערכים המחושבים (קאש) שכבר קיימים בקובץ המקור שהועלה (agents-tracking-source-full.xlsx, גיליון 'חיים'), שם הם תוצאה של נוסחאות פנימיות מול גיליונות 'מכירות'/'פתוחות' באותו קובץ. הועתקו לכאן כערכים קשיחים (לא לינק חי), בהתאם לאותה שיטה שבה נבנה גיליון חאזם. לתשומת לב - פער בנתוני המקור: לא נמצא יעד חודשי (עמודה C) לקטגוריות: חנויות ספורט. עד להשלמה ידנית, אחוז ביצוע וקצב % לקטגוריות אלה יוצגו כריק.</t>
  </si>
  <si>
    <t>חיים</t>
  </si>
  <si>
    <t>סיכום ביצועים — סה"כ כללי (חיים)</t>
  </si>
  <si>
    <t>מעקב ביצועי סוכן סטאס</t>
  </si>
  <si>
    <t>הערה: עמודות D ('מכירות') ו-E ('פתוחות') הן צילום מצב (snapshot) של הערכים המחושבים (קאש) שכבר קיימים בקובץ המקור שהועלה (agents-tracking-source-full.xlsx, גיליון 'סטאס'), שם הם תוצאה של נוסחאות פנימיות מול גיליונות 'מכירות'/'פתוחות' באותו קובץ. הועתקו לכאן כערכים קשיחים (לא לינק חי), בהתאם לאותה שיטה שבה נבנה גיליון חאזם. לתשומת לב - פער בנתוני המקור: לא נמצא יעד חודשי (עמודה C) לקטגוריות: חנויות ספורט. עד להשלמה ידנית, אחוז ביצוע וקצב % לקטגוריות אלה יוצגו כריק.</t>
  </si>
  <si>
    <t>סטאס</t>
  </si>
  <si>
    <t>סיכום ביצועים — סה"כ כללי (סטאס)</t>
  </si>
  <si>
    <t>דשבורד מרכז — השוואת ביצועי כל הסוכנים</t>
  </si>
  <si>
    <t>גיליון זה = תצוגת מרכז ומעקב לכל 4 הסוכנים יחד: כל תא כאן הוא קישור חי לבלוק הסיכום (שורה 21 ושורות 25-26) בגיליון הסוכן המתאים. לנתוני המקור, הקטגוריות והנוסחאות המלאות של סוכן ספציפי  ⇦  עבור לגיליון שלו (חאזם / דודו / חיים / סטאס).</t>
  </si>
  <si>
    <t>אחוז ביצוע</t>
  </si>
  <si>
    <t>% הגעה ליעד לפי קצב נוכחי</t>
  </si>
  <si>
    <t>ימים נותרים לעבודה</t>
  </si>
  <si>
    <t>יעד כספי יומי נדרש להגעה ל-100%</t>
  </si>
  <si>
    <t>הערות: (1) "יעד חודשי", "מכירות עד לבדיקה", "ימים נותרים לעבודה" ו"יעד כספי יומי נדרש להגעה ל-100%" נמשכים בנוסחה חיה מבלוק הסיכום (שורה 21, ושורות 25-26) בגיליון כל סוכן. עמודת "יעד כספי יומי נדרש להגעה ל-100%" = (יעד חודשי − מכירות עד לבדיקה) / ימים נותרים לעבודה (בגיליון הסוכן: =H21/(B6-B7), כאשר H21=C21-F21 הוא הפער ליעד, ו-B6-B7 הם ימי א'-ה' שנותרו עד סוף החודש) — כלומר כמה עוד יש למכור בממוצע בכל יום עבודה נותר כדי להגיע בדיוק ל-100% מהיעד החודשי. (2) "ימים נותרים לעבודה" זהה לכל הסוכנים (אותו חודש ואותו יום בדיקה) ולכן שורת "סה"כ כללי" מציגה את אותו המספר, לא סכום. (3) עיצוב מותנה על עמודת "אחוז ביצוע": אדום מתחת ל-33%, צהוב 33%-66%, ירוק מעל 66% — זהה לעיצוב שבכל גיליון סוכן. (4) עמודת "% הגעה ליעד לפי קצב נוכחי" = תחזית סיום חודש (אם ממשיכים באותו קצב מכירות יומי ממוצע עד כה) חלקי היעד החודשי, נמשכת בנוסחה חיה מעמודה J שורה 21 בגיליון כל סוכן. עיצוב מותנה על עמודה זו: אדום מתחת ל-80% (לא צפויים לעמוד ביעד), צהוב 80%-100% (גבולי), ירוק מעל 100% (צפויים לעמוד/לעבור את היעד) — סף שונה מעמודת "אחוז ביצוע" כי כאן ההשוואה היא מול 100% מהיעד (תחזית), לא מול אמצע החודש. שורת "סה"כ כללי" בעמודה זו = סכום תחזיות ה-₪ של כל 4 הסוכנים חלקי סכום היעדים (B10), לא ממוצע של אחוזי הקצב הבודדים.</t>
  </si>
  <si>
    <t xml:space="preserve">ימים שנותרו </t>
  </si>
  <si>
    <t xml:space="preserve">ימים שעברו </t>
  </si>
  <si>
    <t xml:space="preserve">ממוצע מכירות יומי </t>
  </si>
  <si>
    <t xml:space="preserve">קצב </t>
  </si>
  <si>
    <t xml:space="preserve">הגעה ל 100% </t>
  </si>
  <si>
    <t xml:space="preserve">יעד ממוצע ליום </t>
  </si>
  <si>
    <t>תאריך הדוח: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</si>
</sst>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_ * #,##0_ ;_ * \-#,##0_ ;_ * \-??_ ;_ @_ "/>
    <numFmt numFmtId="166" formatCode="0.0%"/>
  </numFmts>
  <fonts count="14" x14ac:knownFonts="1">
    <font>
      <sz val="11"/>
      <color theme="1"/>
      <name val="Calibri"/>
      <family val="2"/>
      <charset val="1"/>
    </font>
    <font>
      <b/>
      <sz val="16"/>
      <color rgb="FF000000"/>
      <name val="Arial"/>
      <charset val="1"/>
    </font>
    <font>
      <b/>
      <sz val="11"/>
      <color rgb="FF000000"/>
      <name val="Arial"/>
      <charset val="1"/>
    </font>
    <font>
      <sz val="11"/>
      <color rgb="FF000000"/>
      <name val="Arial"/>
      <charset val="1"/>
    </font>
    <font>
      <i/>
      <sz val="9"/>
      <color rgb="FF000000"/>
      <name val="Arial"/>
      <charset val="1"/>
    </font>
    <font>
      <b/>
      <sz val="10.5"/>
      <color rgb="FFFFFFFF"/>
      <name val="Arial"/>
      <charset val="1"/>
    </font>
    <font>
      <b/>
      <sz val="13"/>
      <color rgb="FFFFFFFF"/>
      <name val="Arial"/>
      <charset val="1"/>
    </font>
    <font>
      <b/>
      <sz val="14"/>
      <color rgb="FF000000"/>
      <name val="Arial"/>
      <charset val="1"/>
    </font>
    <font>
      <i/>
      <sz val="9"/>
      <color rgb="FF595959"/>
      <name val="Arial"/>
      <charset val="1"/>
    </font>
    <font>
      <b/>
      <sz val="10.5"/>
      <color rgb="FF1F4E78"/>
      <name val="Arial"/>
      <charset val="1"/>
    </font>
    <font>
      <b/>
      <sz val="18"/>
      <color rgb="FF000000"/>
      <name val="Arial"/>
      <charset val="1"/>
    </font>
    <font>
      <i/>
      <sz val="11"/>
      <color rgb="FF1F4E78"/>
      <name val="Arial"/>
      <charset val="1"/>
    </font>
    <font>
      <b/>
      <i/>
      <sz val="10.5"/>
      <color rgb="FF375623"/>
      <name val="Arial"/>
      <charset val="1"/>
    </font>
    <font>
      <b/>
      <sz val="11"/>
      <color rgb="FFFFFFFF"/>
      <name val="Arial"/>
      <charset val="1"/>
    </font>
  </fonts>
  <fills count="12">
    <fill>
      <patternFill patternType="none"/>
    </fill>
    <fill>
      <patternFill patternType="gray125"/>
    </fill>
    <fill>
      <patternFill patternType="solid">
        <fgColor rgb="FFFFFF00"/>
        <bgColor rgb="FFFFFF00"/>
      </patternFill>
    </fill>
    <fill>
      <patternFill patternType="solid">
        <fgColor rgb="FFDCE6F1"/>
        <bgColor rgb="FFE2EFDA"/>
      </patternFill>
    </fill>
    <fill>
      <patternFill patternType="solid">
        <fgColor rgb="FF1F4E78"/>
        <bgColor rgb="FF003366"/>
      </patternFill>
    </fill>
    <fill>
      <patternFill patternType="solid">
        <fgColor rgb="FFF2F2F2"/>
        <bgColor rgb="FFE2EFDA"/>
      </patternFill>
    </fill>
    <fill>
      <patternFill patternType="solid">
        <fgColor rgb="FFD9D9D9"/>
        <bgColor rgb="FFDCE6F1"/>
      </patternFill>
    </fill>
    <fill>
      <patternFill patternType="solid">
        <fgColor rgb="FF92D050"/>
        <bgColor rgb="FF63BE7B"/>
      </patternFill>
    </fill>
    <fill>
      <patternFill patternType="solid">
        <fgColor rgb="FFE2EFDA"/>
        <bgColor rgb="FFDCE6F1"/>
      </patternFill>
    </fill>
    <fill>
      <patternFill patternType="solid">
        <fgColor theme="5" tint="0.39997558519241921"/>
        <bgColor indexed="64"/>
      </patternFill>
    </fill>
    <fill>
      <patternFill patternType="solid">
        <fgColor rgb="FFFFFF00"/>
        <bgColor indexed="64"/>
      </patternFill>
    </fill>
    <fill>
      <patternFill patternType="solid">
        <fgColor rgb="FFFFFF00"/>
        <bgColor rgb="FFE2EF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7">
    <xf numFmtId="0" fontId="0" fillId="0" borderId="0" xfId="0"/>
    <xf numFmtId="0" fontId="8" fillId="0" borderId="0" xfId="0" applyFont="1" applyAlignment="1">
      <alignment horizontal="center" vertical="center" wrapText="1"/>
    </xf>
    <xf numFmtId="166" fontId="7" fillId="0" borderId="1" xfId="0" applyNumberFormat="1" applyFont="1" applyBorder="1" applyAlignment="1">
      <alignment horizontal="center" vertical="center"/>
    </xf>
    <xf numFmtId="165" fontId="7" fillId="0" borderId="1" xfId="0" applyNumberFormat="1" applyFont="1" applyBorder="1" applyAlignment="1">
      <alignment horizontal="center" vertical="center"/>
    </xf>
    <xf numFmtId="1" fontId="7" fillId="0" borderId="1" xfId="0" applyNumberFormat="1" applyFont="1" applyBorder="1" applyAlignment="1">
      <alignment horizontal="center" vertical="center"/>
    </xf>
    <xf numFmtId="0" fontId="5" fillId="4" borderId="1" xfId="0" applyFont="1" applyFill="1" applyBorder="1" applyAlignment="1">
      <alignment horizontal="center" vertical="center" wrapText="1"/>
    </xf>
    <xf numFmtId="0" fontId="6" fillId="4" borderId="0" xfId="0" applyFont="1" applyFill="1" applyAlignment="1">
      <alignment horizontal="center" vertical="center" wrapText="1"/>
    </xf>
    <xf numFmtId="0" fontId="2" fillId="0" borderId="0" xfId="0" applyFont="1" applyAlignment="1">
      <alignment horizontal="center" vertical="center"/>
    </xf>
    <xf numFmtId="0" fontId="4" fillId="0" borderId="0" xfId="0" applyFont="1" applyAlignment="1">
      <alignment horizontal="right" vertical="center" wrapText="1"/>
    </xf>
    <xf numFmtId="0" fontId="1" fillId="0" borderId="0" xfId="0" applyFont="1" applyAlignment="1">
      <alignment horizontal="center" vertical="center"/>
    </xf>
    <xf numFmtId="0" fontId="8" fillId="0" borderId="0" xfId="0" applyFont="1" applyAlignment="1">
      <alignment horizontal="right" vertical="center" wrapText="1"/>
    </xf>
    <xf numFmtId="0" fontId="12" fillId="8" borderId="0" xfId="0" applyFont="1" applyFill="1" applyAlignment="1">
      <alignment horizontal="right" vertical="center" wrapText="1"/>
    </xf>
    <xf numFmtId="0" fontId="11" fillId="0" borderId="0" xfId="0" applyFont="1" applyAlignment="1">
      <alignment horizontal="center" vertical="center"/>
    </xf>
    <xf numFmtId="0" fontId="10" fillId="0" borderId="0" xfId="0" applyFont="1" applyAlignment="1">
      <alignment horizontal="center" vertical="center"/>
    </xf>
    <xf numFmtId="0" fontId="2" fillId="0" borderId="0" xfId="0" applyFont="1"/>
    <xf numFmtId="164" fontId="3" fillId="0" borderId="0" xfId="0" applyNumberFormat="1" applyFont="1"/>
    <xf numFmtId="164" fontId="3" fillId="2" borderId="0" xfId="0" applyNumberFormat="1" applyFont="1" applyFill="1"/>
    <xf numFmtId="1" fontId="3" fillId="0" borderId="0" xfId="0" applyNumberFormat="1" applyFont="1"/>
    <xf numFmtId="0" fontId="5" fillId="4" borderId="1" xfId="0" applyFont="1" applyFill="1" applyBorder="1" applyAlignment="1">
      <alignment horizontal="center" vertical="center" wrapText="1"/>
    </xf>
    <xf numFmtId="0" fontId="3" fillId="0" borderId="1" xfId="0" applyFont="1" applyBorder="1"/>
    <xf numFmtId="165" fontId="3" fillId="5" borderId="1" xfId="0" applyNumberFormat="1" applyFont="1" applyFill="1" applyBorder="1"/>
    <xf numFmtId="165" fontId="3" fillId="0" borderId="1" xfId="0" applyNumberFormat="1" applyFont="1" applyBorder="1"/>
    <xf numFmtId="9" fontId="3" fillId="0" borderId="1" xfId="0" applyNumberFormat="1" applyFont="1" applyBorder="1"/>
    <xf numFmtId="0" fontId="2" fillId="6" borderId="1" xfId="0" applyFont="1" applyFill="1" applyBorder="1"/>
    <xf numFmtId="165" fontId="2" fillId="6" borderId="1" xfId="0" applyNumberFormat="1" applyFont="1" applyFill="1" applyBorder="1"/>
    <xf numFmtId="9" fontId="2" fillId="6" borderId="1" xfId="0" applyNumberFormat="1" applyFont="1" applyFill="1" applyBorder="1"/>
    <xf numFmtId="0" fontId="3" fillId="6" borderId="1" xfId="0" applyFont="1" applyFill="1" applyBorder="1"/>
    <xf numFmtId="0" fontId="3" fillId="7" borderId="1" xfId="0" applyFont="1" applyFill="1" applyBorder="1"/>
    <xf numFmtId="0" fontId="2" fillId="7" borderId="1" xfId="0" applyFont="1" applyFill="1" applyBorder="1"/>
    <xf numFmtId="165" fontId="2" fillId="7" borderId="1" xfId="0" applyNumberFormat="1" applyFont="1" applyFill="1" applyBorder="1"/>
    <xf numFmtId="9" fontId="2" fillId="7" borderId="1" xfId="0" applyNumberFormat="1" applyFont="1" applyFill="1" applyBorder="1"/>
    <xf numFmtId="0" fontId="0" fillId="5" borderId="1" xfId="0" applyFill="1" applyBorder="1"/>
    <xf numFmtId="165" fontId="3" fillId="2" borderId="1" xfId="0" applyNumberFormat="1" applyFont="1" applyFill="1" applyBorder="1"/>
    <xf numFmtId="0" fontId="13" fillId="4" borderId="0" xfId="0" applyFont="1" applyFill="1" applyAlignment="1">
      <alignment horizontal="center" vertical="center" wrapText="1"/>
    </xf>
    <xf numFmtId="0" fontId="3" fillId="0" borderId="0" xfId="0" applyFont="1" applyAlignment="1">
      <alignment horizontal="center" vertical="center"/>
    </xf>
    <xf numFmtId="165" fontId="3" fillId="0" borderId="0" xfId="0" applyNumberFormat="1" applyFont="1" applyAlignment="1">
      <alignment horizontal="center" vertical="center"/>
    </xf>
    <xf numFmtId="166" fontId="3" fillId="0" borderId="0" xfId="0" applyNumberFormat="1" applyFont="1" applyAlignment="1">
      <alignment horizontal="center" vertical="center"/>
    </xf>
    <xf numFmtId="1" fontId="3" fillId="0" borderId="0" xfId="0" applyNumberFormat="1" applyFont="1" applyAlignment="1">
      <alignment horizontal="center" vertical="center"/>
    </xf>
    <xf numFmtId="0" fontId="2" fillId="7" borderId="0" xfId="0" applyFont="1" applyFill="1" applyAlignment="1">
      <alignment horizontal="center" vertical="center"/>
    </xf>
    <xf numFmtId="165" fontId="2" fillId="7" borderId="0" xfId="0" applyNumberFormat="1" applyFont="1" applyFill="1" applyAlignment="1">
      <alignment horizontal="center" vertical="center"/>
    </xf>
    <xf numFmtId="166" fontId="2" fillId="7" borderId="0" xfId="0" applyNumberFormat="1" applyFont="1" applyFill="1" applyAlignment="1">
      <alignment horizontal="center" vertical="center"/>
    </xf>
    <xf numFmtId="1" fontId="2" fillId="7" borderId="0" xfId="0" applyNumberFormat="1" applyFont="1" applyFill="1" applyAlignment="1">
      <alignment horizontal="center" vertical="center"/>
    </xf>
    <xf numFmtId="0" fontId="9" fillId="3" borderId="0" xfId="0" applyFont="1" applyFill="1" applyAlignment="1">
      <alignment horizontal="center" vertical="center" wrapText="1"/>
    </xf>
    <xf numFmtId="0" fontId="0" fillId="9" borderId="0" xfId="0" applyFill="1"/>
    <xf numFmtId="0" fontId="0" fillId="9" borderId="2" xfId="0" applyFill="1" applyBorder="1"/>
    <xf numFmtId="164" fontId="3" fillId="10" borderId="0" xfId="0" applyNumberFormat="1" applyFont="1" applyFill="1"/>
    <xf numFmtId="165" fontId="3" fillId="11" borderId="1" xfId="0" applyNumberFormat="1" applyFont="1" applyFill="1" applyBorder="1"/>
  </cellXfs>
  <cellStyles count="1">
    <cellStyle name="Normal" xfId="0" builtinId="0"/>
  </cellStyles>
  <dxfs count="15">
    <dxf>
      <font>
        <b/>
        <color rgb="FF006100"/>
        <name val="Arial"/>
        <charset val="1"/>
      </font>
      <fill>
        <patternFill>
          <bgColor rgb="FF63BE7B"/>
        </patternFill>
      </fill>
    </dxf>
    <dxf>
      <font>
        <b/>
        <color rgb="FF9C6500"/>
        <name val="Arial"/>
        <charset val="1"/>
      </font>
      <fill>
        <patternFill>
          <bgColor rgb="FFFFEB84"/>
        </patternFill>
      </fill>
    </dxf>
    <dxf>
      <font>
        <b/>
        <color rgb="FF9C0006"/>
        <name val="Arial"/>
        <charset val="1"/>
      </font>
      <fill>
        <patternFill>
          <bgColor rgb="FFF8696B"/>
        </patternFill>
      </fill>
    </dxf>
    <dxf>
      <font>
        <b/>
        <color rgb="FF006100"/>
        <name val="Arial"/>
        <charset val="1"/>
      </font>
      <fill>
        <patternFill>
          <bgColor rgb="FF63BE7B"/>
        </patternFill>
      </fill>
    </dxf>
    <dxf>
      <font>
        <b/>
        <color rgb="FF9C6500"/>
        <name val="Arial"/>
        <charset val="1"/>
      </font>
      <fill>
        <patternFill>
          <bgColor rgb="FFFFEB84"/>
        </patternFill>
      </fill>
    </dxf>
    <dxf>
      <font>
        <b/>
        <color rgb="FF9C0006"/>
        <name val="Arial"/>
        <charset val="1"/>
      </font>
      <fill>
        <patternFill>
          <bgColor rgb="FFF8696B"/>
        </patternFill>
      </fill>
    </dxf>
    <dxf>
      <font>
        <b/>
        <sz val="14"/>
        <color rgb="FF006100"/>
        <name val="Arial"/>
        <charset val="1"/>
      </font>
      <fill>
        <patternFill>
          <bgColor rgb="FF63BE7B"/>
        </patternFill>
      </fill>
    </dxf>
    <dxf>
      <font>
        <b/>
        <sz val="14"/>
        <color rgb="FF9C6500"/>
        <name val="Arial"/>
        <charset val="1"/>
      </font>
      <fill>
        <patternFill>
          <bgColor rgb="FFFFEB84"/>
        </patternFill>
      </fill>
    </dxf>
    <dxf>
      <font>
        <b/>
        <sz val="14"/>
        <color rgb="FF9C0006"/>
        <name val="Arial"/>
        <charset val="1"/>
      </font>
      <fill>
        <patternFill>
          <bgColor rgb="FFF8696B"/>
        </patternFill>
      </fill>
    </dxf>
    <dxf>
      <font>
        <b/>
        <sz val="14"/>
        <color rgb="FF006100"/>
        <name val="Arial"/>
        <charset val="1"/>
      </font>
      <fill>
        <patternFill>
          <bgColor rgb="FF63BE7B"/>
        </patternFill>
      </fill>
    </dxf>
    <dxf>
      <font>
        <b/>
        <sz val="14"/>
        <color rgb="FF9C6500"/>
        <name val="Arial"/>
        <charset val="1"/>
      </font>
      <fill>
        <patternFill>
          <bgColor rgb="FFFFEB84"/>
        </patternFill>
      </fill>
    </dxf>
    <dxf>
      <font>
        <b/>
        <sz val="14"/>
        <color rgb="FF9C0006"/>
        <name val="Arial"/>
        <charset val="1"/>
      </font>
      <fill>
        <patternFill>
          <bgColor rgb="FFF8696B"/>
        </patternFill>
      </fill>
    </dxf>
    <dxf>
      <font>
        <b/>
        <sz val="14"/>
        <color rgb="FF006100"/>
        <name val="Arial"/>
        <charset val="1"/>
      </font>
      <fill>
        <patternFill>
          <bgColor rgb="FF63BE7B"/>
        </patternFill>
      </fill>
    </dxf>
    <dxf>
      <font>
        <b/>
        <sz val="14"/>
        <color rgb="FF9C6500"/>
        <name val="Arial"/>
        <charset val="1"/>
      </font>
      <fill>
        <patternFill>
          <bgColor rgb="FFFFEB84"/>
        </patternFill>
      </fill>
    </dxf>
    <dxf>
      <font>
        <b/>
        <sz val="14"/>
        <color rgb="FF9C0006"/>
        <name val="Arial"/>
        <charset val="1"/>
      </font>
      <fill>
        <patternFill>
          <bgColor rgb="FFF8696B"/>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2F2F2"/>
      <rgbColor rgb="FFDCE6F1"/>
      <rgbColor rgb="FF660066"/>
      <rgbColor rgb="FFF8696B"/>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EB84"/>
      <rgbColor rgb="FF99CCFF"/>
      <rgbColor rgb="FFFF99CC"/>
      <rgbColor rgb="FFCC99FF"/>
      <rgbColor rgb="FFFFCC99"/>
      <rgbColor rgb="FF3366FF"/>
      <rgbColor rgb="FF63BE7B"/>
      <rgbColor rgb="FF92D050"/>
      <rgbColor rgb="FFFFCC00"/>
      <rgbColor rgb="FFFF9900"/>
      <rgbColor rgb="FFFF6600"/>
      <rgbColor rgb="FF595959"/>
      <rgbColor rgb="FF969696"/>
      <rgbColor rgb="FF003366"/>
      <rgbColor rgb="FF548235"/>
      <rgbColor rgb="FF003300"/>
      <rgbColor rgb="FF333300"/>
      <rgbColor rgb="FF993300"/>
      <rgbColor rgb="FF993366"/>
      <rgbColor rgb="FF1F4E78"/>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A1:J35"/>
  <sheetViews>
    <sheetView showGridLines="0" rightToLeft="1" tabSelected="1" zoomScaleNormal="100" workbookViewId="0">
      <pane ySplit="9" topLeftCell="A10" activePane="bottomLeft" state="frozen"/>
      <selection pane="bottomLeft" activeCell="D28" sqref="D28"/>
    </sheetView>
  </sheetViews>
  <sheetFormatPr defaultColWidth="8.5703125" defaultRowHeight="15" x14ac:dyDescent="0.25"/>
  <cols>
    <col min="1" max="1" width="25.85546875" customWidth="1"/>
    <col min="2" max="2" width="17.42578125" bestFit="1" customWidth="1"/>
    <col min="3" max="3" width="13" customWidth="1"/>
    <col min="4" max="4" width="15" customWidth="1"/>
    <col min="5" max="5" width="13" customWidth="1"/>
    <col min="6" max="6" width="16" customWidth="1"/>
    <col min="7" max="7" width="13" customWidth="1"/>
    <col min="8" max="9" width="16" customWidth="1"/>
    <col min="10" max="10" width="10" customWidth="1"/>
  </cols>
  <sheetData>
    <row r="1" spans="1:10" ht="19.5" customHeight="1" x14ac:dyDescent="0.25">
      <c r="A1" s="9" t="s">
        <v>0</v>
      </c>
      <c r="B1" s="9"/>
      <c r="C1" s="9"/>
      <c r="D1" s="9"/>
      <c r="E1" s="9"/>
      <c r="F1" s="9"/>
      <c r="G1" s="9"/>
      <c r="H1" s="9"/>
      <c r="I1" s="9"/>
      <c r="J1" s="9"/>
    </row>
    <row r="2" spans="1:10" ht="15" customHeight="1" x14ac:dyDescent="0.25">
      <c r="A2" s="14" t="s">
        <v>59</v>
      </c>
      <c r="B2" s="45">
        <v>46250</v>
      </c>
    </row>
    <row r="3" spans="1:10" ht="15" customHeight="1" x14ac:dyDescent="0.25">
      <c r="A3" s="14" t="s">
        <v>2</v>
      </c>
      <c r="B3" s="16">
        <v>46249</v>
      </c>
    </row>
    <row r="4" spans="1:10" ht="15" customHeight="1" x14ac:dyDescent="0.25">
      <c r="A4" s="14" t="s">
        <v>3</v>
      </c>
      <c r="B4" s="45">
        <f>EOMONTH(B3,-1)+1</f>
        <v>46235</v>
      </c>
    </row>
    <row r="5" spans="1:10" ht="15" customHeight="1" x14ac:dyDescent="0.25">
      <c r="A5" s="14" t="s">
        <v>4</v>
      </c>
      <c r="B5" s="45">
        <f>EOMONTH(B3,0)</f>
        <v>46265</v>
      </c>
    </row>
    <row r="6" spans="1:10" ht="15" customHeight="1" x14ac:dyDescent="0.25">
      <c r="A6" s="14" t="s">
        <v>5</v>
      </c>
      <c r="B6" s="17">
        <f ca="1">SUMPRODUCT((WEEKDAY(ROW(INDIRECT(B4&amp;":"&amp;B5)))&lt;6)*1)</f>
        <v>22</v>
      </c>
    </row>
    <row r="7" spans="1:10" ht="15" customHeight="1" x14ac:dyDescent="0.25">
      <c r="A7" s="14" t="s">
        <v>6</v>
      </c>
      <c r="B7" s="17">
        <f ca="1">SUMPRODUCT((WEEKDAY(ROW(INDIRECT(B4&amp;":"&amp;B3)))&lt;6)*1)</f>
        <v>10</v>
      </c>
    </row>
    <row r="8" spans="1:10" ht="18" customHeight="1" x14ac:dyDescent="0.25">
      <c r="A8" s="8"/>
      <c r="B8" s="8"/>
      <c r="C8" s="8"/>
      <c r="D8" s="8"/>
      <c r="E8" s="8"/>
      <c r="F8" s="8"/>
      <c r="G8" s="8"/>
      <c r="H8" s="8"/>
      <c r="I8" s="8"/>
      <c r="J8" s="8"/>
    </row>
    <row r="9" spans="1:10" ht="31.5" customHeight="1" x14ac:dyDescent="0.25">
      <c r="A9" s="18" t="s">
        <v>8</v>
      </c>
      <c r="B9" s="18" t="s">
        <v>9</v>
      </c>
      <c r="C9" s="18" t="s">
        <v>10</v>
      </c>
      <c r="D9" s="18" t="s">
        <v>11</v>
      </c>
      <c r="E9" s="18" t="s">
        <v>12</v>
      </c>
      <c r="F9" s="18" t="s">
        <v>13</v>
      </c>
      <c r="G9" s="18" t="s">
        <v>14</v>
      </c>
      <c r="H9" s="18" t="s">
        <v>15</v>
      </c>
      <c r="I9" s="18" t="s">
        <v>16</v>
      </c>
      <c r="J9" s="18" t="s">
        <v>17</v>
      </c>
    </row>
    <row r="10" spans="1:10" ht="15" customHeight="1" x14ac:dyDescent="0.25">
      <c r="A10" s="7" t="s">
        <v>18</v>
      </c>
      <c r="B10" s="19" t="s">
        <v>19</v>
      </c>
      <c r="C10" s="46">
        <v>109000</v>
      </c>
      <c r="D10" s="46">
        <v>20013.099999999999</v>
      </c>
      <c r="E10" s="46">
        <v>4595</v>
      </c>
      <c r="F10" s="21">
        <f>D10+E10</f>
        <v>24608.1</v>
      </c>
      <c r="G10" s="22">
        <f t="shared" ref="G10:G20" si="0">IFERROR(F10/C10,"")</f>
        <v>0.22576238532110091</v>
      </c>
      <c r="H10" s="21">
        <f t="shared" ref="H10:H20" si="1">IF(C10="","",C10-F10)</f>
        <v>84391.9</v>
      </c>
      <c r="I10" s="21">
        <f t="shared" ref="I10:I20" ca="1" si="2">IFERROR((F10/$B$7)*$B$6,"")</f>
        <v>54137.82</v>
      </c>
      <c r="J10" s="22">
        <f t="shared" ref="J10:J20" ca="1" si="3">IFERROR(I10/C10,"")</f>
        <v>0.49667724770642202</v>
      </c>
    </row>
    <row r="11" spans="1:10" ht="15" customHeight="1" x14ac:dyDescent="0.25">
      <c r="A11" s="7"/>
      <c r="B11" s="19" t="s">
        <v>20</v>
      </c>
      <c r="C11" s="46">
        <v>25070</v>
      </c>
      <c r="D11" s="46">
        <v>9809.2000000000007</v>
      </c>
      <c r="E11" s="46">
        <v>646</v>
      </c>
      <c r="F11" s="21">
        <f>D11+E11</f>
        <v>10455.200000000001</v>
      </c>
      <c r="G11" s="22">
        <f t="shared" si="0"/>
        <v>0.41704028719585162</v>
      </c>
      <c r="H11" s="21">
        <f t="shared" si="1"/>
        <v>14614.8</v>
      </c>
      <c r="I11" s="21">
        <f t="shared" ca="1" si="2"/>
        <v>23001.439999999999</v>
      </c>
      <c r="J11" s="22">
        <f t="shared" ca="1" si="3"/>
        <v>0.91748863183087348</v>
      </c>
    </row>
    <row r="12" spans="1:10" ht="15" customHeight="1" x14ac:dyDescent="0.25">
      <c r="A12" s="7"/>
      <c r="B12" s="19" t="s">
        <v>21</v>
      </c>
      <c r="C12" s="46">
        <v>119900</v>
      </c>
      <c r="D12" s="46">
        <v>50294</v>
      </c>
      <c r="E12" s="46"/>
      <c r="F12" s="21">
        <f>D12+E12</f>
        <v>50294</v>
      </c>
      <c r="G12" s="22">
        <f t="shared" si="0"/>
        <v>0.41946622185154298</v>
      </c>
      <c r="H12" s="21">
        <f t="shared" si="1"/>
        <v>69606</v>
      </c>
      <c r="I12" s="21">
        <f t="shared" ca="1" si="2"/>
        <v>110646.79999999999</v>
      </c>
      <c r="J12" s="22">
        <f t="shared" ca="1" si="3"/>
        <v>0.92282568807339438</v>
      </c>
    </row>
    <row r="13" spans="1:10" ht="15" customHeight="1" x14ac:dyDescent="0.25">
      <c r="A13" s="7"/>
      <c r="B13" s="23" t="s">
        <v>22</v>
      </c>
      <c r="C13" s="24">
        <f>SUM(C10:C12)</f>
        <v>253970</v>
      </c>
      <c r="D13" s="24">
        <f>SUM(D10:D12)</f>
        <v>80116.3</v>
      </c>
      <c r="E13" s="24">
        <f>SUM(E10:E12)</f>
        <v>5241</v>
      </c>
      <c r="F13" s="24">
        <f>SUM(F10:F12)</f>
        <v>85357.3</v>
      </c>
      <c r="G13" s="25">
        <f t="shared" si="0"/>
        <v>0.33609205811710047</v>
      </c>
      <c r="H13" s="24">
        <f t="shared" si="1"/>
        <v>168612.7</v>
      </c>
      <c r="I13" s="24">
        <f t="shared" ca="1" si="2"/>
        <v>187786.06</v>
      </c>
      <c r="J13" s="25">
        <f t="shared" ca="1" si="3"/>
        <v>0.73940252785762095</v>
      </c>
    </row>
    <row r="14" spans="1:10" ht="15" customHeight="1" x14ac:dyDescent="0.25">
      <c r="A14" s="7"/>
      <c r="B14" s="19" t="s">
        <v>23</v>
      </c>
      <c r="C14" s="46">
        <v>47457</v>
      </c>
      <c r="D14" s="46">
        <v>19629</v>
      </c>
      <c r="E14" s="46"/>
      <c r="F14" s="21">
        <f>D14+E14</f>
        <v>19629</v>
      </c>
      <c r="G14" s="22">
        <f t="shared" si="0"/>
        <v>0.41361653707566848</v>
      </c>
      <c r="H14" s="21">
        <f t="shared" si="1"/>
        <v>27828</v>
      </c>
      <c r="I14" s="21">
        <f t="shared" ca="1" si="2"/>
        <v>43183.8</v>
      </c>
      <c r="J14" s="22">
        <f t="shared" ca="1" si="3"/>
        <v>0.90995638156647074</v>
      </c>
    </row>
    <row r="15" spans="1:10" ht="15" customHeight="1" x14ac:dyDescent="0.25">
      <c r="A15" s="7"/>
      <c r="B15" s="19" t="s">
        <v>24</v>
      </c>
      <c r="C15" s="46">
        <f>16734+302</f>
        <v>17036</v>
      </c>
      <c r="D15" s="46">
        <v>5352</v>
      </c>
      <c r="E15" s="46"/>
      <c r="F15" s="21">
        <f>D15+E15</f>
        <v>5352</v>
      </c>
      <c r="G15" s="22">
        <f t="shared" si="0"/>
        <v>0.31415825311105894</v>
      </c>
      <c r="H15" s="21">
        <f t="shared" si="1"/>
        <v>11684</v>
      </c>
      <c r="I15" s="21">
        <f t="shared" ca="1" si="2"/>
        <v>11774.400000000001</v>
      </c>
      <c r="J15" s="22">
        <f t="shared" ca="1" si="3"/>
        <v>0.69114815684432973</v>
      </c>
    </row>
    <row r="16" spans="1:10" ht="15" customHeight="1" x14ac:dyDescent="0.25">
      <c r="A16" s="7"/>
      <c r="B16" s="19" t="s">
        <v>25</v>
      </c>
      <c r="C16" s="46">
        <v>21800</v>
      </c>
      <c r="D16" s="46">
        <v>6626.4</v>
      </c>
      <c r="E16" s="46">
        <v>302</v>
      </c>
      <c r="F16" s="21">
        <f>D16+E16</f>
        <v>6928.4</v>
      </c>
      <c r="G16" s="22">
        <f t="shared" si="0"/>
        <v>0.31781651376146786</v>
      </c>
      <c r="H16" s="21">
        <f t="shared" si="1"/>
        <v>14871.6</v>
      </c>
      <c r="I16" s="21">
        <f t="shared" ca="1" si="2"/>
        <v>15242.479999999998</v>
      </c>
      <c r="J16" s="22">
        <f t="shared" ca="1" si="3"/>
        <v>0.69919633027522921</v>
      </c>
    </row>
    <row r="17" spans="1:10" ht="15" customHeight="1" x14ac:dyDescent="0.25">
      <c r="A17" s="7"/>
      <c r="B17" s="19" t="s">
        <v>26</v>
      </c>
      <c r="C17" s="46">
        <v>6250</v>
      </c>
      <c r="D17" s="46">
        <v>0</v>
      </c>
      <c r="E17" s="46"/>
      <c r="F17" s="21">
        <f>D17+E17</f>
        <v>0</v>
      </c>
      <c r="G17" s="22">
        <f t="shared" si="0"/>
        <v>0</v>
      </c>
      <c r="H17" s="21">
        <f t="shared" si="1"/>
        <v>6250</v>
      </c>
      <c r="I17" s="21">
        <f t="shared" ca="1" si="2"/>
        <v>0</v>
      </c>
      <c r="J17" s="22">
        <f t="shared" ca="1" si="3"/>
        <v>0</v>
      </c>
    </row>
    <row r="18" spans="1:10" ht="15" customHeight="1" x14ac:dyDescent="0.25">
      <c r="A18" s="7"/>
      <c r="B18" s="19" t="s">
        <v>27</v>
      </c>
      <c r="C18" s="46"/>
      <c r="D18" s="46">
        <v>1276</v>
      </c>
      <c r="E18" s="46"/>
      <c r="F18" s="21">
        <f>D18+E18</f>
        <v>1276</v>
      </c>
      <c r="G18" s="22" t="str">
        <f t="shared" si="0"/>
        <v/>
      </c>
      <c r="H18" s="21" t="str">
        <f t="shared" si="1"/>
        <v/>
      </c>
      <c r="I18" s="21">
        <f t="shared" ca="1" si="2"/>
        <v>2807.2</v>
      </c>
      <c r="J18" s="22" t="str">
        <f t="shared" ca="1" si="3"/>
        <v/>
      </c>
    </row>
    <row r="19" spans="1:10" ht="15" customHeight="1" x14ac:dyDescent="0.25">
      <c r="A19" s="26"/>
      <c r="B19" s="23" t="s">
        <v>22</v>
      </c>
      <c r="C19" s="24">
        <f>SUM(C14:C18)</f>
        <v>92543</v>
      </c>
      <c r="D19" s="24">
        <f>SUM(D14:D18)</f>
        <v>32883.4</v>
      </c>
      <c r="E19" s="24">
        <f>SUM(E14:E18)</f>
        <v>302</v>
      </c>
      <c r="F19" s="24">
        <f>SUM(F14:F18)</f>
        <v>33185.4</v>
      </c>
      <c r="G19" s="25">
        <f t="shared" si="0"/>
        <v>0.35859438315161601</v>
      </c>
      <c r="H19" s="24">
        <f t="shared" si="1"/>
        <v>59357.599999999999</v>
      </c>
      <c r="I19" s="24">
        <f t="shared" ca="1" si="2"/>
        <v>73007.88</v>
      </c>
      <c r="J19" s="25">
        <f t="shared" ca="1" si="3"/>
        <v>0.78890764293355531</v>
      </c>
    </row>
    <row r="20" spans="1:10" ht="15" customHeight="1" x14ac:dyDescent="0.25">
      <c r="A20" s="27"/>
      <c r="B20" s="28" t="s">
        <v>28</v>
      </c>
      <c r="C20" s="29">
        <f>C13+C19</f>
        <v>346513</v>
      </c>
      <c r="D20" s="29">
        <f>D13+D19</f>
        <v>112999.70000000001</v>
      </c>
      <c r="E20" s="29">
        <f>E13+E19</f>
        <v>5543</v>
      </c>
      <c r="F20" s="29">
        <f>F13+F19</f>
        <v>118542.70000000001</v>
      </c>
      <c r="G20" s="30">
        <f t="shared" si="0"/>
        <v>0.34210173932868321</v>
      </c>
      <c r="H20" s="29">
        <f t="shared" si="1"/>
        <v>227970.3</v>
      </c>
      <c r="I20" s="29">
        <f t="shared" ca="1" si="2"/>
        <v>260793.94</v>
      </c>
      <c r="J20" s="30">
        <f t="shared" ca="1" si="3"/>
        <v>0.752623826523103</v>
      </c>
    </row>
    <row r="22" spans="1:10" ht="19.5" customHeight="1" x14ac:dyDescent="0.25">
      <c r="A22" s="6" t="s">
        <v>29</v>
      </c>
      <c r="B22" s="6"/>
      <c r="C22" s="6"/>
      <c r="D22" s="6"/>
      <c r="E22" s="6"/>
      <c r="F22" s="6"/>
      <c r="G22" s="6"/>
      <c r="H22" s="6"/>
      <c r="I22" s="6"/>
      <c r="J22" s="6"/>
    </row>
    <row r="23" spans="1:10" ht="7.5" customHeight="1" thickBot="1" x14ac:dyDescent="0.3"/>
    <row r="24" spans="1:10" ht="15" customHeight="1" thickBot="1" x14ac:dyDescent="0.3">
      <c r="A24" s="43" t="s">
        <v>54</v>
      </c>
      <c r="B24" s="44"/>
    </row>
    <row r="25" spans="1:10" ht="15" customHeight="1" thickBot="1" x14ac:dyDescent="0.3">
      <c r="A25" s="43" t="s">
        <v>55</v>
      </c>
      <c r="B25" s="44"/>
    </row>
    <row r="26" spans="1:10" ht="15" customHeight="1" thickBot="1" x14ac:dyDescent="0.3">
      <c r="A26" s="43" t="s">
        <v>56</v>
      </c>
      <c r="B26" s="44"/>
    </row>
    <row r="27" spans="1:10" ht="15" customHeight="1" thickBot="1" x14ac:dyDescent="0.3">
      <c r="A27" s="43"/>
      <c r="B27" s="43"/>
    </row>
    <row r="28" spans="1:10" ht="15" customHeight="1" thickBot="1" x14ac:dyDescent="0.3">
      <c r="A28" s="43" t="s">
        <v>57</v>
      </c>
      <c r="B28" s="44"/>
    </row>
    <row r="29" spans="1:10" ht="15" customHeight="1" thickBot="1" x14ac:dyDescent="0.3">
      <c r="A29" s="43" t="s">
        <v>53</v>
      </c>
      <c r="B29" s="44"/>
    </row>
    <row r="30" spans="1:10" ht="15" customHeight="1" thickBot="1" x14ac:dyDescent="0.3">
      <c r="A30" s="43" t="s">
        <v>58</v>
      </c>
      <c r="B30" s="44"/>
    </row>
    <row r="31" spans="1:10" ht="15" customHeight="1" x14ac:dyDescent="0.25"/>
    <row r="32" spans="1:10" ht="15" customHeight="1" x14ac:dyDescent="0.25"/>
    <row r="33" ht="15" customHeight="1" x14ac:dyDescent="0.25"/>
    <row r="34" ht="39.75" customHeight="1" x14ac:dyDescent="0.25"/>
    <row r="35" ht="18" customHeight="1" x14ac:dyDescent="0.25"/>
  </sheetData>
  <mergeCells count="4">
    <mergeCell ref="A1:J1"/>
    <mergeCell ref="A8:J8"/>
    <mergeCell ref="A10:A18"/>
    <mergeCell ref="A22:J2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
  <sheetViews>
    <sheetView rightToLeft="1" zoomScaleNormal="100" workbookViewId="0">
      <pane ySplit="10" topLeftCell="A11" activePane="bottomLeft" state="frozen"/>
      <selection pane="bottomLeft"/>
    </sheetView>
  </sheetViews>
  <sheetFormatPr defaultColWidth="8.5703125" defaultRowHeight="15" x14ac:dyDescent="0.25"/>
  <cols>
    <col min="1" max="1" width="10" customWidth="1"/>
    <col min="2" max="2" width="22" customWidth="1"/>
    <col min="3" max="3" width="13" customWidth="1"/>
    <col min="4" max="4" width="15" customWidth="1"/>
    <col min="5" max="5" width="13" customWidth="1"/>
    <col min="6" max="6" width="16" customWidth="1"/>
    <col min="7" max="7" width="13" customWidth="1"/>
    <col min="8" max="9" width="16" customWidth="1"/>
    <col min="10" max="10" width="10" customWidth="1"/>
  </cols>
  <sheetData>
    <row r="1" spans="1:10" ht="19.5" customHeight="1" x14ac:dyDescent="0.25">
      <c r="A1" s="9" t="s">
        <v>34</v>
      </c>
      <c r="B1" s="9"/>
      <c r="C1" s="9"/>
      <c r="D1" s="9"/>
      <c r="E1" s="9"/>
      <c r="F1" s="9"/>
      <c r="G1" s="9"/>
      <c r="H1" s="9"/>
      <c r="I1" s="9"/>
      <c r="J1" s="9"/>
    </row>
    <row r="2" spans="1:10" ht="15" customHeight="1" x14ac:dyDescent="0.25">
      <c r="A2" s="14" t="s">
        <v>1</v>
      </c>
      <c r="B2" s="15">
        <v>46250</v>
      </c>
    </row>
    <row r="3" spans="1:10" ht="15" customHeight="1" x14ac:dyDescent="0.25">
      <c r="A3" s="14" t="s">
        <v>2</v>
      </c>
      <c r="B3" s="16">
        <v>46249</v>
      </c>
    </row>
    <row r="4" spans="1:10" ht="15" customHeight="1" x14ac:dyDescent="0.25">
      <c r="A4" s="14" t="s">
        <v>3</v>
      </c>
      <c r="B4" s="15">
        <f>EOMONTH(B3,-1)+1</f>
        <v>46235</v>
      </c>
    </row>
    <row r="5" spans="1:10" ht="15" customHeight="1" x14ac:dyDescent="0.25">
      <c r="A5" s="14" t="s">
        <v>4</v>
      </c>
      <c r="B5" s="15">
        <f>EOMONTH(B3,0)</f>
        <v>46265</v>
      </c>
    </row>
    <row r="6" spans="1:10" ht="15" customHeight="1" x14ac:dyDescent="0.25">
      <c r="A6" s="14" t="s">
        <v>5</v>
      </c>
      <c r="B6" s="17">
        <f ca="1">SUMPRODUCT((WEEKDAY(ROW(INDIRECT(B4&amp;":"&amp;B5)))&lt;6)*1)</f>
        <v>22</v>
      </c>
    </row>
    <row r="7" spans="1:10" ht="15" customHeight="1" x14ac:dyDescent="0.25">
      <c r="A7" s="14" t="s">
        <v>6</v>
      </c>
      <c r="B7" s="17">
        <f ca="1">SUMPRODUCT((WEEKDAY(ROW(INDIRECT(B4&amp;":"&amp;B3)))&lt;6)*1)</f>
        <v>10</v>
      </c>
    </row>
    <row r="8" spans="1:10" ht="45" customHeight="1" x14ac:dyDescent="0.25">
      <c r="A8" s="8" t="s">
        <v>35</v>
      </c>
      <c r="B8" s="8"/>
      <c r="C8" s="8"/>
      <c r="D8" s="8"/>
      <c r="E8" s="8"/>
      <c r="F8" s="8"/>
      <c r="G8" s="8"/>
      <c r="H8" s="8"/>
      <c r="I8" s="8"/>
      <c r="J8" s="8"/>
    </row>
    <row r="9" spans="1:10" ht="24" customHeight="1" x14ac:dyDescent="0.25">
      <c r="A9" s="42" t="s">
        <v>7</v>
      </c>
      <c r="B9" s="42"/>
      <c r="C9" s="42"/>
      <c r="D9" s="42"/>
      <c r="E9" s="42"/>
      <c r="F9" s="42"/>
      <c r="G9" s="42"/>
      <c r="H9" s="42"/>
      <c r="I9" s="42"/>
      <c r="J9" s="42"/>
    </row>
    <row r="10" spans="1:10" ht="31.5" customHeight="1" x14ac:dyDescent="0.25">
      <c r="A10" s="18" t="s">
        <v>8</v>
      </c>
      <c r="B10" s="18" t="s">
        <v>9</v>
      </c>
      <c r="C10" s="18" t="s">
        <v>10</v>
      </c>
      <c r="D10" s="18" t="s">
        <v>11</v>
      </c>
      <c r="E10" s="18" t="s">
        <v>12</v>
      </c>
      <c r="F10" s="18" t="s">
        <v>13</v>
      </c>
      <c r="G10" s="18" t="s">
        <v>14</v>
      </c>
      <c r="H10" s="18" t="s">
        <v>15</v>
      </c>
      <c r="I10" s="18" t="s">
        <v>16</v>
      </c>
      <c r="J10" s="18" t="s">
        <v>17</v>
      </c>
    </row>
    <row r="11" spans="1:10" ht="15" customHeight="1" x14ac:dyDescent="0.25">
      <c r="A11" s="7" t="s">
        <v>36</v>
      </c>
      <c r="B11" s="19" t="s">
        <v>19</v>
      </c>
      <c r="C11" s="20">
        <v>45780</v>
      </c>
      <c r="D11" s="20">
        <v>28518.9</v>
      </c>
      <c r="E11" s="20">
        <v>885</v>
      </c>
      <c r="F11" s="21">
        <f>D11+E11</f>
        <v>29403.9</v>
      </c>
      <c r="G11" s="22">
        <f t="shared" ref="G11:G21" si="0">IFERROR(F11/C11,"")</f>
        <v>0.64228702490170386</v>
      </c>
      <c r="H11" s="21">
        <f t="shared" ref="H11:H21" si="1">IF(C11="","",C11-F11)</f>
        <v>16376.099999999999</v>
      </c>
      <c r="I11" s="21">
        <f t="shared" ref="I11:I21" ca="1" si="2">IFERROR((F11/$B$7)*$B$6,"")</f>
        <v>64688.580000000009</v>
      </c>
      <c r="J11" s="22">
        <f t="shared" ref="J11:J21" ca="1" si="3">IFERROR(I11/C11,"")</f>
        <v>1.4130314547837486</v>
      </c>
    </row>
    <row r="12" spans="1:10" ht="15" customHeight="1" x14ac:dyDescent="0.25">
      <c r="A12" s="7"/>
      <c r="B12" s="19" t="s">
        <v>20</v>
      </c>
      <c r="C12" s="20">
        <v>25070</v>
      </c>
      <c r="D12" s="20">
        <v>5330.1</v>
      </c>
      <c r="E12" s="20">
        <v>320</v>
      </c>
      <c r="F12" s="21">
        <f>D12+E12</f>
        <v>5650.1</v>
      </c>
      <c r="G12" s="22">
        <f t="shared" si="0"/>
        <v>0.2253729557239729</v>
      </c>
      <c r="H12" s="21">
        <f t="shared" si="1"/>
        <v>19419.900000000001</v>
      </c>
      <c r="I12" s="21">
        <f t="shared" ca="1" si="2"/>
        <v>12430.22</v>
      </c>
      <c r="J12" s="22">
        <f t="shared" ca="1" si="3"/>
        <v>0.4958205025927403</v>
      </c>
    </row>
    <row r="13" spans="1:10" ht="15" customHeight="1" x14ac:dyDescent="0.25">
      <c r="A13" s="7"/>
      <c r="B13" s="19" t="s">
        <v>21</v>
      </c>
      <c r="C13" s="20">
        <v>167860</v>
      </c>
      <c r="D13" s="20">
        <v>78350.3</v>
      </c>
      <c r="E13" s="31"/>
      <c r="F13" s="21">
        <f>D13+E13</f>
        <v>78350.3</v>
      </c>
      <c r="G13" s="22">
        <f t="shared" si="0"/>
        <v>0.46675979983319432</v>
      </c>
      <c r="H13" s="21">
        <f t="shared" si="1"/>
        <v>89509.7</v>
      </c>
      <c r="I13" s="21">
        <f t="shared" ca="1" si="2"/>
        <v>172370.66</v>
      </c>
      <c r="J13" s="22">
        <f t="shared" ca="1" si="3"/>
        <v>1.0268715596330276</v>
      </c>
    </row>
    <row r="14" spans="1:10" ht="15" customHeight="1" x14ac:dyDescent="0.25">
      <c r="A14" s="7"/>
      <c r="B14" s="23" t="s">
        <v>22</v>
      </c>
      <c r="C14" s="24">
        <f>SUM(C11:C13)</f>
        <v>238710</v>
      </c>
      <c r="D14" s="24">
        <f>SUM(D11:D13)</f>
        <v>112199.3</v>
      </c>
      <c r="E14" s="24">
        <f>SUM(E11:E13)</f>
        <v>1205</v>
      </c>
      <c r="F14" s="24">
        <f>SUM(F11:F13)</f>
        <v>113404.3</v>
      </c>
      <c r="G14" s="25">
        <f t="shared" si="0"/>
        <v>0.47507142557915466</v>
      </c>
      <c r="H14" s="24">
        <f t="shared" si="1"/>
        <v>125305.7</v>
      </c>
      <c r="I14" s="24">
        <f t="shared" ca="1" si="2"/>
        <v>249489.46000000002</v>
      </c>
      <c r="J14" s="25">
        <f t="shared" ca="1" si="3"/>
        <v>1.0451571362741403</v>
      </c>
    </row>
    <row r="15" spans="1:10" ht="15" customHeight="1" x14ac:dyDescent="0.25">
      <c r="A15" s="7"/>
      <c r="B15" s="19" t="s">
        <v>23</v>
      </c>
      <c r="C15" s="20">
        <v>28992</v>
      </c>
      <c r="D15" s="20">
        <v>8622</v>
      </c>
      <c r="E15" s="31"/>
      <c r="F15" s="21">
        <f>D15+E15</f>
        <v>8622</v>
      </c>
      <c r="G15" s="22">
        <f t="shared" si="0"/>
        <v>0.29739238410596025</v>
      </c>
      <c r="H15" s="21">
        <f t="shared" si="1"/>
        <v>20370</v>
      </c>
      <c r="I15" s="21">
        <f t="shared" ca="1" si="2"/>
        <v>18968.400000000001</v>
      </c>
      <c r="J15" s="22">
        <f t="shared" ca="1" si="3"/>
        <v>0.65426324503311262</v>
      </c>
    </row>
    <row r="16" spans="1:10" ht="15" customHeight="1" x14ac:dyDescent="0.25">
      <c r="A16" s="7"/>
      <c r="B16" s="19" t="s">
        <v>24</v>
      </c>
      <c r="C16" s="32"/>
      <c r="D16" s="20">
        <v>0</v>
      </c>
      <c r="E16" s="31"/>
      <c r="F16" s="21">
        <f>D16+E16</f>
        <v>0</v>
      </c>
      <c r="G16" s="22" t="str">
        <f t="shared" si="0"/>
        <v/>
      </c>
      <c r="H16" s="21" t="str">
        <f t="shared" si="1"/>
        <v/>
      </c>
      <c r="I16" s="21">
        <f t="shared" ca="1" si="2"/>
        <v>0</v>
      </c>
      <c r="J16" s="22" t="str">
        <f t="shared" ca="1" si="3"/>
        <v/>
      </c>
    </row>
    <row r="17" spans="1:10" ht="15" customHeight="1" x14ac:dyDescent="0.25">
      <c r="A17" s="7"/>
      <c r="B17" s="19" t="s">
        <v>25</v>
      </c>
      <c r="C17" s="20">
        <v>43600</v>
      </c>
      <c r="D17" s="20">
        <v>27849.1</v>
      </c>
      <c r="E17" s="20">
        <v>2240</v>
      </c>
      <c r="F17" s="21">
        <f>D17+E17</f>
        <v>30089.1</v>
      </c>
      <c r="G17" s="22">
        <f t="shared" si="0"/>
        <v>0.69011697247706416</v>
      </c>
      <c r="H17" s="21">
        <f t="shared" si="1"/>
        <v>13510.900000000001</v>
      </c>
      <c r="I17" s="21">
        <f t="shared" ca="1" si="2"/>
        <v>66196.01999999999</v>
      </c>
      <c r="J17" s="22">
        <f t="shared" ca="1" si="3"/>
        <v>1.5182573394495411</v>
      </c>
    </row>
    <row r="18" spans="1:10" ht="15" customHeight="1" x14ac:dyDescent="0.25">
      <c r="A18" s="7"/>
      <c r="B18" s="19" t="s">
        <v>26</v>
      </c>
      <c r="C18" s="20">
        <v>6250</v>
      </c>
      <c r="D18" s="20">
        <v>0</v>
      </c>
      <c r="E18" s="31"/>
      <c r="F18" s="21">
        <f>D18+E18</f>
        <v>0</v>
      </c>
      <c r="G18" s="22">
        <f t="shared" si="0"/>
        <v>0</v>
      </c>
      <c r="H18" s="21">
        <f t="shared" si="1"/>
        <v>6250</v>
      </c>
      <c r="I18" s="21">
        <f t="shared" ca="1" si="2"/>
        <v>0</v>
      </c>
      <c r="J18" s="22">
        <f t="shared" ca="1" si="3"/>
        <v>0</v>
      </c>
    </row>
    <row r="19" spans="1:10" ht="15" customHeight="1" x14ac:dyDescent="0.25">
      <c r="A19" s="7"/>
      <c r="B19" s="19" t="s">
        <v>27</v>
      </c>
      <c r="C19" s="32"/>
      <c r="D19" s="20">
        <v>457</v>
      </c>
      <c r="E19" s="31"/>
      <c r="F19" s="21">
        <f>D19+E19</f>
        <v>457</v>
      </c>
      <c r="G19" s="22" t="str">
        <f t="shared" si="0"/>
        <v/>
      </c>
      <c r="H19" s="21" t="str">
        <f t="shared" si="1"/>
        <v/>
      </c>
      <c r="I19" s="21">
        <f t="shared" ca="1" si="2"/>
        <v>1005.4000000000001</v>
      </c>
      <c r="J19" s="22" t="str">
        <f t="shared" ca="1" si="3"/>
        <v/>
      </c>
    </row>
    <row r="20" spans="1:10" ht="15" customHeight="1" x14ac:dyDescent="0.25">
      <c r="A20" s="26"/>
      <c r="B20" s="23" t="s">
        <v>22</v>
      </c>
      <c r="C20" s="24">
        <f>SUM(C15:C19)</f>
        <v>78842</v>
      </c>
      <c r="D20" s="24">
        <f>SUM(D15:D19)</f>
        <v>36928.1</v>
      </c>
      <c r="E20" s="24">
        <f>SUM(E15:E19)</f>
        <v>2240</v>
      </c>
      <c r="F20" s="24">
        <f>SUM(F15:F19)</f>
        <v>39168.1</v>
      </c>
      <c r="G20" s="25">
        <f t="shared" si="0"/>
        <v>0.49679231881484487</v>
      </c>
      <c r="H20" s="24">
        <f t="shared" si="1"/>
        <v>39673.9</v>
      </c>
      <c r="I20" s="24">
        <f t="shared" ca="1" si="2"/>
        <v>86169.819999999992</v>
      </c>
      <c r="J20" s="25">
        <f t="shared" ca="1" si="3"/>
        <v>1.0929431013926587</v>
      </c>
    </row>
    <row r="21" spans="1:10" ht="15" customHeight="1" x14ac:dyDescent="0.25">
      <c r="A21" s="27"/>
      <c r="B21" s="28" t="s">
        <v>28</v>
      </c>
      <c r="C21" s="29">
        <f>C14+C20</f>
        <v>317552</v>
      </c>
      <c r="D21" s="29">
        <f>D14+D20</f>
        <v>149127.4</v>
      </c>
      <c r="E21" s="29">
        <f>E14+E20</f>
        <v>3445</v>
      </c>
      <c r="F21" s="29">
        <f>F14+F20</f>
        <v>152572.4</v>
      </c>
      <c r="G21" s="30">
        <f t="shared" si="0"/>
        <v>0.48046430190960848</v>
      </c>
      <c r="H21" s="29">
        <f t="shared" si="1"/>
        <v>164979.6</v>
      </c>
      <c r="I21" s="29">
        <f t="shared" ca="1" si="2"/>
        <v>335659.27999999997</v>
      </c>
      <c r="J21" s="30">
        <f t="shared" ca="1" si="3"/>
        <v>1.0570214642011386</v>
      </c>
    </row>
    <row r="23" spans="1:10" ht="19.5" customHeight="1" x14ac:dyDescent="0.25">
      <c r="A23" s="6" t="s">
        <v>37</v>
      </c>
      <c r="B23" s="6"/>
      <c r="C23" s="6"/>
      <c r="D23" s="6"/>
      <c r="E23" s="6"/>
      <c r="F23" s="6"/>
      <c r="G23" s="6"/>
      <c r="H23" s="6"/>
      <c r="I23" s="6"/>
      <c r="J23" s="6"/>
    </row>
    <row r="24" spans="1:10" ht="7.5" customHeight="1" x14ac:dyDescent="0.25"/>
    <row r="25" spans="1:10" ht="30" customHeight="1" x14ac:dyDescent="0.25">
      <c r="A25" s="5" t="s">
        <v>30</v>
      </c>
      <c r="B25" s="5"/>
      <c r="C25" s="5"/>
      <c r="D25" s="5" t="s">
        <v>31</v>
      </c>
      <c r="E25" s="5"/>
      <c r="F25" s="5"/>
      <c r="G25" s="5" t="s">
        <v>32</v>
      </c>
      <c r="H25" s="5"/>
      <c r="I25" s="5"/>
      <c r="J25" s="5"/>
    </row>
    <row r="26" spans="1:10" ht="25.5" customHeight="1" x14ac:dyDescent="0.25">
      <c r="A26" s="4">
        <f ca="1">IFERROR(B6-B7,"—")</f>
        <v>12</v>
      </c>
      <c r="B26" s="4"/>
      <c r="C26" s="4"/>
      <c r="D26" s="3">
        <f ca="1">IFERROR(H21/(B6-B7),"—")</f>
        <v>13748.300000000001</v>
      </c>
      <c r="E26" s="3"/>
      <c r="F26" s="3"/>
      <c r="G26" s="2">
        <f>IFERROR((D21+E21)/C21,"—")</f>
        <v>0.48046430190960848</v>
      </c>
      <c r="H26" s="2"/>
      <c r="I26" s="2"/>
      <c r="J26" s="2"/>
    </row>
    <row r="28" spans="1:10" ht="27.75" customHeight="1" x14ac:dyDescent="0.25">
      <c r="A28" s="1" t="s">
        <v>33</v>
      </c>
      <c r="B28" s="1"/>
      <c r="C28" s="1"/>
      <c r="D28" s="1"/>
      <c r="E28" s="1"/>
      <c r="F28" s="1"/>
      <c r="G28" s="1"/>
      <c r="H28" s="1"/>
      <c r="I28" s="1"/>
      <c r="J28" s="1"/>
    </row>
  </sheetData>
  <mergeCells count="12">
    <mergeCell ref="A28:J28"/>
    <mergeCell ref="A25:C25"/>
    <mergeCell ref="D25:F25"/>
    <mergeCell ref="G25:J25"/>
    <mergeCell ref="A26:C26"/>
    <mergeCell ref="D26:F26"/>
    <mergeCell ref="G26:J26"/>
    <mergeCell ref="A1:J1"/>
    <mergeCell ref="A8:J8"/>
    <mergeCell ref="A9:J9"/>
    <mergeCell ref="A11:A19"/>
    <mergeCell ref="A23:J23"/>
  </mergeCells>
  <conditionalFormatting sqref="G26">
    <cfRule type="cellIs" dxfId="14" priority="2" operator="lessThan">
      <formula>0.33</formula>
    </cfRule>
    <cfRule type="cellIs" dxfId="13" priority="3" operator="lessThan">
      <formula>0.66</formula>
    </cfRule>
    <cfRule type="cellIs" dxfId="12" priority="4" operator="greaterThanOrEqual">
      <formula>0.66</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rightToLeft="1" zoomScaleNormal="100" workbookViewId="0">
      <pane ySplit="10" topLeftCell="A11" activePane="bottomLeft" state="frozen"/>
      <selection pane="bottomLeft"/>
    </sheetView>
  </sheetViews>
  <sheetFormatPr defaultColWidth="8.5703125" defaultRowHeight="15" x14ac:dyDescent="0.25"/>
  <cols>
    <col min="1" max="1" width="10" customWidth="1"/>
    <col min="2" max="2" width="22" customWidth="1"/>
    <col min="3" max="3" width="13" customWidth="1"/>
    <col min="4" max="4" width="15" customWidth="1"/>
    <col min="5" max="5" width="13" customWidth="1"/>
    <col min="6" max="6" width="16" customWidth="1"/>
    <col min="7" max="7" width="13" customWidth="1"/>
    <col min="8" max="9" width="16" customWidth="1"/>
    <col min="10" max="10" width="10" customWidth="1"/>
  </cols>
  <sheetData>
    <row r="1" spans="1:10" ht="19.5" customHeight="1" x14ac:dyDescent="0.25">
      <c r="A1" s="9" t="s">
        <v>38</v>
      </c>
      <c r="B1" s="9"/>
      <c r="C1" s="9"/>
      <c r="D1" s="9"/>
      <c r="E1" s="9"/>
      <c r="F1" s="9"/>
      <c r="G1" s="9"/>
      <c r="H1" s="9"/>
      <c r="I1" s="9"/>
      <c r="J1" s="9"/>
    </row>
    <row r="2" spans="1:10" ht="15" customHeight="1" x14ac:dyDescent="0.25">
      <c r="A2" s="14" t="s">
        <v>1</v>
      </c>
      <c r="B2" s="15">
        <v>46250</v>
      </c>
    </row>
    <row r="3" spans="1:10" ht="15" customHeight="1" x14ac:dyDescent="0.25">
      <c r="A3" s="14" t="s">
        <v>2</v>
      </c>
      <c r="B3" s="16">
        <v>46249</v>
      </c>
    </row>
    <row r="4" spans="1:10" ht="15" customHeight="1" x14ac:dyDescent="0.25">
      <c r="A4" s="14" t="s">
        <v>3</v>
      </c>
      <c r="B4" s="15">
        <f>EOMONTH(B3,-1)+1</f>
        <v>46235</v>
      </c>
    </row>
    <row r="5" spans="1:10" ht="15" customHeight="1" x14ac:dyDescent="0.25">
      <c r="A5" s="14" t="s">
        <v>4</v>
      </c>
      <c r="B5" s="15">
        <f>EOMONTH(B3,0)</f>
        <v>46265</v>
      </c>
    </row>
    <row r="6" spans="1:10" ht="15" customHeight="1" x14ac:dyDescent="0.25">
      <c r="A6" s="14" t="s">
        <v>5</v>
      </c>
      <c r="B6" s="17">
        <f ca="1">SUMPRODUCT((WEEKDAY(ROW(INDIRECT(B4&amp;":"&amp;B5)))&lt;6)*1)</f>
        <v>22</v>
      </c>
    </row>
    <row r="7" spans="1:10" ht="15" customHeight="1" x14ac:dyDescent="0.25">
      <c r="A7" s="14" t="s">
        <v>6</v>
      </c>
      <c r="B7" s="17">
        <f ca="1">SUMPRODUCT((WEEKDAY(ROW(INDIRECT(B4&amp;":"&amp;B3)))&lt;6)*1)</f>
        <v>10</v>
      </c>
    </row>
    <row r="8" spans="1:10" ht="45" customHeight="1" x14ac:dyDescent="0.25">
      <c r="A8" s="8" t="s">
        <v>39</v>
      </c>
      <c r="B8" s="8"/>
      <c r="C8" s="8"/>
      <c r="D8" s="8"/>
      <c r="E8" s="8"/>
      <c r="F8" s="8"/>
      <c r="G8" s="8"/>
      <c r="H8" s="8"/>
      <c r="I8" s="8"/>
      <c r="J8" s="8"/>
    </row>
    <row r="9" spans="1:10" ht="24" customHeight="1" x14ac:dyDescent="0.25">
      <c r="A9" s="42" t="s">
        <v>7</v>
      </c>
      <c r="B9" s="42"/>
      <c r="C9" s="42"/>
      <c r="D9" s="42"/>
      <c r="E9" s="42"/>
      <c r="F9" s="42"/>
      <c r="G9" s="42"/>
      <c r="H9" s="42"/>
      <c r="I9" s="42"/>
      <c r="J9" s="42"/>
    </row>
    <row r="10" spans="1:10" ht="31.5" customHeight="1" x14ac:dyDescent="0.25">
      <c r="A10" s="18" t="s">
        <v>8</v>
      </c>
      <c r="B10" s="18" t="s">
        <v>9</v>
      </c>
      <c r="C10" s="18" t="s">
        <v>10</v>
      </c>
      <c r="D10" s="18" t="s">
        <v>11</v>
      </c>
      <c r="E10" s="18" t="s">
        <v>12</v>
      </c>
      <c r="F10" s="18" t="s">
        <v>13</v>
      </c>
      <c r="G10" s="18" t="s">
        <v>14</v>
      </c>
      <c r="H10" s="18" t="s">
        <v>15</v>
      </c>
      <c r="I10" s="18" t="s">
        <v>16</v>
      </c>
      <c r="J10" s="18" t="s">
        <v>17</v>
      </c>
    </row>
    <row r="11" spans="1:10" ht="15" customHeight="1" x14ac:dyDescent="0.25">
      <c r="A11" s="7" t="s">
        <v>40</v>
      </c>
      <c r="B11" s="19" t="s">
        <v>19</v>
      </c>
      <c r="C11" s="20">
        <v>30520</v>
      </c>
      <c r="D11" s="20">
        <v>13592.7</v>
      </c>
      <c r="E11" s="20">
        <v>75</v>
      </c>
      <c r="F11" s="21">
        <f>D11+E11</f>
        <v>13667.7</v>
      </c>
      <c r="G11" s="22">
        <f t="shared" ref="G11:G21" si="0">IFERROR(F11/C11,"")</f>
        <v>0.44782765399737878</v>
      </c>
      <c r="H11" s="21">
        <f t="shared" ref="H11:H21" si="1">IF(C11="","",C11-F11)</f>
        <v>16852.3</v>
      </c>
      <c r="I11" s="21">
        <f t="shared" ref="I11:I21" ca="1" si="2">IFERROR((F11/$B$7)*$B$6,"")</f>
        <v>30068.94</v>
      </c>
      <c r="J11" s="22">
        <f t="shared" ref="J11:J21" ca="1" si="3">IFERROR(I11/C11,"")</f>
        <v>0.98522083879423328</v>
      </c>
    </row>
    <row r="12" spans="1:10" ht="15" customHeight="1" x14ac:dyDescent="0.25">
      <c r="A12" s="7"/>
      <c r="B12" s="19" t="s">
        <v>20</v>
      </c>
      <c r="C12" s="20">
        <v>30520</v>
      </c>
      <c r="D12" s="20">
        <v>9861.2000000000007</v>
      </c>
      <c r="E12" s="20">
        <v>408</v>
      </c>
      <c r="F12" s="21">
        <f>D12+E12</f>
        <v>10269.200000000001</v>
      </c>
      <c r="G12" s="22">
        <f t="shared" si="0"/>
        <v>0.3364744429882045</v>
      </c>
      <c r="H12" s="21">
        <f t="shared" si="1"/>
        <v>20250.8</v>
      </c>
      <c r="I12" s="21">
        <f t="shared" ca="1" si="2"/>
        <v>22592.240000000002</v>
      </c>
      <c r="J12" s="22">
        <f t="shared" ca="1" si="3"/>
        <v>0.74024377457404988</v>
      </c>
    </row>
    <row r="13" spans="1:10" ht="15" customHeight="1" x14ac:dyDescent="0.25">
      <c r="A13" s="7"/>
      <c r="B13" s="19" t="s">
        <v>21</v>
      </c>
      <c r="C13" s="20">
        <v>161865</v>
      </c>
      <c r="D13" s="20">
        <v>64049.2</v>
      </c>
      <c r="E13" s="31"/>
      <c r="F13" s="21">
        <f>D13+E13</f>
        <v>64049.2</v>
      </c>
      <c r="G13" s="22">
        <f t="shared" si="0"/>
        <v>0.39569517808049914</v>
      </c>
      <c r="H13" s="21">
        <f t="shared" si="1"/>
        <v>97815.8</v>
      </c>
      <c r="I13" s="21">
        <f t="shared" ca="1" si="2"/>
        <v>140908.24</v>
      </c>
      <c r="J13" s="22">
        <f t="shared" ca="1" si="3"/>
        <v>0.87052939177709809</v>
      </c>
    </row>
    <row r="14" spans="1:10" ht="15" customHeight="1" x14ac:dyDescent="0.25">
      <c r="A14" s="7"/>
      <c r="B14" s="23" t="s">
        <v>22</v>
      </c>
      <c r="C14" s="24">
        <f>SUM(C11:C13)</f>
        <v>222905</v>
      </c>
      <c r="D14" s="24">
        <f>SUM(D11:D13)</f>
        <v>87503.1</v>
      </c>
      <c r="E14" s="24">
        <f>SUM(E11:E13)</f>
        <v>483</v>
      </c>
      <c r="F14" s="24">
        <f>SUM(F11:F13)</f>
        <v>87986.1</v>
      </c>
      <c r="G14" s="25">
        <f t="shared" si="0"/>
        <v>0.39472465848679933</v>
      </c>
      <c r="H14" s="24">
        <f t="shared" si="1"/>
        <v>134918.9</v>
      </c>
      <c r="I14" s="24">
        <f t="shared" ca="1" si="2"/>
        <v>193569.42</v>
      </c>
      <c r="J14" s="25">
        <f t="shared" ca="1" si="3"/>
        <v>0.86839424867095849</v>
      </c>
    </row>
    <row r="15" spans="1:10" ht="15" customHeight="1" x14ac:dyDescent="0.25">
      <c r="A15" s="7"/>
      <c r="B15" s="19" t="s">
        <v>23</v>
      </c>
      <c r="C15" s="20">
        <v>12794</v>
      </c>
      <c r="D15" s="20">
        <v>4269</v>
      </c>
      <c r="E15" s="31"/>
      <c r="F15" s="21">
        <f>D15+E15</f>
        <v>4269</v>
      </c>
      <c r="G15" s="22">
        <f t="shared" si="0"/>
        <v>0.33367203376582771</v>
      </c>
      <c r="H15" s="21">
        <f t="shared" si="1"/>
        <v>8525</v>
      </c>
      <c r="I15" s="21">
        <f t="shared" ca="1" si="2"/>
        <v>9391.7999999999993</v>
      </c>
      <c r="J15" s="22">
        <f t="shared" ca="1" si="3"/>
        <v>0.73407847428482098</v>
      </c>
    </row>
    <row r="16" spans="1:10" ht="15" customHeight="1" x14ac:dyDescent="0.25">
      <c r="A16" s="7"/>
      <c r="B16" s="19" t="s">
        <v>24</v>
      </c>
      <c r="C16" s="20">
        <v>0</v>
      </c>
      <c r="D16" s="20">
        <v>0</v>
      </c>
      <c r="E16" s="31"/>
      <c r="F16" s="21">
        <f>D16+E16</f>
        <v>0</v>
      </c>
      <c r="G16" s="22" t="str">
        <f t="shared" si="0"/>
        <v/>
      </c>
      <c r="H16" s="21">
        <f t="shared" si="1"/>
        <v>0</v>
      </c>
      <c r="I16" s="21">
        <f t="shared" ca="1" si="2"/>
        <v>0</v>
      </c>
      <c r="J16" s="22" t="str">
        <f t="shared" ca="1" si="3"/>
        <v/>
      </c>
    </row>
    <row r="17" spans="1:10" ht="15" customHeight="1" x14ac:dyDescent="0.25">
      <c r="A17" s="7"/>
      <c r="B17" s="19" t="s">
        <v>25</v>
      </c>
      <c r="C17" s="20">
        <v>6625</v>
      </c>
      <c r="D17" s="20">
        <v>4045</v>
      </c>
      <c r="E17" s="20">
        <v>537</v>
      </c>
      <c r="F17" s="21">
        <f>D17+E17</f>
        <v>4582</v>
      </c>
      <c r="G17" s="22">
        <f t="shared" si="0"/>
        <v>0.69162264150943398</v>
      </c>
      <c r="H17" s="21">
        <f t="shared" si="1"/>
        <v>2043</v>
      </c>
      <c r="I17" s="21">
        <f t="shared" ca="1" si="2"/>
        <v>10080.4</v>
      </c>
      <c r="J17" s="22">
        <f t="shared" ca="1" si="3"/>
        <v>1.5215698113207548</v>
      </c>
    </row>
    <row r="18" spans="1:10" ht="15" customHeight="1" x14ac:dyDescent="0.25">
      <c r="A18" s="7"/>
      <c r="B18" s="19" t="s">
        <v>26</v>
      </c>
      <c r="C18" s="20">
        <v>22036</v>
      </c>
      <c r="D18" s="20">
        <v>1212</v>
      </c>
      <c r="E18" s="31"/>
      <c r="F18" s="21">
        <f>D18+E18</f>
        <v>1212</v>
      </c>
      <c r="G18" s="22">
        <f t="shared" si="0"/>
        <v>5.5000907605736067E-2</v>
      </c>
      <c r="H18" s="21">
        <f t="shared" si="1"/>
        <v>20824</v>
      </c>
      <c r="I18" s="21">
        <f t="shared" ca="1" si="2"/>
        <v>2666.4</v>
      </c>
      <c r="J18" s="22">
        <f t="shared" ca="1" si="3"/>
        <v>0.12100199673261935</v>
      </c>
    </row>
    <row r="19" spans="1:10" ht="15" customHeight="1" x14ac:dyDescent="0.25">
      <c r="A19" s="7"/>
      <c r="B19" s="19" t="s">
        <v>27</v>
      </c>
      <c r="C19" s="32"/>
      <c r="D19" s="20"/>
      <c r="E19" s="31"/>
      <c r="F19" s="21">
        <f>D19+E19</f>
        <v>0</v>
      </c>
      <c r="G19" s="22" t="str">
        <f t="shared" si="0"/>
        <v/>
      </c>
      <c r="H19" s="21" t="str">
        <f t="shared" si="1"/>
        <v/>
      </c>
      <c r="I19" s="21">
        <f t="shared" ca="1" si="2"/>
        <v>0</v>
      </c>
      <c r="J19" s="22" t="str">
        <f t="shared" ca="1" si="3"/>
        <v/>
      </c>
    </row>
    <row r="20" spans="1:10" ht="15" customHeight="1" x14ac:dyDescent="0.25">
      <c r="A20" s="26"/>
      <c r="B20" s="23" t="s">
        <v>22</v>
      </c>
      <c r="C20" s="24">
        <f>SUM(C15:C19)</f>
        <v>41455</v>
      </c>
      <c r="D20" s="24">
        <f>SUM(D15:D19)</f>
        <v>9526</v>
      </c>
      <c r="E20" s="24">
        <f>SUM(E15:E19)</f>
        <v>537</v>
      </c>
      <c r="F20" s="24">
        <f>SUM(F15:F19)</f>
        <v>10063</v>
      </c>
      <c r="G20" s="25">
        <f t="shared" si="0"/>
        <v>0.24274514533831865</v>
      </c>
      <c r="H20" s="24">
        <f t="shared" si="1"/>
        <v>31392</v>
      </c>
      <c r="I20" s="24">
        <f t="shared" ca="1" si="2"/>
        <v>22138.6</v>
      </c>
      <c r="J20" s="25">
        <f t="shared" ca="1" si="3"/>
        <v>0.53403931974430097</v>
      </c>
    </row>
    <row r="21" spans="1:10" ht="15" customHeight="1" x14ac:dyDescent="0.25">
      <c r="A21" s="27"/>
      <c r="B21" s="28" t="s">
        <v>28</v>
      </c>
      <c r="C21" s="29">
        <f>C14+C20</f>
        <v>264360</v>
      </c>
      <c r="D21" s="29">
        <f>D14+D20</f>
        <v>97029.1</v>
      </c>
      <c r="E21" s="29">
        <f>E14+E20</f>
        <v>1020</v>
      </c>
      <c r="F21" s="29">
        <f>F14+F20</f>
        <v>98049.1</v>
      </c>
      <c r="G21" s="30">
        <f t="shared" si="0"/>
        <v>0.37089234377364205</v>
      </c>
      <c r="H21" s="29">
        <f t="shared" si="1"/>
        <v>166310.9</v>
      </c>
      <c r="I21" s="29">
        <f t="shared" ca="1" si="2"/>
        <v>215708.02</v>
      </c>
      <c r="J21" s="30">
        <f t="shared" ca="1" si="3"/>
        <v>0.81596315630201233</v>
      </c>
    </row>
    <row r="23" spans="1:10" ht="19.5" customHeight="1" x14ac:dyDescent="0.25">
      <c r="A23" s="6" t="s">
        <v>41</v>
      </c>
      <c r="B23" s="6"/>
      <c r="C23" s="6"/>
      <c r="D23" s="6"/>
      <c r="E23" s="6"/>
      <c r="F23" s="6"/>
      <c r="G23" s="6"/>
      <c r="H23" s="6"/>
      <c r="I23" s="6"/>
      <c r="J23" s="6"/>
    </row>
    <row r="24" spans="1:10" ht="7.5" customHeight="1" x14ac:dyDescent="0.25"/>
    <row r="25" spans="1:10" ht="30" customHeight="1" x14ac:dyDescent="0.25">
      <c r="A25" s="5" t="s">
        <v>30</v>
      </c>
      <c r="B25" s="5"/>
      <c r="C25" s="5"/>
      <c r="D25" s="5" t="s">
        <v>31</v>
      </c>
      <c r="E25" s="5"/>
      <c r="F25" s="5"/>
      <c r="G25" s="5" t="s">
        <v>32</v>
      </c>
      <c r="H25" s="5"/>
      <c r="I25" s="5"/>
      <c r="J25" s="5"/>
    </row>
    <row r="26" spans="1:10" ht="25.5" customHeight="1" x14ac:dyDescent="0.25">
      <c r="A26" s="4">
        <f ca="1">IFERROR(B6-B7,"—")</f>
        <v>12</v>
      </c>
      <c r="B26" s="4"/>
      <c r="C26" s="4"/>
      <c r="D26" s="3">
        <f ca="1">IFERROR(H21/(B6-B7),"—")</f>
        <v>13859.241666666667</v>
      </c>
      <c r="E26" s="3"/>
      <c r="F26" s="3"/>
      <c r="G26" s="2">
        <f>IFERROR((D21+E21)/C21,"—")</f>
        <v>0.37089234377364205</v>
      </c>
      <c r="H26" s="2"/>
      <c r="I26" s="2"/>
      <c r="J26" s="2"/>
    </row>
    <row r="28" spans="1:10" ht="27.75" customHeight="1" x14ac:dyDescent="0.25">
      <c r="A28" s="1" t="s">
        <v>33</v>
      </c>
      <c r="B28" s="1"/>
      <c r="C28" s="1"/>
      <c r="D28" s="1"/>
      <c r="E28" s="1"/>
      <c r="F28" s="1"/>
      <c r="G28" s="1"/>
      <c r="H28" s="1"/>
      <c r="I28" s="1"/>
      <c r="J28" s="1"/>
    </row>
  </sheetData>
  <mergeCells count="12">
    <mergeCell ref="A28:J28"/>
    <mergeCell ref="A25:C25"/>
    <mergeCell ref="D25:F25"/>
    <mergeCell ref="G25:J25"/>
    <mergeCell ref="A26:C26"/>
    <mergeCell ref="D26:F26"/>
    <mergeCell ref="G26:J26"/>
    <mergeCell ref="A1:J1"/>
    <mergeCell ref="A8:J8"/>
    <mergeCell ref="A9:J9"/>
    <mergeCell ref="A11:A19"/>
    <mergeCell ref="A23:J23"/>
  </mergeCells>
  <conditionalFormatting sqref="G26">
    <cfRule type="cellIs" dxfId="11" priority="2" operator="lessThan">
      <formula>0.33</formula>
    </cfRule>
    <cfRule type="cellIs" dxfId="10" priority="3" operator="lessThan">
      <formula>0.66</formula>
    </cfRule>
    <cfRule type="cellIs" dxfId="9" priority="4" operator="greaterThanOrEqual">
      <formula>0.66</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8"/>
  <sheetViews>
    <sheetView rightToLeft="1" zoomScaleNormal="100" workbookViewId="0">
      <pane ySplit="10" topLeftCell="A11" activePane="bottomLeft" state="frozen"/>
      <selection pane="bottomLeft"/>
    </sheetView>
  </sheetViews>
  <sheetFormatPr defaultColWidth="8.5703125" defaultRowHeight="15" x14ac:dyDescent="0.25"/>
  <cols>
    <col min="1" max="1" width="10" customWidth="1"/>
    <col min="2" max="2" width="22" customWidth="1"/>
    <col min="3" max="3" width="13" customWidth="1"/>
    <col min="4" max="4" width="15" customWidth="1"/>
    <col min="5" max="5" width="13" customWidth="1"/>
    <col min="6" max="6" width="16" customWidth="1"/>
    <col min="7" max="7" width="13" customWidth="1"/>
    <col min="8" max="9" width="16" customWidth="1"/>
    <col min="10" max="10" width="10" customWidth="1"/>
  </cols>
  <sheetData>
    <row r="1" spans="1:10" ht="19.5" customHeight="1" x14ac:dyDescent="0.25">
      <c r="A1" s="9" t="s">
        <v>42</v>
      </c>
      <c r="B1" s="9"/>
      <c r="C1" s="9"/>
      <c r="D1" s="9"/>
      <c r="E1" s="9"/>
      <c r="F1" s="9"/>
      <c r="G1" s="9"/>
      <c r="H1" s="9"/>
      <c r="I1" s="9"/>
      <c r="J1" s="9"/>
    </row>
    <row r="2" spans="1:10" ht="15" customHeight="1" x14ac:dyDescent="0.25">
      <c r="A2" s="14" t="s">
        <v>1</v>
      </c>
      <c r="B2" s="15">
        <v>46250</v>
      </c>
    </row>
    <row r="3" spans="1:10" ht="15" customHeight="1" x14ac:dyDescent="0.25">
      <c r="A3" s="14" t="s">
        <v>2</v>
      </c>
      <c r="B3" s="16">
        <v>46249</v>
      </c>
    </row>
    <row r="4" spans="1:10" ht="15" customHeight="1" x14ac:dyDescent="0.25">
      <c r="A4" s="14" t="s">
        <v>3</v>
      </c>
      <c r="B4" s="15">
        <f>EOMONTH(B3,-1)+1</f>
        <v>46235</v>
      </c>
    </row>
    <row r="5" spans="1:10" ht="15" customHeight="1" x14ac:dyDescent="0.25">
      <c r="A5" s="14" t="s">
        <v>4</v>
      </c>
      <c r="B5" s="15">
        <f>EOMONTH(B3,0)</f>
        <v>46265</v>
      </c>
    </row>
    <row r="6" spans="1:10" ht="15" customHeight="1" x14ac:dyDescent="0.25">
      <c r="A6" s="14" t="s">
        <v>5</v>
      </c>
      <c r="B6" s="17">
        <f ca="1">SUMPRODUCT((WEEKDAY(ROW(INDIRECT(B4&amp;":"&amp;B5)))&lt;6)*1)</f>
        <v>22</v>
      </c>
    </row>
    <row r="7" spans="1:10" ht="15" customHeight="1" x14ac:dyDescent="0.25">
      <c r="A7" s="14" t="s">
        <v>6</v>
      </c>
      <c r="B7" s="17">
        <f ca="1">SUMPRODUCT((WEEKDAY(ROW(INDIRECT(B4&amp;":"&amp;B3)))&lt;6)*1)</f>
        <v>10</v>
      </c>
    </row>
    <row r="8" spans="1:10" ht="45" customHeight="1" x14ac:dyDescent="0.25">
      <c r="A8" s="8" t="s">
        <v>43</v>
      </c>
      <c r="B8" s="8"/>
      <c r="C8" s="8"/>
      <c r="D8" s="8"/>
      <c r="E8" s="8"/>
      <c r="F8" s="8"/>
      <c r="G8" s="8"/>
      <c r="H8" s="8"/>
      <c r="I8" s="8"/>
      <c r="J8" s="8"/>
    </row>
    <row r="9" spans="1:10" ht="24" customHeight="1" x14ac:dyDescent="0.25">
      <c r="A9" s="42" t="s">
        <v>7</v>
      </c>
      <c r="B9" s="42"/>
      <c r="C9" s="42"/>
      <c r="D9" s="42"/>
      <c r="E9" s="42"/>
      <c r="F9" s="42"/>
      <c r="G9" s="42"/>
      <c r="H9" s="42"/>
      <c r="I9" s="42"/>
      <c r="J9" s="42"/>
    </row>
    <row r="10" spans="1:10" ht="31.5" customHeight="1" x14ac:dyDescent="0.25">
      <c r="A10" s="18" t="s">
        <v>8</v>
      </c>
      <c r="B10" s="18" t="s">
        <v>9</v>
      </c>
      <c r="C10" s="18" t="s">
        <v>10</v>
      </c>
      <c r="D10" s="18" t="s">
        <v>11</v>
      </c>
      <c r="E10" s="18" t="s">
        <v>12</v>
      </c>
      <c r="F10" s="18" t="s">
        <v>13</v>
      </c>
      <c r="G10" s="18" t="s">
        <v>14</v>
      </c>
      <c r="H10" s="18" t="s">
        <v>15</v>
      </c>
      <c r="I10" s="18" t="s">
        <v>16</v>
      </c>
      <c r="J10" s="18" t="s">
        <v>17</v>
      </c>
    </row>
    <row r="11" spans="1:10" ht="15" customHeight="1" x14ac:dyDescent="0.25">
      <c r="A11" s="7" t="s">
        <v>44</v>
      </c>
      <c r="B11" s="19" t="s">
        <v>19</v>
      </c>
      <c r="C11" s="20">
        <v>32700</v>
      </c>
      <c r="D11" s="20">
        <v>10036.799999999999</v>
      </c>
      <c r="E11" s="20">
        <v>0</v>
      </c>
      <c r="F11" s="21">
        <f>D11+E11</f>
        <v>10036.799999999999</v>
      </c>
      <c r="G11" s="22">
        <f t="shared" ref="G11:G21" si="0">IFERROR(F11/C11,"")</f>
        <v>0.30693577981651377</v>
      </c>
      <c r="H11" s="21">
        <f t="shared" ref="H11:H21" si="1">IF(C11="","",C11-F11)</f>
        <v>22663.200000000001</v>
      </c>
      <c r="I11" s="21">
        <f t="shared" ref="I11:I21" ca="1" si="2">IFERROR((F11/$B$7)*$B$6,"")</f>
        <v>22080.959999999999</v>
      </c>
      <c r="J11" s="22">
        <f t="shared" ref="J11:J21" ca="1" si="3">IFERROR(I11/C11,"")</f>
        <v>0.67525871559633022</v>
      </c>
    </row>
    <row r="12" spans="1:10" ht="15" customHeight="1" x14ac:dyDescent="0.25">
      <c r="A12" s="7"/>
      <c r="B12" s="19" t="s">
        <v>20</v>
      </c>
      <c r="C12" s="20">
        <v>28340</v>
      </c>
      <c r="D12" s="20">
        <v>11639.9</v>
      </c>
      <c r="E12" s="20">
        <v>481</v>
      </c>
      <c r="F12" s="21">
        <f>D12+E12</f>
        <v>12120.9</v>
      </c>
      <c r="G12" s="22">
        <f t="shared" si="0"/>
        <v>0.42769583627381791</v>
      </c>
      <c r="H12" s="21">
        <f t="shared" si="1"/>
        <v>16219.1</v>
      </c>
      <c r="I12" s="21">
        <f t="shared" ca="1" si="2"/>
        <v>26665.98</v>
      </c>
      <c r="J12" s="22">
        <f t="shared" ca="1" si="3"/>
        <v>0.94093083980239944</v>
      </c>
    </row>
    <row r="13" spans="1:10" ht="15" customHeight="1" x14ac:dyDescent="0.25">
      <c r="A13" s="7"/>
      <c r="B13" s="19" t="s">
        <v>21</v>
      </c>
      <c r="C13" s="20">
        <v>149875</v>
      </c>
      <c r="D13" s="20">
        <v>56289.2</v>
      </c>
      <c r="E13" s="31"/>
      <c r="F13" s="21">
        <f>D13+E13</f>
        <v>56289.2</v>
      </c>
      <c r="G13" s="22">
        <f t="shared" si="0"/>
        <v>0.37557431192660551</v>
      </c>
      <c r="H13" s="21">
        <f t="shared" si="1"/>
        <v>93585.8</v>
      </c>
      <c r="I13" s="21">
        <f t="shared" ca="1" si="2"/>
        <v>123836.24</v>
      </c>
      <c r="J13" s="22">
        <f t="shared" ca="1" si="3"/>
        <v>0.82626348623853219</v>
      </c>
    </row>
    <row r="14" spans="1:10" ht="15" customHeight="1" x14ac:dyDescent="0.25">
      <c r="A14" s="7"/>
      <c r="B14" s="23" t="s">
        <v>22</v>
      </c>
      <c r="C14" s="24">
        <f>SUM(C11:C13)</f>
        <v>210915</v>
      </c>
      <c r="D14" s="24">
        <f>SUM(D11:D13)</f>
        <v>77965.899999999994</v>
      </c>
      <c r="E14" s="24">
        <f>SUM(E11:E13)</f>
        <v>481</v>
      </c>
      <c r="F14" s="24">
        <f>SUM(F11:F13)</f>
        <v>78446.899999999994</v>
      </c>
      <c r="G14" s="25">
        <f t="shared" si="0"/>
        <v>0.37193608799753453</v>
      </c>
      <c r="H14" s="24">
        <f t="shared" si="1"/>
        <v>132468.1</v>
      </c>
      <c r="I14" s="24">
        <f t="shared" ca="1" si="2"/>
        <v>172583.18</v>
      </c>
      <c r="J14" s="25">
        <f t="shared" ca="1" si="3"/>
        <v>0.818259393594576</v>
      </c>
    </row>
    <row r="15" spans="1:10" ht="15" customHeight="1" x14ac:dyDescent="0.25">
      <c r="A15" s="7"/>
      <c r="B15" s="19" t="s">
        <v>23</v>
      </c>
      <c r="C15" s="20">
        <v>10756</v>
      </c>
      <c r="D15" s="20">
        <v>1222</v>
      </c>
      <c r="E15" s="31"/>
      <c r="F15" s="21">
        <f>D15+E15</f>
        <v>1222</v>
      </c>
      <c r="G15" s="22">
        <f t="shared" si="0"/>
        <v>0.11361100780959464</v>
      </c>
      <c r="H15" s="21">
        <f t="shared" si="1"/>
        <v>9534</v>
      </c>
      <c r="I15" s="21">
        <f t="shared" ca="1" si="2"/>
        <v>2688.4</v>
      </c>
      <c r="J15" s="22">
        <f t="shared" ca="1" si="3"/>
        <v>0.24994421718110824</v>
      </c>
    </row>
    <row r="16" spans="1:10" ht="15" customHeight="1" x14ac:dyDescent="0.25">
      <c r="A16" s="7"/>
      <c r="B16" s="19" t="s">
        <v>24</v>
      </c>
      <c r="C16" s="20">
        <v>7964</v>
      </c>
      <c r="D16" s="20">
        <v>899</v>
      </c>
      <c r="E16" s="31"/>
      <c r="F16" s="21">
        <f>D16+E16</f>
        <v>899</v>
      </c>
      <c r="G16" s="22">
        <f t="shared" si="0"/>
        <v>0.11288297338021094</v>
      </c>
      <c r="H16" s="21">
        <f t="shared" si="1"/>
        <v>7065</v>
      </c>
      <c r="I16" s="21">
        <f t="shared" ca="1" si="2"/>
        <v>1977.8000000000002</v>
      </c>
      <c r="J16" s="22">
        <f t="shared" ca="1" si="3"/>
        <v>0.24834254143646411</v>
      </c>
    </row>
    <row r="17" spans="1:10" ht="15" customHeight="1" x14ac:dyDescent="0.25">
      <c r="A17" s="7"/>
      <c r="B17" s="19" t="s">
        <v>25</v>
      </c>
      <c r="C17" s="20">
        <v>21564</v>
      </c>
      <c r="D17" s="20">
        <v>7584.6</v>
      </c>
      <c r="E17" s="20">
        <v>132</v>
      </c>
      <c r="F17" s="21">
        <f>D17+E17</f>
        <v>7716.6</v>
      </c>
      <c r="G17" s="22">
        <f t="shared" si="0"/>
        <v>0.35784641068447415</v>
      </c>
      <c r="H17" s="21">
        <f t="shared" si="1"/>
        <v>13847.4</v>
      </c>
      <c r="I17" s="21">
        <f t="shared" ca="1" si="2"/>
        <v>16976.52</v>
      </c>
      <c r="J17" s="22">
        <f t="shared" ca="1" si="3"/>
        <v>0.78726210350584314</v>
      </c>
    </row>
    <row r="18" spans="1:10" ht="15" customHeight="1" x14ac:dyDescent="0.25">
      <c r="A18" s="7"/>
      <c r="B18" s="19" t="s">
        <v>26</v>
      </c>
      <c r="C18" s="20">
        <v>5875</v>
      </c>
      <c r="D18" s="20">
        <v>157</v>
      </c>
      <c r="E18" s="31"/>
      <c r="F18" s="21">
        <f>D18+E18</f>
        <v>157</v>
      </c>
      <c r="G18" s="22">
        <f t="shared" si="0"/>
        <v>2.672340425531915E-2</v>
      </c>
      <c r="H18" s="21">
        <f t="shared" si="1"/>
        <v>5718</v>
      </c>
      <c r="I18" s="21">
        <f t="shared" ca="1" si="2"/>
        <v>345.4</v>
      </c>
      <c r="J18" s="22">
        <f t="shared" ca="1" si="3"/>
        <v>5.8791489361702122E-2</v>
      </c>
    </row>
    <row r="19" spans="1:10" ht="15" customHeight="1" x14ac:dyDescent="0.25">
      <c r="A19" s="7"/>
      <c r="B19" s="19" t="s">
        <v>27</v>
      </c>
      <c r="C19" s="32"/>
      <c r="D19" s="20"/>
      <c r="E19" s="31"/>
      <c r="F19" s="21">
        <f>D19+E19</f>
        <v>0</v>
      </c>
      <c r="G19" s="22" t="str">
        <f t="shared" si="0"/>
        <v/>
      </c>
      <c r="H19" s="21" t="str">
        <f t="shared" si="1"/>
        <v/>
      </c>
      <c r="I19" s="21">
        <f t="shared" ca="1" si="2"/>
        <v>0</v>
      </c>
      <c r="J19" s="22" t="str">
        <f t="shared" ca="1" si="3"/>
        <v/>
      </c>
    </row>
    <row r="20" spans="1:10" ht="15" customHeight="1" x14ac:dyDescent="0.25">
      <c r="A20" s="26"/>
      <c r="B20" s="23" t="s">
        <v>22</v>
      </c>
      <c r="C20" s="24">
        <f>SUM(C15:C19)</f>
        <v>46159</v>
      </c>
      <c r="D20" s="24">
        <f>SUM(D15:D19)</f>
        <v>9862.6</v>
      </c>
      <c r="E20" s="24">
        <f>SUM(E15:E19)</f>
        <v>132</v>
      </c>
      <c r="F20" s="24">
        <f>SUM(F15:F19)</f>
        <v>9994.6</v>
      </c>
      <c r="G20" s="25">
        <f t="shared" si="0"/>
        <v>0.21652548798717478</v>
      </c>
      <c r="H20" s="24">
        <f t="shared" si="1"/>
        <v>36164.400000000001</v>
      </c>
      <c r="I20" s="24">
        <f t="shared" ca="1" si="2"/>
        <v>21988.120000000003</v>
      </c>
      <c r="J20" s="25">
        <f t="shared" ca="1" si="3"/>
        <v>0.47635607357178456</v>
      </c>
    </row>
    <row r="21" spans="1:10" ht="15" customHeight="1" x14ac:dyDescent="0.25">
      <c r="A21" s="27"/>
      <c r="B21" s="28" t="s">
        <v>28</v>
      </c>
      <c r="C21" s="29">
        <f>C14+C20</f>
        <v>257074</v>
      </c>
      <c r="D21" s="29">
        <f>D14+D20</f>
        <v>87828.5</v>
      </c>
      <c r="E21" s="29">
        <f>E14+E20</f>
        <v>613</v>
      </c>
      <c r="F21" s="29">
        <f>F14+F20</f>
        <v>88441.5</v>
      </c>
      <c r="G21" s="30">
        <f t="shared" si="0"/>
        <v>0.34403129060114984</v>
      </c>
      <c r="H21" s="29">
        <f t="shared" si="1"/>
        <v>168632.5</v>
      </c>
      <c r="I21" s="29">
        <f t="shared" ca="1" si="2"/>
        <v>194571.3</v>
      </c>
      <c r="J21" s="30">
        <f t="shared" ca="1" si="3"/>
        <v>0.75686883932252969</v>
      </c>
    </row>
    <row r="23" spans="1:10" ht="19.5" customHeight="1" x14ac:dyDescent="0.25">
      <c r="A23" s="6" t="s">
        <v>45</v>
      </c>
      <c r="B23" s="6"/>
      <c r="C23" s="6"/>
      <c r="D23" s="6"/>
      <c r="E23" s="6"/>
      <c r="F23" s="6"/>
      <c r="G23" s="6"/>
      <c r="H23" s="6"/>
      <c r="I23" s="6"/>
      <c r="J23" s="6"/>
    </row>
    <row r="24" spans="1:10" ht="7.5" customHeight="1" x14ac:dyDescent="0.25"/>
    <row r="25" spans="1:10" ht="30" customHeight="1" x14ac:dyDescent="0.25">
      <c r="A25" s="5" t="s">
        <v>30</v>
      </c>
      <c r="B25" s="5"/>
      <c r="C25" s="5"/>
      <c r="D25" s="5" t="s">
        <v>31</v>
      </c>
      <c r="E25" s="5"/>
      <c r="F25" s="5"/>
      <c r="G25" s="5" t="s">
        <v>32</v>
      </c>
      <c r="H25" s="5"/>
      <c r="I25" s="5"/>
      <c r="J25" s="5"/>
    </row>
    <row r="26" spans="1:10" ht="25.5" customHeight="1" x14ac:dyDescent="0.25">
      <c r="A26" s="4">
        <f ca="1">IFERROR(B6-B7,"—")</f>
        <v>12</v>
      </c>
      <c r="B26" s="4"/>
      <c r="C26" s="4"/>
      <c r="D26" s="3">
        <f ca="1">IFERROR(H21/(B6-B7),"—")</f>
        <v>14052.708333333334</v>
      </c>
      <c r="E26" s="3"/>
      <c r="F26" s="3"/>
      <c r="G26" s="2">
        <f>IFERROR((D21+E21)/C21,"—")</f>
        <v>0.34403129060114984</v>
      </c>
      <c r="H26" s="2"/>
      <c r="I26" s="2"/>
      <c r="J26" s="2"/>
    </row>
    <row r="28" spans="1:10" ht="27.75" customHeight="1" x14ac:dyDescent="0.25">
      <c r="A28" s="1" t="s">
        <v>33</v>
      </c>
      <c r="B28" s="1"/>
      <c r="C28" s="1"/>
      <c r="D28" s="1"/>
      <c r="E28" s="1"/>
      <c r="F28" s="1"/>
      <c r="G28" s="1"/>
      <c r="H28" s="1"/>
      <c r="I28" s="1"/>
      <c r="J28" s="1"/>
    </row>
  </sheetData>
  <mergeCells count="12">
    <mergeCell ref="A28:J28"/>
    <mergeCell ref="A25:C25"/>
    <mergeCell ref="D25:F25"/>
    <mergeCell ref="G25:J25"/>
    <mergeCell ref="A26:C26"/>
    <mergeCell ref="D26:F26"/>
    <mergeCell ref="G26:J26"/>
    <mergeCell ref="A1:J1"/>
    <mergeCell ref="A8:J8"/>
    <mergeCell ref="A9:J9"/>
    <mergeCell ref="A11:A19"/>
    <mergeCell ref="A23:J23"/>
  </mergeCells>
  <conditionalFormatting sqref="G26">
    <cfRule type="cellIs" dxfId="8" priority="2" operator="lessThan">
      <formula>0.33</formula>
    </cfRule>
    <cfRule type="cellIs" dxfId="7" priority="3" operator="lessThan">
      <formula>0.66</formula>
    </cfRule>
    <cfRule type="cellIs" dxfId="6" priority="4" operator="greaterThanOrEqual">
      <formula>0.66</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1:G12"/>
  <sheetViews>
    <sheetView rightToLeft="1" zoomScaleNormal="100" workbookViewId="0">
      <pane ySplit="5" topLeftCell="A6" activePane="bottomLeft" state="frozen"/>
      <selection pane="bottomLeft" activeCell="D24" sqref="D24"/>
    </sheetView>
  </sheetViews>
  <sheetFormatPr defaultColWidth="8.5703125" defaultRowHeight="15" x14ac:dyDescent="0.25"/>
  <cols>
    <col min="1" max="2" width="16" customWidth="1"/>
    <col min="3" max="3" width="18" customWidth="1"/>
    <col min="4" max="6" width="14" customWidth="1"/>
    <col min="7" max="7" width="20" customWidth="1"/>
  </cols>
  <sheetData>
    <row r="1" spans="1:7" ht="24" customHeight="1" x14ac:dyDescent="0.25">
      <c r="A1" s="13" t="s">
        <v>46</v>
      </c>
      <c r="B1" s="13"/>
      <c r="C1" s="13"/>
      <c r="D1" s="13"/>
      <c r="E1" s="13"/>
      <c r="F1" s="13"/>
      <c r="G1" s="13"/>
    </row>
    <row r="2" spans="1:7" ht="21.75" customHeight="1" x14ac:dyDescent="0.25">
      <c r="A2" s="12" t="e">
        <f ca="1">"תצוגת מרכז לכל הסוכנים — נכון לתאריך חישוב "&amp;TEXT(חאזם!B2,"dd/mm/yy")&amp;" | יום בדיקה: "&amp;TEXT(חאזם!B3,"dd/mm/yy")&amp;"  |  סך ימי א-ה בחודש: "&amp;חאזם!B6&amp;"  |  ימים שעברו: "&amp;חאזם!B7&amp;"  |  ימים שנותרו: "&amp;חאזם!#REF!</f>
        <v>#REF!</v>
      </c>
      <c r="B2" s="12"/>
      <c r="C2" s="12"/>
      <c r="D2" s="12"/>
      <c r="E2" s="12"/>
      <c r="F2" s="12"/>
      <c r="G2" s="12"/>
    </row>
    <row r="3" spans="1:7" ht="36" customHeight="1" x14ac:dyDescent="0.25">
      <c r="A3" s="11" t="s">
        <v>47</v>
      </c>
      <c r="B3" s="11"/>
      <c r="C3" s="11"/>
      <c r="D3" s="11"/>
      <c r="E3" s="11"/>
      <c r="F3" s="11"/>
      <c r="G3" s="11"/>
    </row>
    <row r="5" spans="1:7" ht="31.5" customHeight="1" x14ac:dyDescent="0.25">
      <c r="A5" s="33" t="s">
        <v>8</v>
      </c>
      <c r="B5" s="33" t="s">
        <v>10</v>
      </c>
      <c r="C5" s="33" t="s">
        <v>13</v>
      </c>
      <c r="D5" s="33" t="s">
        <v>48</v>
      </c>
      <c r="E5" s="33" t="s">
        <v>49</v>
      </c>
      <c r="F5" s="33" t="s">
        <v>50</v>
      </c>
      <c r="G5" s="33" t="s">
        <v>51</v>
      </c>
    </row>
    <row r="6" spans="1:7" ht="18" customHeight="1" x14ac:dyDescent="0.25">
      <c r="A6" s="34" t="str">
        <f>חאזם!A10</f>
        <v>חאזם</v>
      </c>
      <c r="B6" s="35">
        <f>חאזם!C20</f>
        <v>346513</v>
      </c>
      <c r="C6" s="35">
        <f>חאזם!D20+חאזם!E20</f>
        <v>118542.70000000001</v>
      </c>
      <c r="D6" s="36">
        <f>חאזם!G20</f>
        <v>0.34210173932868321</v>
      </c>
      <c r="E6" s="36">
        <f ca="1">חאזם!J20</f>
        <v>0.752623826523103</v>
      </c>
      <c r="F6" s="37" t="e">
        <f>חאזם!#REF!</f>
        <v>#REF!</v>
      </c>
      <c r="G6" s="35" t="e">
        <f>חאזם!#REF!</f>
        <v>#REF!</v>
      </c>
    </row>
    <row r="7" spans="1:7" ht="18" customHeight="1" x14ac:dyDescent="0.25">
      <c r="A7" s="34" t="str">
        <f>דודו!A11</f>
        <v>דודו</v>
      </c>
      <c r="B7" s="35">
        <f>דודו!C21</f>
        <v>317552</v>
      </c>
      <c r="C7" s="35">
        <f>דודו!D21+דודו!E21</f>
        <v>152572.4</v>
      </c>
      <c r="D7" s="36">
        <f>דודו!G21</f>
        <v>0.48046430190960848</v>
      </c>
      <c r="E7" s="36">
        <f ca="1">דודו!J21</f>
        <v>1.0570214642011386</v>
      </c>
      <c r="F7" s="37">
        <f ca="1">דודו!A26</f>
        <v>12</v>
      </c>
      <c r="G7" s="35">
        <f ca="1">דודו!D26</f>
        <v>13748.300000000001</v>
      </c>
    </row>
    <row r="8" spans="1:7" ht="18" customHeight="1" x14ac:dyDescent="0.25">
      <c r="A8" s="34" t="str">
        <f>חיים!A11</f>
        <v>חיים</v>
      </c>
      <c r="B8" s="35">
        <f>חיים!C21</f>
        <v>264360</v>
      </c>
      <c r="C8" s="35">
        <f>חיים!D21+חיים!E21</f>
        <v>98049.1</v>
      </c>
      <c r="D8" s="36">
        <f>חיים!G21</f>
        <v>0.37089234377364205</v>
      </c>
      <c r="E8" s="36">
        <f ca="1">חיים!J21</f>
        <v>0.81596315630201233</v>
      </c>
      <c r="F8" s="37">
        <f ca="1">חיים!A26</f>
        <v>12</v>
      </c>
      <c r="G8" s="35">
        <f ca="1">חיים!D26</f>
        <v>13859.241666666667</v>
      </c>
    </row>
    <row r="9" spans="1:7" ht="18" customHeight="1" x14ac:dyDescent="0.25">
      <c r="A9" s="34" t="str">
        <f>סטאס!A11</f>
        <v>סטאס</v>
      </c>
      <c r="B9" s="35">
        <f>סטאס!C21</f>
        <v>257074</v>
      </c>
      <c r="C9" s="35">
        <f>סטאס!D21+סטאס!E21</f>
        <v>88441.5</v>
      </c>
      <c r="D9" s="36">
        <f>סטאס!G21</f>
        <v>0.34403129060114984</v>
      </c>
      <c r="E9" s="36">
        <f ca="1">סטאס!J21</f>
        <v>0.75686883932252969</v>
      </c>
      <c r="F9" s="37">
        <f ca="1">סטאס!A26</f>
        <v>12</v>
      </c>
      <c r="G9" s="35">
        <f ca="1">סטאס!D26</f>
        <v>14052.708333333334</v>
      </c>
    </row>
    <row r="10" spans="1:7" ht="18" customHeight="1" x14ac:dyDescent="0.25">
      <c r="A10" s="38" t="s">
        <v>28</v>
      </c>
      <c r="B10" s="39">
        <f>SUM(B6:B9)</f>
        <v>1185499</v>
      </c>
      <c r="C10" s="39">
        <f>SUM(C6:C9)</f>
        <v>457605.69999999995</v>
      </c>
      <c r="D10" s="40">
        <f>IFERROR(C10/B10,"")</f>
        <v>0.38600260312324175</v>
      </c>
      <c r="E10" s="40">
        <f ca="1">IFERROR((חאזם!I20+דודו!I21+חיים!I21+סטאס!I21)/B10,"")</f>
        <v>0.84920572687113194</v>
      </c>
      <c r="F10" s="41" t="e">
        <f>F6</f>
        <v>#REF!</v>
      </c>
      <c r="G10" s="39" t="str">
        <f>IFERROR((B10-C10)/F10,"")</f>
        <v/>
      </c>
    </row>
    <row r="12" spans="1:7" ht="48" customHeight="1" x14ac:dyDescent="0.25">
      <c r="A12" s="10" t="s">
        <v>52</v>
      </c>
      <c r="B12" s="10"/>
      <c r="C12" s="10"/>
      <c r="D12" s="10"/>
      <c r="E12" s="10"/>
      <c r="F12" s="10"/>
      <c r="G12" s="10"/>
    </row>
  </sheetData>
  <mergeCells count="4">
    <mergeCell ref="A1:G1"/>
    <mergeCell ref="A2:G2"/>
    <mergeCell ref="A3:G3"/>
    <mergeCell ref="A12:G12"/>
  </mergeCells>
  <conditionalFormatting sqref="D6:D10">
    <cfRule type="cellIs" dxfId="5" priority="2" operator="lessThan">
      <formula>0.33</formula>
    </cfRule>
    <cfRule type="cellIs" dxfId="4" priority="3" operator="lessThan">
      <formula>0.66</formula>
    </cfRule>
    <cfRule type="cellIs" dxfId="3" priority="4" operator="greaterThanOrEqual">
      <formula>0.66</formula>
    </cfRule>
  </conditionalFormatting>
  <conditionalFormatting sqref="E6:E10">
    <cfRule type="cellIs" dxfId="2" priority="5" operator="lessThan">
      <formula>0.8</formula>
    </cfRule>
    <cfRule type="cellIs" dxfId="1" priority="6" operator="lessThan">
      <formula>1</formula>
    </cfRule>
    <cfRule type="cellIs" dxfId="0" priority="7" operator="greaterThanOrEqual">
      <formula>1</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חאזם</vt:lpstr>
      <vt:lpstr>דודו</vt:lpstr>
      <vt:lpstr>חיים</vt:lpstr>
      <vt:lpstr>סטאס</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Eyal Sadot</cp:lastModifiedBy>
  <cp:revision>2</cp:revision>
  <dcterms:created xsi:type="dcterms:W3CDTF">2026-08-16T08:14:53Z</dcterms:created>
  <dcterms:modified xsi:type="dcterms:W3CDTF">2026-08-17T09:18:25Z</dcterms:modified>
  <dc:language>en-US</dc:language>
</cp:coreProperties>
</file>