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yal\SALES\2026\"/>
    </mc:Choice>
  </mc:AlternateContent>
  <xr:revisionPtr revIDLastSave="0" documentId="13_ncr:1_{205D0D4B-2D00-431B-936C-8EC498A4E27E}" xr6:coauthVersionLast="47" xr6:coauthVersionMax="47" xr10:uidLastSave="{00000000-0000-0000-0000-000000000000}"/>
  <bookViews>
    <workbookView xWindow="-120" yWindow="-120" windowWidth="29040" windowHeight="15720" tabRatio="834" activeTab="19" xr2:uid="{5BC29F4A-4731-4E68-9673-34CC2B9DCFE6}"/>
  </bookViews>
  <sheets>
    <sheet name="תקציב  " sheetId="34" r:id="rId1"/>
    <sheet name="2025" sheetId="91" state="hidden" r:id="rId2"/>
    <sheet name="ינואר" sheetId="2" state="hidden" r:id="rId3"/>
    <sheet name="פברואר" sheetId="65" state="hidden" r:id="rId4"/>
    <sheet name="מצטבר פברואר" sheetId="76" state="hidden" r:id="rId5"/>
    <sheet name="מרץ" sheetId="66" state="hidden" r:id="rId6"/>
    <sheet name="Q1" sheetId="87" r:id="rId7"/>
    <sheet name="מצטבר יוני" sheetId="80" r:id="rId8"/>
    <sheet name="מצטבר מרץ" sheetId="77" state="hidden" r:id="rId9"/>
    <sheet name="אפריל" sheetId="67" state="hidden" r:id="rId10"/>
    <sheet name="מצטבר אפריל" sheetId="78" state="hidden" r:id="rId11"/>
    <sheet name="מאי" sheetId="68" state="hidden" r:id="rId12"/>
    <sheet name="מצטבר מאי" sheetId="79" state="hidden" r:id="rId13"/>
    <sheet name="יוני" sheetId="69" state="hidden" r:id="rId14"/>
    <sheet name="Q2" sheetId="88" r:id="rId15"/>
    <sheet name="יולי" sheetId="70" r:id="rId16"/>
    <sheet name="מצטבר יולי" sheetId="81" r:id="rId17"/>
    <sheet name="אוגוסט" sheetId="71" r:id="rId18"/>
    <sheet name="מצטבר אוגוסט" sheetId="82" r:id="rId19"/>
    <sheet name="ספטמבר" sheetId="72" r:id="rId20"/>
    <sheet name="מצטבר ספטמבר" sheetId="83" r:id="rId21"/>
    <sheet name="Q3" sheetId="89" r:id="rId22"/>
    <sheet name="אוקטובר" sheetId="73" r:id="rId23"/>
    <sheet name="מצטבר אוקטובר" sheetId="84" r:id="rId24"/>
    <sheet name="נובמבר" sheetId="74" r:id="rId25"/>
    <sheet name="מצטבר נובמבר" sheetId="85" r:id="rId26"/>
    <sheet name="דצמבר" sheetId="75" r:id="rId27"/>
    <sheet name="מצטבר דצמבר" sheetId="86" r:id="rId28"/>
    <sheet name="Q4" sheetId="90" r:id="rId29"/>
    <sheet name="גיליון1" sheetId="93" r:id="rId30"/>
    <sheet name="2024" sheetId="64" state="hidden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39" i="34" l="1"/>
  <c r="AM39" i="34"/>
  <c r="AL39" i="34"/>
  <c r="AK39" i="34"/>
  <c r="AJ39" i="34"/>
  <c r="AI39" i="34"/>
  <c r="AN38" i="34"/>
  <c r="AM38" i="34"/>
  <c r="AL38" i="34"/>
  <c r="AK38" i="34"/>
  <c r="AJ38" i="34"/>
  <c r="AI38" i="34"/>
  <c r="AN37" i="34"/>
  <c r="AM37" i="34"/>
  <c r="AL37" i="34"/>
  <c r="AK37" i="34"/>
  <c r="AJ37" i="34"/>
  <c r="AI37" i="34"/>
  <c r="AN36" i="34"/>
  <c r="AM36" i="34"/>
  <c r="AL36" i="34"/>
  <c r="AK36" i="34"/>
  <c r="AJ36" i="34"/>
  <c r="AI36" i="34"/>
  <c r="AN35" i="34"/>
  <c r="AM35" i="34"/>
  <c r="AL35" i="34"/>
  <c r="AK35" i="34"/>
  <c r="AJ35" i="34"/>
  <c r="AI35" i="34"/>
  <c r="AN34" i="34"/>
  <c r="AM34" i="34"/>
  <c r="AL34" i="34"/>
  <c r="AK34" i="34"/>
  <c r="AJ34" i="34"/>
  <c r="AI34" i="34"/>
  <c r="AN33" i="34"/>
  <c r="AM33" i="34"/>
  <c r="AL33" i="34"/>
  <c r="AK33" i="34"/>
  <c r="AJ33" i="34"/>
  <c r="AI33" i="34"/>
  <c r="AN32" i="34"/>
  <c r="AM32" i="34"/>
  <c r="AL32" i="34"/>
  <c r="AK32" i="34"/>
  <c r="AJ32" i="34"/>
  <c r="AI32" i="34"/>
  <c r="AN31" i="34"/>
  <c r="AM31" i="34"/>
  <c r="AL31" i="34"/>
  <c r="AK31" i="34"/>
  <c r="AJ31" i="34"/>
  <c r="AI31" i="34"/>
  <c r="AN30" i="34"/>
  <c r="AM30" i="34"/>
  <c r="AL30" i="34"/>
  <c r="AK30" i="34"/>
  <c r="AJ30" i="34"/>
  <c r="AI30" i="34"/>
  <c r="AN29" i="34"/>
  <c r="AM29" i="34"/>
  <c r="AL29" i="34"/>
  <c r="AK29" i="34"/>
  <c r="AJ29" i="34"/>
  <c r="AI29" i="34"/>
  <c r="AN28" i="34"/>
  <c r="AM28" i="34"/>
  <c r="AL28" i="34"/>
  <c r="AK28" i="34"/>
  <c r="AJ28" i="34"/>
  <c r="AI28" i="34"/>
  <c r="AN27" i="34"/>
  <c r="AM27" i="34"/>
  <c r="AL27" i="34"/>
  <c r="AK27" i="34"/>
  <c r="AJ27" i="34"/>
  <c r="AI27" i="34"/>
  <c r="AN26" i="34"/>
  <c r="AM26" i="34"/>
  <c r="AL26" i="34"/>
  <c r="AK26" i="34"/>
  <c r="AJ26" i="34"/>
  <c r="AI26" i="34"/>
  <c r="AN25" i="34"/>
  <c r="AM25" i="34"/>
  <c r="AL25" i="34"/>
  <c r="AK25" i="34"/>
  <c r="AJ25" i="34"/>
  <c r="AI25" i="34"/>
  <c r="AN24" i="34"/>
  <c r="AM24" i="34"/>
  <c r="AL24" i="34"/>
  <c r="AK24" i="34"/>
  <c r="AJ24" i="34"/>
  <c r="AI24" i="34"/>
  <c r="AN23" i="34"/>
  <c r="AM23" i="34"/>
  <c r="AL23" i="34"/>
  <c r="AK23" i="34"/>
  <c r="AJ23" i="34"/>
  <c r="AI23" i="34"/>
  <c r="AN22" i="34"/>
  <c r="AM22" i="34"/>
  <c r="AL22" i="34"/>
  <c r="AK22" i="34"/>
  <c r="AJ22" i="34"/>
  <c r="AI22" i="34"/>
  <c r="AN20" i="34"/>
  <c r="AM20" i="34"/>
  <c r="AL20" i="34"/>
  <c r="AK20" i="34"/>
  <c r="AJ20" i="34"/>
  <c r="AN19" i="34"/>
  <c r="AM19" i="34"/>
  <c r="AL19" i="34"/>
  <c r="AK19" i="34"/>
  <c r="AJ19" i="34"/>
  <c r="AN18" i="34"/>
  <c r="AM18" i="34"/>
  <c r="AL18" i="34"/>
  <c r="AK18" i="34"/>
  <c r="AJ18" i="34"/>
  <c r="AN17" i="34"/>
  <c r="AM17" i="34"/>
  <c r="AL17" i="34"/>
  <c r="AK17" i="34"/>
  <c r="AJ17" i="34"/>
  <c r="AN16" i="34"/>
  <c r="AM16" i="34"/>
  <c r="AL16" i="34"/>
  <c r="AK16" i="34"/>
  <c r="AJ16" i="34"/>
  <c r="AN14" i="34"/>
  <c r="AM14" i="34"/>
  <c r="AL14" i="34"/>
  <c r="AK14" i="34"/>
  <c r="AJ14" i="34"/>
  <c r="AN13" i="34"/>
  <c r="AM13" i="34"/>
  <c r="AL13" i="34"/>
  <c r="AK13" i="34"/>
  <c r="AJ13" i="34"/>
  <c r="AN12" i="34"/>
  <c r="AM12" i="34"/>
  <c r="AL12" i="34"/>
  <c r="AK12" i="34"/>
  <c r="AJ12" i="34"/>
  <c r="AN11" i="34"/>
  <c r="AM11" i="34"/>
  <c r="AL11" i="34"/>
  <c r="AK11" i="34"/>
  <c r="AJ11" i="34"/>
  <c r="AN10" i="34"/>
  <c r="AM10" i="34"/>
  <c r="AL10" i="34"/>
  <c r="AK10" i="34"/>
  <c r="AJ10" i="34"/>
  <c r="AN9" i="34"/>
  <c r="AM9" i="34"/>
  <c r="AL9" i="34"/>
  <c r="AK9" i="34"/>
  <c r="AJ9" i="34"/>
  <c r="AN8" i="34"/>
  <c r="AM8" i="34"/>
  <c r="AL8" i="34"/>
  <c r="AK8" i="34"/>
  <c r="AJ8" i="34"/>
  <c r="AN7" i="34"/>
  <c r="AM7" i="34"/>
  <c r="AL7" i="34"/>
  <c r="AK7" i="34"/>
  <c r="AJ7" i="34"/>
  <c r="AN6" i="34"/>
  <c r="AM6" i="34"/>
  <c r="AL6" i="34"/>
  <c r="AK6" i="34"/>
  <c r="AJ6" i="34"/>
  <c r="AN5" i="34"/>
  <c r="AM5" i="34"/>
  <c r="AL5" i="34"/>
  <c r="AK5" i="34"/>
  <c r="AJ5" i="34"/>
  <c r="X40" i="70"/>
  <c r="X16" i="70"/>
  <c r="X19" i="70" s="1"/>
  <c r="C2083" i="93"/>
  <c r="C2082" i="93"/>
  <c r="H2078" i="93" s="1"/>
  <c r="C2081" i="93"/>
  <c r="C2080" i="93"/>
  <c r="C2079" i="93"/>
  <c r="H2077" i="93" s="1"/>
  <c r="C2078" i="93"/>
  <c r="C2077" i="93"/>
  <c r="C2076" i="93"/>
  <c r="C2075" i="93"/>
  <c r="C2074" i="93"/>
  <c r="C2073" i="93"/>
  <c r="C2072" i="93"/>
  <c r="C2071" i="93"/>
  <c r="D2068" i="93"/>
  <c r="D2064" i="93"/>
  <c r="D2065" i="93" s="1"/>
  <c r="D2058" i="93"/>
  <c r="D2054" i="93"/>
  <c r="D2055" i="93" s="1"/>
  <c r="D2038" i="93"/>
  <c r="D2039" i="93" s="1"/>
  <c r="D213" i="93"/>
  <c r="D214" i="93" s="1"/>
  <c r="D184" i="93"/>
  <c r="D185" i="93" s="1"/>
  <c r="D179" i="93"/>
  <c r="D175" i="93"/>
  <c r="D166" i="93"/>
  <c r="D157" i="93"/>
  <c r="D150" i="93"/>
  <c r="D141" i="93"/>
  <c r="D136" i="93"/>
  <c r="D129" i="93"/>
  <c r="D113" i="93"/>
  <c r="D114" i="93" s="1"/>
  <c r="D98" i="93"/>
  <c r="D99" i="93" s="1"/>
  <c r="D103" i="93" s="1"/>
  <c r="D90" i="93"/>
  <c r="D91" i="93" s="1"/>
  <c r="D83" i="93"/>
  <c r="D75" i="93"/>
  <c r="D65" i="93"/>
  <c r="D58" i="93"/>
  <c r="D54" i="93"/>
  <c r="D46" i="93"/>
  <c r="D40" i="93"/>
  <c r="D30" i="93"/>
  <c r="D26" i="93"/>
  <c r="D18" i="93"/>
  <c r="D14" i="93"/>
  <c r="U36" i="86"/>
  <c r="U33" i="86"/>
  <c r="P36" i="86"/>
  <c r="D151" i="93" l="1"/>
  <c r="D176" i="93"/>
  <c r="H2075" i="93"/>
  <c r="H2076" i="93"/>
  <c r="D85" i="93"/>
  <c r="X41" i="70"/>
  <c r="X42" i="70" s="1"/>
  <c r="P33" i="86"/>
  <c r="Q36" i="75"/>
  <c r="T36" i="75" s="1"/>
  <c r="Q33" i="75"/>
  <c r="T33" i="75" s="1"/>
  <c r="V42" i="75"/>
  <c r="W42" i="75" s="1"/>
  <c r="X39" i="75"/>
  <c r="W39" i="75"/>
  <c r="W38" i="75"/>
  <c r="W37" i="75"/>
  <c r="W36" i="75"/>
  <c r="W35" i="75"/>
  <c r="W34" i="75"/>
  <c r="X33" i="75"/>
  <c r="W33" i="75"/>
  <c r="W32" i="75"/>
  <c r="W31" i="75"/>
  <c r="W30" i="75"/>
  <c r="W29" i="75"/>
  <c r="W28" i="75"/>
  <c r="W27" i="75"/>
  <c r="W26" i="75"/>
  <c r="W25" i="75"/>
  <c r="W24" i="75"/>
  <c r="W23" i="75"/>
  <c r="W22" i="75"/>
  <c r="W21" i="75"/>
  <c r="W20" i="75"/>
  <c r="W18" i="75"/>
  <c r="W17" i="75"/>
  <c r="W15" i="75"/>
  <c r="W14" i="75"/>
  <c r="W13" i="75"/>
  <c r="W12" i="75"/>
  <c r="W11" i="75"/>
  <c r="W10" i="75"/>
  <c r="W9" i="75"/>
  <c r="W8" i="75"/>
  <c r="W7" i="75"/>
  <c r="W6" i="75"/>
  <c r="W5" i="75"/>
  <c r="W4" i="75"/>
  <c r="W3" i="75"/>
  <c r="N37" i="75"/>
  <c r="N36" i="75"/>
  <c r="N33" i="75"/>
  <c r="J39" i="75"/>
  <c r="J33" i="75"/>
  <c r="P36" i="85"/>
  <c r="P33" i="85"/>
  <c r="Q36" i="74"/>
  <c r="Q33" i="74"/>
  <c r="T33" i="74" s="1"/>
  <c r="V42" i="74"/>
  <c r="X39" i="74"/>
  <c r="W39" i="74"/>
  <c r="W38" i="74"/>
  <c r="W37" i="74"/>
  <c r="W36" i="74"/>
  <c r="W35" i="74"/>
  <c r="W34" i="74"/>
  <c r="X33" i="74"/>
  <c r="W33" i="74"/>
  <c r="W32" i="74"/>
  <c r="W31" i="74"/>
  <c r="W30" i="74"/>
  <c r="W29" i="74"/>
  <c r="W28" i="74"/>
  <c r="W27" i="74"/>
  <c r="W26" i="74"/>
  <c r="W25" i="74"/>
  <c r="W24" i="74"/>
  <c r="W23" i="74"/>
  <c r="W22" i="74"/>
  <c r="W21" i="74"/>
  <c r="W20" i="74"/>
  <c r="W18" i="74"/>
  <c r="W17" i="74"/>
  <c r="W15" i="74"/>
  <c r="W14" i="74"/>
  <c r="W13" i="74"/>
  <c r="W12" i="74"/>
  <c r="W11" i="74"/>
  <c r="W10" i="74"/>
  <c r="W9" i="74"/>
  <c r="W8" i="74"/>
  <c r="W7" i="74"/>
  <c r="W6" i="74"/>
  <c r="W5" i="74"/>
  <c r="W4" i="74"/>
  <c r="W3" i="74"/>
  <c r="N37" i="74"/>
  <c r="N36" i="74"/>
  <c r="N33" i="74"/>
  <c r="J39" i="74"/>
  <c r="J33" i="74"/>
  <c r="P36" i="84"/>
  <c r="P33" i="84"/>
  <c r="Q36" i="73"/>
  <c r="Q33" i="73"/>
  <c r="T33" i="73" s="1"/>
  <c r="W39" i="73"/>
  <c r="W38" i="73"/>
  <c r="W37" i="73"/>
  <c r="W36" i="73"/>
  <c r="W35" i="73"/>
  <c r="W34" i="73"/>
  <c r="W33" i="73"/>
  <c r="W32" i="73"/>
  <c r="W31" i="73"/>
  <c r="W30" i="73"/>
  <c r="W29" i="73"/>
  <c r="W28" i="73"/>
  <c r="W27" i="73"/>
  <c r="W26" i="73"/>
  <c r="W25" i="73"/>
  <c r="W24" i="73"/>
  <c r="W23" i="73"/>
  <c r="W22" i="73"/>
  <c r="W21" i="73"/>
  <c r="W20" i="73"/>
  <c r="W18" i="73"/>
  <c r="W17" i="73"/>
  <c r="W15" i="73"/>
  <c r="W14" i="73"/>
  <c r="W13" i="73"/>
  <c r="W12" i="73"/>
  <c r="W11" i="73"/>
  <c r="W10" i="73"/>
  <c r="W9" i="73"/>
  <c r="W8" i="73"/>
  <c r="W7" i="73"/>
  <c r="W6" i="73"/>
  <c r="W5" i="73"/>
  <c r="W4" i="73"/>
  <c r="W3" i="73"/>
  <c r="V42" i="73"/>
  <c r="X39" i="73"/>
  <c r="X33" i="73"/>
  <c r="N37" i="73"/>
  <c r="N36" i="73"/>
  <c r="N33" i="73"/>
  <c r="J39" i="73"/>
  <c r="J33" i="73"/>
  <c r="M3" i="73"/>
  <c r="N3" i="73" s="1"/>
  <c r="M4" i="73"/>
  <c r="N4" i="73" s="1"/>
  <c r="M5" i="73"/>
  <c r="N5" i="73" s="1"/>
  <c r="M6" i="73"/>
  <c r="N6" i="73" s="1"/>
  <c r="M7" i="73"/>
  <c r="N7" i="73" s="1"/>
  <c r="M8" i="73"/>
  <c r="N8" i="73" s="1"/>
  <c r="M9" i="73"/>
  <c r="N9" i="73" s="1"/>
  <c r="M10" i="73"/>
  <c r="N10" i="73" s="1"/>
  <c r="M11" i="73"/>
  <c r="N11" i="73" s="1"/>
  <c r="M12" i="73"/>
  <c r="N12" i="73" s="1"/>
  <c r="M13" i="73"/>
  <c r="N13" i="73" s="1"/>
  <c r="M14" i="73"/>
  <c r="N14" i="73" s="1"/>
  <c r="M15" i="73"/>
  <c r="N15" i="73" s="1"/>
  <c r="M17" i="73"/>
  <c r="N17" i="73" s="1"/>
  <c r="M18" i="73"/>
  <c r="N18" i="73" s="1"/>
  <c r="M20" i="73"/>
  <c r="N20" i="73" s="1"/>
  <c r="M22" i="73"/>
  <c r="N22" i="73" s="1"/>
  <c r="M23" i="73"/>
  <c r="N23" i="73" s="1"/>
  <c r="M24" i="73"/>
  <c r="N24" i="73" s="1"/>
  <c r="M25" i="73"/>
  <c r="N25" i="73" s="1"/>
  <c r="M26" i="73"/>
  <c r="N26" i="73" s="1"/>
  <c r="M27" i="73"/>
  <c r="N27" i="73" s="1"/>
  <c r="M28" i="73"/>
  <c r="N28" i="73" s="1"/>
  <c r="M30" i="73"/>
  <c r="N30" i="73" s="1"/>
  <c r="M31" i="73"/>
  <c r="N31" i="73" s="1"/>
  <c r="M32" i="73"/>
  <c r="N32" i="73" s="1"/>
  <c r="M34" i="73"/>
  <c r="N34" i="73" s="1"/>
  <c r="M35" i="73"/>
  <c r="N35" i="73" s="1"/>
  <c r="M38" i="73"/>
  <c r="N38" i="73" s="1"/>
  <c r="M39" i="73"/>
  <c r="N39" i="73" s="1"/>
  <c r="P36" i="83"/>
  <c r="P33" i="83"/>
  <c r="R36" i="72"/>
  <c r="S36" i="72" s="1"/>
  <c r="R33" i="72"/>
  <c r="T33" i="72" s="1"/>
  <c r="Y39" i="72"/>
  <c r="X39" i="72"/>
  <c r="Y38" i="72"/>
  <c r="X38" i="72"/>
  <c r="Y37" i="72"/>
  <c r="X37" i="72"/>
  <c r="Y36" i="72"/>
  <c r="X36" i="72"/>
  <c r="Y35" i="72"/>
  <c r="X35" i="72"/>
  <c r="Y34" i="72"/>
  <c r="X34" i="72"/>
  <c r="Y33" i="72"/>
  <c r="X33" i="72"/>
  <c r="Y32" i="72"/>
  <c r="X32" i="72"/>
  <c r="Y31" i="72"/>
  <c r="X31" i="72"/>
  <c r="Y30" i="72"/>
  <c r="X30" i="72"/>
  <c r="Y29" i="72"/>
  <c r="X29" i="72"/>
  <c r="Y28" i="72"/>
  <c r="X28" i="72"/>
  <c r="Y27" i="72"/>
  <c r="X27" i="72"/>
  <c r="Y26" i="72"/>
  <c r="X26" i="72"/>
  <c r="Y25" i="72"/>
  <c r="X25" i="72"/>
  <c r="Y24" i="72"/>
  <c r="X24" i="72"/>
  <c r="Y23" i="72"/>
  <c r="X23" i="72"/>
  <c r="Y22" i="72"/>
  <c r="X22" i="72"/>
  <c r="Y21" i="72"/>
  <c r="X21" i="72"/>
  <c r="Y20" i="72"/>
  <c r="X20" i="72"/>
  <c r="Y18" i="72"/>
  <c r="X18" i="72"/>
  <c r="Y17" i="72"/>
  <c r="X17" i="72"/>
  <c r="Y15" i="72"/>
  <c r="X15" i="72"/>
  <c r="Y14" i="72"/>
  <c r="X14" i="72"/>
  <c r="Y13" i="72"/>
  <c r="X13" i="72"/>
  <c r="Y12" i="72"/>
  <c r="X12" i="72"/>
  <c r="Y11" i="72"/>
  <c r="X11" i="72"/>
  <c r="Y10" i="72"/>
  <c r="X10" i="72"/>
  <c r="Y9" i="72"/>
  <c r="X9" i="72"/>
  <c r="Y8" i="72"/>
  <c r="X8" i="72"/>
  <c r="Y7" i="72"/>
  <c r="X7" i="72"/>
  <c r="Y6" i="72"/>
  <c r="X6" i="72"/>
  <c r="Y5" i="72"/>
  <c r="X5" i="72"/>
  <c r="Y4" i="72"/>
  <c r="X4" i="72"/>
  <c r="Y3" i="72"/>
  <c r="X3" i="72"/>
  <c r="O37" i="72"/>
  <c r="O36" i="72"/>
  <c r="O33" i="72"/>
  <c r="J39" i="72"/>
  <c r="J33" i="72"/>
  <c r="N37" i="72"/>
  <c r="N36" i="72"/>
  <c r="N33" i="72"/>
  <c r="R36" i="71"/>
  <c r="U36" i="71" s="1"/>
  <c r="R33" i="71"/>
  <c r="T33" i="71" s="1"/>
  <c r="P36" i="82"/>
  <c r="P33" i="82"/>
  <c r="J39" i="71"/>
  <c r="J33" i="71"/>
  <c r="Y39" i="71"/>
  <c r="X39" i="71"/>
  <c r="Y38" i="71"/>
  <c r="X38" i="71"/>
  <c r="Y37" i="71"/>
  <c r="X37" i="71"/>
  <c r="Y36" i="71"/>
  <c r="X36" i="71"/>
  <c r="Y35" i="71"/>
  <c r="X35" i="71"/>
  <c r="Y34" i="71"/>
  <c r="X34" i="71"/>
  <c r="Y33" i="71"/>
  <c r="X33" i="71"/>
  <c r="Y32" i="71"/>
  <c r="X32" i="71"/>
  <c r="Y31" i="71"/>
  <c r="X31" i="71"/>
  <c r="Y30" i="71"/>
  <c r="X30" i="71"/>
  <c r="Y29" i="71"/>
  <c r="X29" i="71"/>
  <c r="Y28" i="71"/>
  <c r="X28" i="71"/>
  <c r="Y27" i="71"/>
  <c r="X27" i="71"/>
  <c r="Y26" i="71"/>
  <c r="X26" i="71"/>
  <c r="Y25" i="71"/>
  <c r="X25" i="71"/>
  <c r="Y24" i="71"/>
  <c r="X24" i="71"/>
  <c r="Y23" i="71"/>
  <c r="X23" i="71"/>
  <c r="Y22" i="71"/>
  <c r="X22" i="71"/>
  <c r="Y21" i="71"/>
  <c r="X21" i="71"/>
  <c r="Y20" i="71"/>
  <c r="X20" i="71"/>
  <c r="Y18" i="71"/>
  <c r="X18" i="71"/>
  <c r="Y17" i="71"/>
  <c r="X17" i="71"/>
  <c r="Y15" i="71"/>
  <c r="X15" i="71"/>
  <c r="Y14" i="71"/>
  <c r="X14" i="71"/>
  <c r="Y13" i="71"/>
  <c r="X13" i="71"/>
  <c r="Y12" i="71"/>
  <c r="X12" i="71"/>
  <c r="Y11" i="71"/>
  <c r="X11" i="71"/>
  <c r="Y10" i="71"/>
  <c r="X10" i="71"/>
  <c r="Y9" i="71"/>
  <c r="X9" i="71"/>
  <c r="Y8" i="71"/>
  <c r="X8" i="71"/>
  <c r="Y7" i="71"/>
  <c r="X7" i="71"/>
  <c r="Y6" i="71"/>
  <c r="X6" i="71"/>
  <c r="Y5" i="71"/>
  <c r="X5" i="71"/>
  <c r="Y4" i="71"/>
  <c r="X4" i="71"/>
  <c r="Y3" i="71"/>
  <c r="X3" i="71"/>
  <c r="N37" i="71"/>
  <c r="N36" i="71"/>
  <c r="N33" i="71"/>
  <c r="O37" i="71"/>
  <c r="O36" i="71"/>
  <c r="O33" i="71"/>
  <c r="D2069" i="93" l="1"/>
  <c r="H2079" i="93"/>
  <c r="R33" i="74"/>
  <c r="S33" i="74"/>
  <c r="U33" i="71"/>
  <c r="U36" i="72"/>
  <c r="T36" i="72"/>
  <c r="R36" i="74"/>
  <c r="T36" i="74"/>
  <c r="S36" i="74"/>
  <c r="R33" i="75"/>
  <c r="R36" i="75"/>
  <c r="S36" i="75"/>
  <c r="S33" i="75"/>
  <c r="R33" i="73"/>
  <c r="S33" i="73"/>
  <c r="M16" i="73"/>
  <c r="U33" i="72"/>
  <c r="S33" i="72"/>
  <c r="S33" i="71"/>
  <c r="S36" i="71"/>
  <c r="T36" i="71"/>
  <c r="M19" i="73" l="1"/>
  <c r="P36" i="81" l="1"/>
  <c r="P33" i="81"/>
  <c r="R36" i="70"/>
  <c r="U36" i="70" s="1"/>
  <c r="R33" i="70"/>
  <c r="S33" i="70" s="1"/>
  <c r="R17" i="70"/>
  <c r="R3" i="72"/>
  <c r="Q3" i="74"/>
  <c r="Q3" i="75"/>
  <c r="R4" i="72"/>
  <c r="Q4" i="74"/>
  <c r="Q4" i="75"/>
  <c r="R5" i="72"/>
  <c r="Q5" i="74"/>
  <c r="Q5" i="75"/>
  <c r="R6" i="72"/>
  <c r="Q6" i="74"/>
  <c r="Q6" i="75"/>
  <c r="R7" i="72"/>
  <c r="Q7" i="74"/>
  <c r="Q7" i="75"/>
  <c r="R8" i="72"/>
  <c r="Q8" i="74"/>
  <c r="Q8" i="75"/>
  <c r="R9" i="72"/>
  <c r="Q9" i="74"/>
  <c r="Q9" i="75"/>
  <c r="R10" i="72"/>
  <c r="Q10" i="74"/>
  <c r="Q10" i="75"/>
  <c r="R11" i="72"/>
  <c r="Q11" i="74"/>
  <c r="Q11" i="75"/>
  <c r="R12" i="72"/>
  <c r="Q12" i="74"/>
  <c r="Q12" i="75"/>
  <c r="AI15" i="34"/>
  <c r="R14" i="72"/>
  <c r="Q14" i="74"/>
  <c r="Q14" i="75"/>
  <c r="R15" i="72"/>
  <c r="Q15" i="74"/>
  <c r="Q15" i="75"/>
  <c r="R17" i="72"/>
  <c r="Q17" i="74"/>
  <c r="Q17" i="75"/>
  <c r="R18" i="72"/>
  <c r="Q18" i="74"/>
  <c r="Q18" i="75"/>
  <c r="R13" i="72"/>
  <c r="Q13" i="74"/>
  <c r="Q13" i="75"/>
  <c r="R20" i="71"/>
  <c r="R20" i="72"/>
  <c r="Q20" i="74"/>
  <c r="R21" i="71"/>
  <c r="R21" i="72"/>
  <c r="Q21" i="74"/>
  <c r="Q21" i="75"/>
  <c r="R22" i="71"/>
  <c r="R22" i="72"/>
  <c r="Q22" i="74"/>
  <c r="Q22" i="75"/>
  <c r="R23" i="71"/>
  <c r="R23" i="72"/>
  <c r="Q23" i="74"/>
  <c r="Q23" i="75"/>
  <c r="R24" i="71"/>
  <c r="R24" i="72"/>
  <c r="Q24" i="74"/>
  <c r="Q24" i="75"/>
  <c r="R25" i="71"/>
  <c r="R25" i="72"/>
  <c r="Q25" i="74"/>
  <c r="Q25" i="75"/>
  <c r="R26" i="71"/>
  <c r="R26" i="72"/>
  <c r="Q26" i="74"/>
  <c r="Q26" i="75"/>
  <c r="R27" i="71"/>
  <c r="R27" i="72"/>
  <c r="Q27" i="74"/>
  <c r="Q27" i="75"/>
  <c r="R28" i="71"/>
  <c r="R28" i="72"/>
  <c r="Q28" i="74"/>
  <c r="Q28" i="75"/>
  <c r="R29" i="71"/>
  <c r="R29" i="72"/>
  <c r="Q29" i="74"/>
  <c r="Q29" i="75"/>
  <c r="R30" i="71"/>
  <c r="R30" i="72"/>
  <c r="Q30" i="74"/>
  <c r="Q30" i="75"/>
  <c r="R31" i="71"/>
  <c r="R31" i="72"/>
  <c r="Q31" i="74"/>
  <c r="Q31" i="75"/>
  <c r="R32" i="71"/>
  <c r="R32" i="72"/>
  <c r="Q32" i="74"/>
  <c r="Q32" i="75"/>
  <c r="R34" i="71"/>
  <c r="R34" i="72"/>
  <c r="Q34" i="74"/>
  <c r="Q34" i="75"/>
  <c r="R35" i="71"/>
  <c r="R35" i="72"/>
  <c r="Q35" i="74"/>
  <c r="Q35" i="75"/>
  <c r="R37" i="71"/>
  <c r="R37" i="72"/>
  <c r="Q37" i="74"/>
  <c r="Q37" i="75"/>
  <c r="R38" i="71"/>
  <c r="R38" i="72"/>
  <c r="Q38" i="74"/>
  <c r="Q38" i="75"/>
  <c r="R39" i="71"/>
  <c r="R39" i="72"/>
  <c r="Q39" i="74"/>
  <c r="Q39" i="75"/>
  <c r="AO15" i="34" l="1"/>
  <c r="AR15" i="34"/>
  <c r="AO38" i="34"/>
  <c r="U38" i="86" s="1"/>
  <c r="AO36" i="34"/>
  <c r="U35" i="86" s="1"/>
  <c r="AO34" i="34"/>
  <c r="U32" i="86" s="1"/>
  <c r="AO32" i="34"/>
  <c r="U30" i="86" s="1"/>
  <c r="AO30" i="34"/>
  <c r="U28" i="86" s="1"/>
  <c r="AO28" i="34"/>
  <c r="U26" i="86" s="1"/>
  <c r="AO26" i="34"/>
  <c r="U24" i="86" s="1"/>
  <c r="AO24" i="34"/>
  <c r="U22" i="86" s="1"/>
  <c r="R20" i="70"/>
  <c r="AO22" i="34"/>
  <c r="R17" i="71"/>
  <c r="T17" i="71" s="1"/>
  <c r="AO18" i="34"/>
  <c r="U17" i="86" s="1"/>
  <c r="AO39" i="34"/>
  <c r="U39" i="86" s="1"/>
  <c r="AO37" i="34"/>
  <c r="U37" i="86" s="1"/>
  <c r="AO35" i="34"/>
  <c r="U34" i="86" s="1"/>
  <c r="AO33" i="34"/>
  <c r="U31" i="86" s="1"/>
  <c r="AO31" i="34"/>
  <c r="U29" i="86" s="1"/>
  <c r="AO29" i="34"/>
  <c r="U27" i="86" s="1"/>
  <c r="AO27" i="34"/>
  <c r="U25" i="86" s="1"/>
  <c r="AO25" i="34"/>
  <c r="U23" i="86" s="1"/>
  <c r="AO23" i="34"/>
  <c r="U21" i="86" s="1"/>
  <c r="U39" i="71"/>
  <c r="S39" i="71"/>
  <c r="T39" i="71"/>
  <c r="U23" i="71"/>
  <c r="T23" i="71"/>
  <c r="S23" i="71"/>
  <c r="AI20" i="34"/>
  <c r="R13" i="71"/>
  <c r="P12" i="90"/>
  <c r="P12" i="89"/>
  <c r="Q12" i="73"/>
  <c r="AI12" i="34"/>
  <c r="R10" i="71"/>
  <c r="T7" i="74"/>
  <c r="R7" i="74"/>
  <c r="S7" i="74"/>
  <c r="R39" i="70"/>
  <c r="U39" i="70" s="1"/>
  <c r="P37" i="89"/>
  <c r="R37" i="70"/>
  <c r="U37" i="70" s="1"/>
  <c r="P35" i="89"/>
  <c r="R34" i="70"/>
  <c r="S34" i="70" s="1"/>
  <c r="P33" i="89"/>
  <c r="R31" i="70"/>
  <c r="T31" i="70" s="1"/>
  <c r="P31" i="89"/>
  <c r="R29" i="70"/>
  <c r="P29" i="89"/>
  <c r="R27" i="70"/>
  <c r="U27" i="70" s="1"/>
  <c r="P27" i="89"/>
  <c r="R25" i="70"/>
  <c r="U25" i="70" s="1"/>
  <c r="P25" i="89"/>
  <c r="R23" i="70"/>
  <c r="S23" i="70" s="1"/>
  <c r="P23" i="89"/>
  <c r="R21" i="70"/>
  <c r="S21" i="70" s="1"/>
  <c r="P21" i="89"/>
  <c r="R18" i="75"/>
  <c r="T18" i="75"/>
  <c r="S18" i="75"/>
  <c r="P15" i="89"/>
  <c r="Q15" i="73"/>
  <c r="P15" i="90"/>
  <c r="U12" i="72"/>
  <c r="T12" i="72"/>
  <c r="S12" i="72"/>
  <c r="T9" i="75"/>
  <c r="R9" i="75"/>
  <c r="S9" i="75"/>
  <c r="P7" i="89"/>
  <c r="Q7" i="73"/>
  <c r="P7" i="90"/>
  <c r="AI7" i="34"/>
  <c r="R5" i="71"/>
  <c r="P39" i="90"/>
  <c r="Q39" i="73"/>
  <c r="P27" i="90"/>
  <c r="Q27" i="73"/>
  <c r="U39" i="72"/>
  <c r="T39" i="72"/>
  <c r="S39" i="72"/>
  <c r="T25" i="72"/>
  <c r="U25" i="72"/>
  <c r="S25" i="72"/>
  <c r="U25" i="71"/>
  <c r="S25" i="71"/>
  <c r="T25" i="71"/>
  <c r="S30" i="75"/>
  <c r="R30" i="75"/>
  <c r="T30" i="75"/>
  <c r="T28" i="75"/>
  <c r="R28" i="75"/>
  <c r="S28" i="75"/>
  <c r="S26" i="75"/>
  <c r="R26" i="75"/>
  <c r="T26" i="75"/>
  <c r="T24" i="75"/>
  <c r="R24" i="75"/>
  <c r="S24" i="75"/>
  <c r="R22" i="75"/>
  <c r="S22" i="75"/>
  <c r="T22" i="75"/>
  <c r="Q20" i="75"/>
  <c r="T18" i="74"/>
  <c r="R18" i="74"/>
  <c r="S18" i="74"/>
  <c r="T15" i="72"/>
  <c r="U15" i="72"/>
  <c r="S15" i="72"/>
  <c r="AI14" i="34"/>
  <c r="R12" i="71"/>
  <c r="S9" i="74"/>
  <c r="T9" i="74"/>
  <c r="R9" i="74"/>
  <c r="T7" i="72"/>
  <c r="S7" i="72"/>
  <c r="U7" i="72"/>
  <c r="T4" i="75"/>
  <c r="S4" i="75"/>
  <c r="R4" i="75"/>
  <c r="S39" i="74"/>
  <c r="R39" i="74"/>
  <c r="T39" i="74"/>
  <c r="Q31" i="73"/>
  <c r="P31" i="90"/>
  <c r="P25" i="90"/>
  <c r="Q25" i="73"/>
  <c r="Q21" i="73"/>
  <c r="P21" i="90"/>
  <c r="AI10" i="34"/>
  <c r="R8" i="71"/>
  <c r="U31" i="72"/>
  <c r="S31" i="72"/>
  <c r="T31" i="72"/>
  <c r="T23" i="72"/>
  <c r="U23" i="72"/>
  <c r="S23" i="72"/>
  <c r="S29" i="71"/>
  <c r="U29" i="71"/>
  <c r="T29" i="71"/>
  <c r="S15" i="74"/>
  <c r="R15" i="74"/>
  <c r="T15" i="74"/>
  <c r="R38" i="74"/>
  <c r="T38" i="74"/>
  <c r="S38" i="74"/>
  <c r="S35" i="74"/>
  <c r="T35" i="74"/>
  <c r="R35" i="74"/>
  <c r="T32" i="74"/>
  <c r="R32" i="74"/>
  <c r="S32" i="74"/>
  <c r="T30" i="74"/>
  <c r="R30" i="74"/>
  <c r="S30" i="74"/>
  <c r="S28" i="74"/>
  <c r="R28" i="74"/>
  <c r="T28" i="74"/>
  <c r="R26" i="74"/>
  <c r="T26" i="74"/>
  <c r="S26" i="74"/>
  <c r="R24" i="74"/>
  <c r="T24" i="74"/>
  <c r="S24" i="74"/>
  <c r="S22" i="74"/>
  <c r="T22" i="74"/>
  <c r="R22" i="74"/>
  <c r="T20" i="74"/>
  <c r="R20" i="74"/>
  <c r="S20" i="74"/>
  <c r="Q40" i="74"/>
  <c r="Q18" i="73"/>
  <c r="P18" i="90"/>
  <c r="P18" i="89"/>
  <c r="AI17" i="34"/>
  <c r="R15" i="71"/>
  <c r="T11" i="75"/>
  <c r="R11" i="75"/>
  <c r="S11" i="75"/>
  <c r="P9" i="90"/>
  <c r="P9" i="89"/>
  <c r="Q9" i="73"/>
  <c r="AI9" i="34"/>
  <c r="R7" i="71"/>
  <c r="S4" i="74"/>
  <c r="R4" i="74"/>
  <c r="T4" i="74"/>
  <c r="R37" i="74"/>
  <c r="T37" i="74"/>
  <c r="S37" i="74"/>
  <c r="Q29" i="73"/>
  <c r="P29" i="90"/>
  <c r="P23" i="90"/>
  <c r="Q23" i="73"/>
  <c r="U37" i="72"/>
  <c r="S37" i="72"/>
  <c r="T37" i="72"/>
  <c r="U34" i="71"/>
  <c r="S34" i="71"/>
  <c r="T34" i="71"/>
  <c r="S21" i="71"/>
  <c r="T21" i="71"/>
  <c r="U21" i="71"/>
  <c r="T32" i="75"/>
  <c r="R32" i="75"/>
  <c r="S32" i="75"/>
  <c r="P38" i="90"/>
  <c r="Q38" i="73"/>
  <c r="P35" i="90"/>
  <c r="Q35" i="73"/>
  <c r="P32" i="90"/>
  <c r="Q32" i="73"/>
  <c r="Q30" i="73"/>
  <c r="P30" i="90"/>
  <c r="P28" i="90"/>
  <c r="Q28" i="73"/>
  <c r="P26" i="90"/>
  <c r="Q26" i="73"/>
  <c r="P24" i="90"/>
  <c r="Q24" i="73"/>
  <c r="Q22" i="73"/>
  <c r="P22" i="90"/>
  <c r="P20" i="90"/>
  <c r="P20" i="89"/>
  <c r="Q20" i="73"/>
  <c r="T18" i="72"/>
  <c r="S18" i="72"/>
  <c r="U18" i="72"/>
  <c r="R14" i="75"/>
  <c r="T14" i="75"/>
  <c r="S14" i="75"/>
  <c r="S11" i="74"/>
  <c r="T11" i="74"/>
  <c r="R11" i="74"/>
  <c r="T9" i="72"/>
  <c r="S9" i="72"/>
  <c r="U9" i="72"/>
  <c r="S6" i="75"/>
  <c r="T6" i="75"/>
  <c r="R6" i="75"/>
  <c r="P4" i="89"/>
  <c r="Q4" i="73"/>
  <c r="P4" i="90"/>
  <c r="S12" i="75"/>
  <c r="T12" i="75"/>
  <c r="R12" i="75"/>
  <c r="T34" i="72"/>
  <c r="S34" i="72"/>
  <c r="U34" i="72"/>
  <c r="U31" i="71"/>
  <c r="S31" i="71"/>
  <c r="T31" i="71"/>
  <c r="S38" i="72"/>
  <c r="U38" i="72"/>
  <c r="T38" i="72"/>
  <c r="S32" i="72"/>
  <c r="U32" i="72"/>
  <c r="T32" i="72"/>
  <c r="T30" i="72"/>
  <c r="U30" i="72"/>
  <c r="S30" i="72"/>
  <c r="S28" i="72"/>
  <c r="T28" i="72"/>
  <c r="U28" i="72"/>
  <c r="S26" i="72"/>
  <c r="T26" i="72"/>
  <c r="U26" i="72"/>
  <c r="T24" i="72"/>
  <c r="U24" i="72"/>
  <c r="S24" i="72"/>
  <c r="U22" i="72"/>
  <c r="T22" i="72"/>
  <c r="S22" i="72"/>
  <c r="R40" i="72"/>
  <c r="T20" i="72"/>
  <c r="S20" i="72"/>
  <c r="U20" i="72"/>
  <c r="AI19" i="34"/>
  <c r="R18" i="71"/>
  <c r="R14" i="74"/>
  <c r="T14" i="74"/>
  <c r="S14" i="74"/>
  <c r="P11" i="90"/>
  <c r="P11" i="89"/>
  <c r="Q11" i="73"/>
  <c r="AI11" i="34"/>
  <c r="R9" i="71"/>
  <c r="T6" i="74"/>
  <c r="R6" i="74"/>
  <c r="S6" i="74"/>
  <c r="U4" i="72"/>
  <c r="S4" i="72"/>
  <c r="T4" i="72"/>
  <c r="P37" i="90"/>
  <c r="Q37" i="73"/>
  <c r="P13" i="89"/>
  <c r="P13" i="90"/>
  <c r="Q13" i="73"/>
  <c r="T29" i="72"/>
  <c r="S29" i="72"/>
  <c r="U29" i="72"/>
  <c r="S37" i="71"/>
  <c r="U37" i="71"/>
  <c r="T37" i="71"/>
  <c r="U27" i="71"/>
  <c r="T27" i="71"/>
  <c r="S27" i="71"/>
  <c r="R35" i="75"/>
  <c r="S35" i="75"/>
  <c r="T35" i="75"/>
  <c r="U38" i="71"/>
  <c r="S38" i="71"/>
  <c r="T38" i="71"/>
  <c r="U32" i="71"/>
  <c r="T32" i="71"/>
  <c r="S32" i="71"/>
  <c r="U30" i="71"/>
  <c r="T30" i="71"/>
  <c r="S30" i="71"/>
  <c r="U28" i="71"/>
  <c r="T28" i="71"/>
  <c r="S28" i="71"/>
  <c r="S26" i="71"/>
  <c r="U26" i="71"/>
  <c r="T26" i="71"/>
  <c r="U24" i="71"/>
  <c r="S24" i="71"/>
  <c r="T24" i="71"/>
  <c r="R40" i="71"/>
  <c r="U22" i="71"/>
  <c r="T22" i="71"/>
  <c r="S22" i="71"/>
  <c r="T20" i="71"/>
  <c r="U20" i="71"/>
  <c r="S20" i="71"/>
  <c r="S17" i="75"/>
  <c r="R17" i="75"/>
  <c r="T17" i="75"/>
  <c r="P14" i="90"/>
  <c r="P14" i="89"/>
  <c r="Q14" i="73"/>
  <c r="U11" i="72"/>
  <c r="S11" i="72"/>
  <c r="T11" i="72"/>
  <c r="T8" i="75"/>
  <c r="S8" i="75"/>
  <c r="R8" i="75"/>
  <c r="P6" i="90"/>
  <c r="P6" i="89"/>
  <c r="Q6" i="73"/>
  <c r="AI6" i="34"/>
  <c r="R4" i="71"/>
  <c r="S38" i="75"/>
  <c r="T38" i="75"/>
  <c r="R38" i="75"/>
  <c r="U35" i="72"/>
  <c r="S35" i="72"/>
  <c r="T35" i="72"/>
  <c r="S35" i="71"/>
  <c r="U35" i="71"/>
  <c r="T35" i="71"/>
  <c r="R38" i="70"/>
  <c r="U38" i="70" s="1"/>
  <c r="P36" i="89"/>
  <c r="R35" i="70"/>
  <c r="S35" i="70" s="1"/>
  <c r="P34" i="89"/>
  <c r="R32" i="70"/>
  <c r="T32" i="70" s="1"/>
  <c r="P32" i="89"/>
  <c r="R30" i="70"/>
  <c r="T30" i="70" s="1"/>
  <c r="P30" i="89"/>
  <c r="R28" i="70"/>
  <c r="U28" i="70" s="1"/>
  <c r="P28" i="89"/>
  <c r="R26" i="70"/>
  <c r="P26" i="89"/>
  <c r="R24" i="70"/>
  <c r="P24" i="89"/>
  <c r="P22" i="89"/>
  <c r="S17" i="74"/>
  <c r="R17" i="74"/>
  <c r="T17" i="74"/>
  <c r="S14" i="72"/>
  <c r="U14" i="72"/>
  <c r="T14" i="72"/>
  <c r="AI13" i="34"/>
  <c r="R11" i="71"/>
  <c r="T8" i="74"/>
  <c r="R8" i="74"/>
  <c r="S8" i="74"/>
  <c r="T6" i="72"/>
  <c r="U6" i="72"/>
  <c r="S6" i="72"/>
  <c r="T3" i="75"/>
  <c r="Q16" i="75"/>
  <c r="R3" i="75"/>
  <c r="S3" i="75"/>
  <c r="P34" i="90"/>
  <c r="Q34" i="73"/>
  <c r="T39" i="75"/>
  <c r="S39" i="75"/>
  <c r="R39" i="75"/>
  <c r="R37" i="75"/>
  <c r="T37" i="75"/>
  <c r="S37" i="75"/>
  <c r="R34" i="75"/>
  <c r="S34" i="75"/>
  <c r="T34" i="75"/>
  <c r="R31" i="75"/>
  <c r="S31" i="75"/>
  <c r="T31" i="75"/>
  <c r="R29" i="75"/>
  <c r="T29" i="75"/>
  <c r="S29" i="75"/>
  <c r="R27" i="75"/>
  <c r="T27" i="75"/>
  <c r="S27" i="75"/>
  <c r="T25" i="75"/>
  <c r="R25" i="75"/>
  <c r="S25" i="75"/>
  <c r="T23" i="75"/>
  <c r="R23" i="75"/>
  <c r="S23" i="75"/>
  <c r="T21" i="75"/>
  <c r="R21" i="75"/>
  <c r="S21" i="75"/>
  <c r="T13" i="75"/>
  <c r="R13" i="75"/>
  <c r="S13" i="75"/>
  <c r="P17" i="89"/>
  <c r="Q17" i="73"/>
  <c r="P17" i="90"/>
  <c r="AI16" i="34"/>
  <c r="R14" i="71"/>
  <c r="R10" i="75"/>
  <c r="T10" i="75"/>
  <c r="S10" i="75"/>
  <c r="P8" i="89"/>
  <c r="Q8" i="73"/>
  <c r="P8" i="90"/>
  <c r="AI8" i="34"/>
  <c r="R6" i="71"/>
  <c r="S3" i="74"/>
  <c r="R3" i="74"/>
  <c r="T3" i="74"/>
  <c r="Q16" i="74"/>
  <c r="R22" i="70"/>
  <c r="S22" i="70" s="1"/>
  <c r="S34" i="74"/>
  <c r="T34" i="74"/>
  <c r="R34" i="74"/>
  <c r="T31" i="74"/>
  <c r="R31" i="74"/>
  <c r="S31" i="74"/>
  <c r="S29" i="74"/>
  <c r="R29" i="74"/>
  <c r="T29" i="74"/>
  <c r="S27" i="74"/>
  <c r="R27" i="74"/>
  <c r="T27" i="74"/>
  <c r="R25" i="74"/>
  <c r="T25" i="74"/>
  <c r="S25" i="74"/>
  <c r="S23" i="74"/>
  <c r="T23" i="74"/>
  <c r="R23" i="74"/>
  <c r="S21" i="74"/>
  <c r="T21" i="74"/>
  <c r="R21" i="74"/>
  <c r="R13" i="74"/>
  <c r="T13" i="74"/>
  <c r="S13" i="74"/>
  <c r="U17" i="72"/>
  <c r="T17" i="72"/>
  <c r="S17" i="72"/>
  <c r="S10" i="74"/>
  <c r="T10" i="74"/>
  <c r="R10" i="74"/>
  <c r="U8" i="72"/>
  <c r="S8" i="72"/>
  <c r="T8" i="72"/>
  <c r="T5" i="75"/>
  <c r="R5" i="75"/>
  <c r="S5" i="75"/>
  <c r="P3" i="89"/>
  <c r="Q3" i="73"/>
  <c r="P3" i="90"/>
  <c r="S5" i="74"/>
  <c r="R5" i="74"/>
  <c r="T5" i="74"/>
  <c r="T3" i="72"/>
  <c r="R16" i="72"/>
  <c r="S3" i="72"/>
  <c r="U3" i="72"/>
  <c r="P10" i="90"/>
  <c r="P10" i="89"/>
  <c r="Q10" i="73"/>
  <c r="T27" i="72"/>
  <c r="U27" i="72"/>
  <c r="S27" i="72"/>
  <c r="T21" i="72"/>
  <c r="U21" i="72"/>
  <c r="S21" i="72"/>
  <c r="T13" i="72"/>
  <c r="S13" i="72"/>
  <c r="U13" i="72"/>
  <c r="T15" i="75"/>
  <c r="R15" i="75"/>
  <c r="S15" i="75"/>
  <c r="R12" i="74"/>
  <c r="T12" i="74"/>
  <c r="S12" i="74"/>
  <c r="T10" i="72"/>
  <c r="U10" i="72"/>
  <c r="S10" i="72"/>
  <c r="T7" i="75"/>
  <c r="R7" i="75"/>
  <c r="S7" i="75"/>
  <c r="Q5" i="73"/>
  <c r="P5" i="90"/>
  <c r="P5" i="89"/>
  <c r="AI5" i="34"/>
  <c r="R3" i="71"/>
  <c r="T5" i="72"/>
  <c r="U5" i="72"/>
  <c r="S5" i="72"/>
  <c r="S36" i="70"/>
  <c r="T33" i="70"/>
  <c r="T36" i="70"/>
  <c r="U33" i="70"/>
  <c r="AJ40" i="34"/>
  <c r="AI40" i="34"/>
  <c r="AL40" i="34"/>
  <c r="AK40" i="34"/>
  <c r="AN40" i="34"/>
  <c r="AM40" i="34"/>
  <c r="AP37" i="34"/>
  <c r="AO20" i="34" l="1"/>
  <c r="U13" i="86" s="1"/>
  <c r="T21" i="70"/>
  <c r="U21" i="70"/>
  <c r="T34" i="70"/>
  <c r="U34" i="70"/>
  <c r="R14" i="70"/>
  <c r="U14" i="70" s="1"/>
  <c r="AO16" i="34"/>
  <c r="U14" i="86" s="1"/>
  <c r="R9" i="70"/>
  <c r="AO11" i="34"/>
  <c r="U9" i="86" s="1"/>
  <c r="R8" i="70"/>
  <c r="AO10" i="34"/>
  <c r="U8" i="86" s="1"/>
  <c r="R5" i="70"/>
  <c r="AO7" i="34"/>
  <c r="U5" i="86" s="1"/>
  <c r="R11" i="70"/>
  <c r="AO13" i="34"/>
  <c r="U11" i="86" s="1"/>
  <c r="AO40" i="34"/>
  <c r="U20" i="86"/>
  <c r="R10" i="70"/>
  <c r="AO12" i="34"/>
  <c r="U10" i="86" s="1"/>
  <c r="R15" i="70"/>
  <c r="AO17" i="34"/>
  <c r="U15" i="86" s="1"/>
  <c r="U17" i="71"/>
  <c r="S17" i="71"/>
  <c r="R4" i="70"/>
  <c r="AO6" i="34"/>
  <c r="U4" i="86" s="1"/>
  <c r="R7" i="70"/>
  <c r="AO9" i="34"/>
  <c r="U7" i="86" s="1"/>
  <c r="R3" i="70"/>
  <c r="U3" i="70" s="1"/>
  <c r="AO5" i="34"/>
  <c r="R18" i="70"/>
  <c r="AO19" i="34"/>
  <c r="U18" i="86" s="1"/>
  <c r="R12" i="70"/>
  <c r="U12" i="70" s="1"/>
  <c r="AO14" i="34"/>
  <c r="U12" i="86" s="1"/>
  <c r="R6" i="70"/>
  <c r="AO8" i="34"/>
  <c r="U6" i="86" s="1"/>
  <c r="T38" i="70"/>
  <c r="S25" i="70"/>
  <c r="S38" i="70"/>
  <c r="T25" i="70"/>
  <c r="S39" i="70"/>
  <c r="S27" i="70"/>
  <c r="R13" i="70"/>
  <c r="U13" i="70" s="1"/>
  <c r="T39" i="70"/>
  <c r="T27" i="70"/>
  <c r="T37" i="70"/>
  <c r="T23" i="70"/>
  <c r="S37" i="70"/>
  <c r="U30" i="70"/>
  <c r="T35" i="70"/>
  <c r="U35" i="70"/>
  <c r="AI21" i="34"/>
  <c r="S30" i="70"/>
  <c r="U31" i="70"/>
  <c r="U32" i="70"/>
  <c r="S31" i="70"/>
  <c r="S28" i="70"/>
  <c r="S20" i="75"/>
  <c r="Q40" i="75"/>
  <c r="T20" i="75"/>
  <c r="R20" i="75"/>
  <c r="T22" i="70"/>
  <c r="U3" i="71"/>
  <c r="R16" i="71"/>
  <c r="R19" i="71" s="1"/>
  <c r="R41" i="71" s="1"/>
  <c r="S3" i="71"/>
  <c r="T3" i="71"/>
  <c r="R40" i="70"/>
  <c r="S32" i="70"/>
  <c r="U22" i="70"/>
  <c r="Q16" i="73"/>
  <c r="S4" i="71"/>
  <c r="T4" i="71"/>
  <c r="U4" i="71"/>
  <c r="S7" i="71"/>
  <c r="U7" i="71"/>
  <c r="T7" i="71"/>
  <c r="U18" i="71"/>
  <c r="T18" i="71"/>
  <c r="S18" i="71"/>
  <c r="U12" i="71"/>
  <c r="T12" i="71"/>
  <c r="S12" i="71"/>
  <c r="U13" i="71"/>
  <c r="T13" i="71"/>
  <c r="S13" i="71"/>
  <c r="S11" i="71"/>
  <c r="U11" i="71"/>
  <c r="T11" i="71"/>
  <c r="Q19" i="74"/>
  <c r="Q41" i="74" s="1"/>
  <c r="S14" i="71"/>
  <c r="U14" i="71"/>
  <c r="T14" i="71"/>
  <c r="T39" i="73"/>
  <c r="S39" i="73"/>
  <c r="R39" i="73"/>
  <c r="U23" i="70"/>
  <c r="R19" i="72"/>
  <c r="R41" i="72" s="1"/>
  <c r="T9" i="71"/>
  <c r="S9" i="71"/>
  <c r="U9" i="71"/>
  <c r="T8" i="71"/>
  <c r="S8" i="71"/>
  <c r="U8" i="71"/>
  <c r="U5" i="71"/>
  <c r="T5" i="71"/>
  <c r="S5" i="71"/>
  <c r="P16" i="89"/>
  <c r="P38" i="89"/>
  <c r="T28" i="70"/>
  <c r="U6" i="71"/>
  <c r="S6" i="71"/>
  <c r="T6" i="71"/>
  <c r="Q40" i="73"/>
  <c r="Q19" i="75"/>
  <c r="U15" i="71"/>
  <c r="S15" i="71"/>
  <c r="T15" i="71"/>
  <c r="S10" i="71"/>
  <c r="U10" i="71"/>
  <c r="T10" i="71"/>
  <c r="AN21" i="34"/>
  <c r="AN41" i="34" s="1"/>
  <c r="AK21" i="34"/>
  <c r="AK41" i="34" s="1"/>
  <c r="AM21" i="34"/>
  <c r="AM41" i="34" s="1"/>
  <c r="AL21" i="34"/>
  <c r="AL41" i="34" s="1"/>
  <c r="AJ21" i="34"/>
  <c r="S14" i="70" l="1"/>
  <c r="T14" i="70"/>
  <c r="T12" i="70"/>
  <c r="T3" i="70"/>
  <c r="U3" i="86"/>
  <c r="AO21" i="34"/>
  <c r="AO41" i="34" s="1"/>
  <c r="S12" i="70"/>
  <c r="U40" i="86"/>
  <c r="S3" i="70"/>
  <c r="AI41" i="34"/>
  <c r="R16" i="70"/>
  <c r="R19" i="70" s="1"/>
  <c r="R41" i="70" s="1"/>
  <c r="S13" i="70"/>
  <c r="T13" i="70"/>
  <c r="Q41" i="75"/>
  <c r="Q19" i="73"/>
  <c r="P19" i="89"/>
  <c r="AJ41" i="34"/>
  <c r="U16" i="86" l="1"/>
  <c r="U19" i="86" s="1"/>
  <c r="U41" i="86" s="1"/>
  <c r="P39" i="89"/>
  <c r="P40" i="89" s="1"/>
  <c r="Q41" i="73"/>
  <c r="P41" i="89" l="1"/>
  <c r="G17" i="70" l="1"/>
  <c r="Z39" i="70"/>
  <c r="Z38" i="70"/>
  <c r="Z37" i="70"/>
  <c r="Z36" i="70"/>
  <c r="Z35" i="70"/>
  <c r="Z34" i="70"/>
  <c r="Z33" i="70"/>
  <c r="Z32" i="70"/>
  <c r="Z31" i="70"/>
  <c r="Z30" i="70"/>
  <c r="Z28" i="70"/>
  <c r="Z27" i="70"/>
  <c r="Z25" i="70"/>
  <c r="Z23" i="70"/>
  <c r="Z22" i="70"/>
  <c r="Z21" i="70"/>
  <c r="Z14" i="70"/>
  <c r="Z13" i="70"/>
  <c r="Z12" i="70"/>
  <c r="Z3" i="70"/>
  <c r="Y14" i="70"/>
  <c r="Y13" i="70"/>
  <c r="Y12" i="70"/>
  <c r="Y3" i="70"/>
  <c r="Y39" i="70"/>
  <c r="Y38" i="70"/>
  <c r="Y37" i="70"/>
  <c r="Y36" i="70"/>
  <c r="Y35" i="70"/>
  <c r="Y34" i="70"/>
  <c r="Y33" i="70"/>
  <c r="Y32" i="70"/>
  <c r="Y31" i="70"/>
  <c r="Y30" i="70"/>
  <c r="Y28" i="70"/>
  <c r="Y27" i="70"/>
  <c r="Y25" i="70"/>
  <c r="Y23" i="70"/>
  <c r="Y22" i="70"/>
  <c r="Y21" i="70"/>
  <c r="O37" i="70"/>
  <c r="O36" i="70"/>
  <c r="O33" i="70"/>
  <c r="N37" i="70"/>
  <c r="N36" i="70"/>
  <c r="N33" i="70"/>
  <c r="J39" i="70"/>
  <c r="J33" i="70"/>
  <c r="Z7" i="70" l="1"/>
  <c r="T7" i="70"/>
  <c r="S7" i="70"/>
  <c r="U7" i="70"/>
  <c r="Z24" i="70"/>
  <c r="S24" i="70"/>
  <c r="U24" i="70"/>
  <c r="T24" i="70"/>
  <c r="Z8" i="70"/>
  <c r="T8" i="70"/>
  <c r="S8" i="70"/>
  <c r="U8" i="70"/>
  <c r="Z6" i="70"/>
  <c r="T6" i="70"/>
  <c r="U6" i="70"/>
  <c r="S6" i="70"/>
  <c r="Z26" i="70"/>
  <c r="U26" i="70"/>
  <c r="T26" i="70"/>
  <c r="S26" i="70"/>
  <c r="Z20" i="70"/>
  <c r="T20" i="70"/>
  <c r="S20" i="70"/>
  <c r="U20" i="70"/>
  <c r="Y9" i="70"/>
  <c r="T9" i="70"/>
  <c r="S9" i="70"/>
  <c r="U9" i="70"/>
  <c r="Y29" i="70"/>
  <c r="U29" i="70"/>
  <c r="T29" i="70"/>
  <c r="S29" i="70"/>
  <c r="Z4" i="70"/>
  <c r="U4" i="70"/>
  <c r="T4" i="70"/>
  <c r="S4" i="70"/>
  <c r="Y5" i="70"/>
  <c r="U5" i="70"/>
  <c r="T5" i="70"/>
  <c r="S5" i="70"/>
  <c r="Z10" i="70"/>
  <c r="S10" i="70"/>
  <c r="U10" i="70"/>
  <c r="T10" i="70"/>
  <c r="Y11" i="70"/>
  <c r="S11" i="70"/>
  <c r="U11" i="70"/>
  <c r="T11" i="70"/>
  <c r="Z15" i="70"/>
  <c r="U15" i="70"/>
  <c r="T15" i="70"/>
  <c r="S15" i="70"/>
  <c r="Z17" i="70"/>
  <c r="U17" i="70"/>
  <c r="T17" i="70"/>
  <c r="S17" i="70"/>
  <c r="Y18" i="70"/>
  <c r="U18" i="70"/>
  <c r="T18" i="70"/>
  <c r="S18" i="70"/>
  <c r="Z29" i="70"/>
  <c r="Y26" i="70"/>
  <c r="Y20" i="70"/>
  <c r="Y24" i="70"/>
  <c r="Y10" i="70"/>
  <c r="Z5" i="70"/>
  <c r="Z11" i="70"/>
  <c r="Z18" i="70"/>
  <c r="Y17" i="70"/>
  <c r="Y15" i="70"/>
  <c r="Z9" i="70"/>
  <c r="Y8" i="70"/>
  <c r="Y7" i="70"/>
  <c r="Y6" i="70"/>
  <c r="Y4" i="70"/>
  <c r="I35" i="34"/>
  <c r="M34" i="34"/>
  <c r="O33" i="34"/>
  <c r="O6" i="91"/>
  <c r="O7" i="91"/>
  <c r="O8" i="91"/>
  <c r="O9" i="91"/>
  <c r="O10" i="91"/>
  <c r="O11" i="91"/>
  <c r="O12" i="91"/>
  <c r="O13" i="91"/>
  <c r="O14" i="91"/>
  <c r="O15" i="91"/>
  <c r="O16" i="91"/>
  <c r="O17" i="91"/>
  <c r="O18" i="91"/>
  <c r="O19" i="91"/>
  <c r="O20" i="91"/>
  <c r="O21" i="91"/>
  <c r="O22" i="91"/>
  <c r="O23" i="91"/>
  <c r="O24" i="91"/>
  <c r="O25" i="91"/>
  <c r="O26" i="91"/>
  <c r="O27" i="91"/>
  <c r="O28" i="91"/>
  <c r="O29" i="91"/>
  <c r="O30" i="91"/>
  <c r="O31" i="91"/>
  <c r="O32" i="91"/>
  <c r="O33" i="91"/>
  <c r="O34" i="91"/>
  <c r="O35" i="91"/>
  <c r="J2" i="91" s="1"/>
  <c r="O36" i="91"/>
  <c r="O37" i="91"/>
  <c r="O38" i="91"/>
  <c r="O5" i="91"/>
  <c r="B46" i="91"/>
  <c r="C46" i="91"/>
  <c r="F31" i="34"/>
  <c r="K31" i="34" s="1"/>
  <c r="I2" i="91" l="1"/>
  <c r="H2" i="91"/>
  <c r="F2" i="91"/>
  <c r="E2" i="91"/>
  <c r="D2" i="91"/>
  <c r="G2" i="91"/>
  <c r="L2" i="91"/>
  <c r="K2" i="91"/>
  <c r="M2" i="91"/>
  <c r="G31" i="34"/>
  <c r="H31" i="34"/>
  <c r="J31" i="34"/>
  <c r="I31" i="34"/>
  <c r="L31" i="34"/>
  <c r="M31" i="34"/>
  <c r="N31" i="34"/>
  <c r="M29" i="73" s="1"/>
  <c r="N29" i="73" s="1"/>
  <c r="O31" i="34"/>
  <c r="P31" i="34"/>
  <c r="S23" i="34"/>
  <c r="AE22" i="34"/>
  <c r="AD22" i="34"/>
  <c r="AC22" i="34"/>
  <c r="AB22" i="34"/>
  <c r="AA22" i="34"/>
  <c r="Z22" i="34"/>
  <c r="Y22" i="34"/>
  <c r="X22" i="34"/>
  <c r="W22" i="34"/>
  <c r="V22" i="34"/>
  <c r="U22" i="34"/>
  <c r="S22" i="34"/>
  <c r="U6" i="34"/>
  <c r="V6" i="34"/>
  <c r="W6" i="34"/>
  <c r="X6" i="34"/>
  <c r="Y6" i="34"/>
  <c r="Z6" i="34"/>
  <c r="AA6" i="34"/>
  <c r="AB6" i="34"/>
  <c r="AC6" i="34"/>
  <c r="AD6" i="34"/>
  <c r="AE6" i="34"/>
  <c r="U7" i="34"/>
  <c r="V7" i="34"/>
  <c r="W7" i="34"/>
  <c r="X7" i="34"/>
  <c r="Y7" i="34"/>
  <c r="Z7" i="34"/>
  <c r="AA7" i="34"/>
  <c r="AB7" i="34"/>
  <c r="AC7" i="34"/>
  <c r="AD7" i="34"/>
  <c r="AE7" i="34"/>
  <c r="U8" i="34"/>
  <c r="V8" i="34"/>
  <c r="W8" i="34"/>
  <c r="X8" i="34"/>
  <c r="Y8" i="34"/>
  <c r="Z8" i="34"/>
  <c r="AA8" i="34"/>
  <c r="AB8" i="34"/>
  <c r="AC8" i="34"/>
  <c r="AD8" i="34"/>
  <c r="AE8" i="34"/>
  <c r="U9" i="34"/>
  <c r="V9" i="34"/>
  <c r="W9" i="34"/>
  <c r="X9" i="34"/>
  <c r="Y9" i="34"/>
  <c r="Z9" i="34"/>
  <c r="AA9" i="34"/>
  <c r="AB9" i="34"/>
  <c r="AC9" i="34"/>
  <c r="AD9" i="34"/>
  <c r="AE9" i="34"/>
  <c r="U10" i="34"/>
  <c r="V10" i="34"/>
  <c r="W10" i="34"/>
  <c r="X10" i="34"/>
  <c r="Y10" i="34"/>
  <c r="Z10" i="34"/>
  <c r="AA10" i="34"/>
  <c r="AB10" i="34"/>
  <c r="AC10" i="34"/>
  <c r="AD10" i="34"/>
  <c r="AE10" i="34"/>
  <c r="U11" i="34"/>
  <c r="V11" i="34"/>
  <c r="W11" i="34"/>
  <c r="X11" i="34"/>
  <c r="Y11" i="34"/>
  <c r="Z11" i="34"/>
  <c r="AA11" i="34"/>
  <c r="AB11" i="34"/>
  <c r="AC11" i="34"/>
  <c r="AD11" i="34"/>
  <c r="AE11" i="34"/>
  <c r="U12" i="34"/>
  <c r="V12" i="34"/>
  <c r="W12" i="34"/>
  <c r="X12" i="34"/>
  <c r="Y12" i="34"/>
  <c r="Z12" i="34"/>
  <c r="AA12" i="34"/>
  <c r="AB12" i="34"/>
  <c r="AC12" i="34"/>
  <c r="AD12" i="34"/>
  <c r="AE12" i="34"/>
  <c r="U13" i="34"/>
  <c r="V13" i="34"/>
  <c r="W13" i="34"/>
  <c r="X13" i="34"/>
  <c r="Y13" i="34"/>
  <c r="Z13" i="34"/>
  <c r="AA13" i="34"/>
  <c r="AB13" i="34"/>
  <c r="AC13" i="34"/>
  <c r="AD13" i="34"/>
  <c r="AE13" i="34"/>
  <c r="U14" i="34"/>
  <c r="V14" i="34"/>
  <c r="W14" i="34"/>
  <c r="X14" i="34"/>
  <c r="Y14" i="34"/>
  <c r="Z14" i="34"/>
  <c r="AA14" i="34"/>
  <c r="AB14" i="34"/>
  <c r="AC14" i="34"/>
  <c r="AD14" i="34"/>
  <c r="AE14" i="34"/>
  <c r="U15" i="34"/>
  <c r="V15" i="34"/>
  <c r="W15" i="34"/>
  <c r="X15" i="34"/>
  <c r="Y15" i="34"/>
  <c r="Z15" i="34"/>
  <c r="AA15" i="34"/>
  <c r="AB15" i="34"/>
  <c r="AC15" i="34"/>
  <c r="AD15" i="34"/>
  <c r="AE15" i="34"/>
  <c r="U16" i="34"/>
  <c r="V16" i="34"/>
  <c r="W16" i="34"/>
  <c r="X16" i="34"/>
  <c r="Y16" i="34"/>
  <c r="Z16" i="34"/>
  <c r="AA16" i="34"/>
  <c r="AB16" i="34"/>
  <c r="AC16" i="34"/>
  <c r="AD16" i="34"/>
  <c r="AE16" i="34"/>
  <c r="U17" i="34"/>
  <c r="V17" i="34"/>
  <c r="W17" i="34"/>
  <c r="X17" i="34"/>
  <c r="Y17" i="34"/>
  <c r="Z17" i="34"/>
  <c r="AA17" i="34"/>
  <c r="AB17" i="34"/>
  <c r="AC17" i="34"/>
  <c r="AD17" i="34"/>
  <c r="AE17" i="34"/>
  <c r="U18" i="34"/>
  <c r="V18" i="34"/>
  <c r="W18" i="34"/>
  <c r="X18" i="34"/>
  <c r="Y18" i="34"/>
  <c r="Z18" i="34"/>
  <c r="AA18" i="34"/>
  <c r="AB18" i="34"/>
  <c r="AC18" i="34"/>
  <c r="AD18" i="34"/>
  <c r="AE18" i="34"/>
  <c r="U19" i="34"/>
  <c r="V19" i="34"/>
  <c r="W19" i="34"/>
  <c r="X19" i="34"/>
  <c r="Y19" i="34"/>
  <c r="Z19" i="34"/>
  <c r="AA19" i="34"/>
  <c r="AB19" i="34"/>
  <c r="AC19" i="34"/>
  <c r="AD19" i="34"/>
  <c r="AE19" i="34"/>
  <c r="U20" i="34"/>
  <c r="V20" i="34"/>
  <c r="W20" i="34"/>
  <c r="X20" i="34"/>
  <c r="Y20" i="34"/>
  <c r="Z20" i="34"/>
  <c r="AA20" i="34"/>
  <c r="AB20" i="34"/>
  <c r="AC20" i="34"/>
  <c r="AD20" i="34"/>
  <c r="AE20" i="34"/>
  <c r="S6" i="34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39" i="34"/>
  <c r="S38" i="34"/>
  <c r="S36" i="34"/>
  <c r="S35" i="34"/>
  <c r="S34" i="34"/>
  <c r="S33" i="34"/>
  <c r="S32" i="34"/>
  <c r="S31" i="34"/>
  <c r="S30" i="34"/>
  <c r="S29" i="34"/>
  <c r="S28" i="34"/>
  <c r="S27" i="34"/>
  <c r="S26" i="34"/>
  <c r="S25" i="34"/>
  <c r="S24" i="34"/>
  <c r="S5" i="34"/>
  <c r="AP14" i="34" l="1"/>
  <c r="AP15" i="34"/>
  <c r="AS15" i="34"/>
  <c r="AP16" i="34"/>
  <c r="AP22" i="34"/>
  <c r="AP13" i="34"/>
  <c r="AP17" i="34"/>
  <c r="AP18" i="34"/>
  <c r="AP6" i="34"/>
  <c r="AP7" i="34"/>
  <c r="AP20" i="34"/>
  <c r="AP8" i="34"/>
  <c r="AP19" i="34"/>
  <c r="AP10" i="34"/>
  <c r="AP9" i="34"/>
  <c r="AP11" i="34"/>
  <c r="AP12" i="34"/>
  <c r="T37" i="34"/>
  <c r="F24" i="34"/>
  <c r="I23" i="34"/>
  <c r="P23" i="34"/>
  <c r="N23" i="34"/>
  <c r="M21" i="73" s="1"/>
  <c r="K23" i="34"/>
  <c r="F23" i="34"/>
  <c r="AT15" i="34" l="1"/>
  <c r="AU15" i="34" s="1"/>
  <c r="AV15" i="34" s="1"/>
  <c r="AW15" i="34" s="1"/>
  <c r="N21" i="73"/>
  <c r="M40" i="73"/>
  <c r="Y23" i="34"/>
  <c r="X23" i="34"/>
  <c r="W23" i="34"/>
  <c r="V23" i="34"/>
  <c r="U23" i="34"/>
  <c r="AD23" i="34"/>
  <c r="Z23" i="34"/>
  <c r="AE23" i="34"/>
  <c r="AC23" i="34"/>
  <c r="AB23" i="34"/>
  <c r="AA23" i="34"/>
  <c r="G16" i="65"/>
  <c r="G19" i="65" s="1"/>
  <c r="G16" i="66"/>
  <c r="G19" i="66" s="1"/>
  <c r="G16" i="67"/>
  <c r="G19" i="67" s="1"/>
  <c r="G16" i="68"/>
  <c r="G19" i="68" s="1"/>
  <c r="G16" i="69"/>
  <c r="G19" i="69" s="1"/>
  <c r="H16" i="70"/>
  <c r="H16" i="71"/>
  <c r="H16" i="72"/>
  <c r="H16" i="73"/>
  <c r="H16" i="74"/>
  <c r="H16" i="75"/>
  <c r="G20" i="76"/>
  <c r="H35" i="82"/>
  <c r="G27" i="77"/>
  <c r="G25" i="77"/>
  <c r="H23" i="82"/>
  <c r="H22" i="80"/>
  <c r="G21" i="87"/>
  <c r="G12" i="79"/>
  <c r="G11" i="76"/>
  <c r="G8" i="78"/>
  <c r="G7" i="78"/>
  <c r="G4" i="2"/>
  <c r="G5" i="2"/>
  <c r="G5" i="78" s="1"/>
  <c r="G40" i="2"/>
  <c r="G39" i="77"/>
  <c r="G38" i="79"/>
  <c r="H37" i="81"/>
  <c r="G36" i="78"/>
  <c r="H32" i="84"/>
  <c r="G31" i="76"/>
  <c r="G26" i="76"/>
  <c r="G25" i="79"/>
  <c r="G24" i="79"/>
  <c r="G23" i="78"/>
  <c r="G18" i="76"/>
  <c r="G17" i="78"/>
  <c r="H15" i="81"/>
  <c r="G14" i="87"/>
  <c r="H13" i="81"/>
  <c r="G11" i="79"/>
  <c r="G29" i="76"/>
  <c r="G30" i="78"/>
  <c r="G34" i="76"/>
  <c r="G35" i="76"/>
  <c r="G9" i="76"/>
  <c r="G25" i="76"/>
  <c r="G31" i="77"/>
  <c r="G34" i="87"/>
  <c r="G10" i="76"/>
  <c r="G24" i="76"/>
  <c r="G33" i="76"/>
  <c r="G39" i="76"/>
  <c r="G18" i="77"/>
  <c r="G40" i="66"/>
  <c r="H24" i="84"/>
  <c r="G37" i="77"/>
  <c r="G10" i="77"/>
  <c r="G21" i="77"/>
  <c r="G24" i="77"/>
  <c r="G26" i="77"/>
  <c r="G32" i="77"/>
  <c r="G33" i="77"/>
  <c r="G35" i="77"/>
  <c r="G36" i="77"/>
  <c r="G9" i="87"/>
  <c r="G10" i="87"/>
  <c r="G23" i="87"/>
  <c r="G26" i="87"/>
  <c r="G32" i="87"/>
  <c r="G33" i="87"/>
  <c r="G35" i="87"/>
  <c r="G36" i="87"/>
  <c r="G9" i="79"/>
  <c r="G10" i="78"/>
  <c r="G18" i="78"/>
  <c r="G40" i="67"/>
  <c r="G32" i="79"/>
  <c r="G34" i="79"/>
  <c r="G35" i="78"/>
  <c r="G9" i="78"/>
  <c r="G15" i="78"/>
  <c r="G21" i="78"/>
  <c r="G26" i="78"/>
  <c r="G31" i="78"/>
  <c r="G32" i="78"/>
  <c r="G33" i="78"/>
  <c r="G34" i="78"/>
  <c r="G39" i="78"/>
  <c r="G3" i="88"/>
  <c r="G6" i="88"/>
  <c r="G13" i="79"/>
  <c r="G15" i="88"/>
  <c r="G25" i="88"/>
  <c r="G26" i="79"/>
  <c r="G28" i="88"/>
  <c r="G31" i="88"/>
  <c r="G40" i="68"/>
  <c r="G21" i="79"/>
  <c r="G33" i="79"/>
  <c r="G36" i="79"/>
  <c r="G37" i="79"/>
  <c r="G39" i="79"/>
  <c r="H9" i="80"/>
  <c r="G11" i="88"/>
  <c r="H21" i="85"/>
  <c r="G24" i="88"/>
  <c r="H34" i="80"/>
  <c r="G36" i="88"/>
  <c r="G37" i="88"/>
  <c r="H10" i="80"/>
  <c r="H20" i="80"/>
  <c r="H21" i="80"/>
  <c r="H23" i="80"/>
  <c r="H32" i="80"/>
  <c r="H33" i="80"/>
  <c r="G4" i="88"/>
  <c r="G5" i="88"/>
  <c r="G7" i="88"/>
  <c r="G10" i="88"/>
  <c r="G17" i="88"/>
  <c r="G18" i="88"/>
  <c r="G20" i="88"/>
  <c r="G23" i="88"/>
  <c r="G29" i="88"/>
  <c r="G30" i="88"/>
  <c r="G32" i="88"/>
  <c r="G33" i="88"/>
  <c r="G39" i="88"/>
  <c r="H31" i="81"/>
  <c r="H32" i="81"/>
  <c r="H10" i="81"/>
  <c r="H23" i="81"/>
  <c r="H26" i="81"/>
  <c r="H33" i="81"/>
  <c r="H39" i="81"/>
  <c r="H9" i="89"/>
  <c r="Q9" i="89" s="1"/>
  <c r="H10" i="82"/>
  <c r="H12" i="89"/>
  <c r="Q12" i="89" s="1"/>
  <c r="H40" i="71"/>
  <c r="H25" i="89"/>
  <c r="Q25" i="89" s="1"/>
  <c r="H36" i="84"/>
  <c r="H37" i="89"/>
  <c r="Q37" i="89" s="1"/>
  <c r="H9" i="82"/>
  <c r="H21" i="82"/>
  <c r="H33" i="82"/>
  <c r="H34" i="82"/>
  <c r="H39" i="82"/>
  <c r="H8" i="89"/>
  <c r="Q8" i="89" s="1"/>
  <c r="H18" i="89"/>
  <c r="Q18" i="89" s="1"/>
  <c r="H40" i="72"/>
  <c r="H21" i="89"/>
  <c r="Q21" i="89" s="1"/>
  <c r="H24" i="89"/>
  <c r="Q24" i="89" s="1"/>
  <c r="H28" i="89"/>
  <c r="Q28" i="89" s="1"/>
  <c r="H31" i="83"/>
  <c r="H34" i="89"/>
  <c r="Q34" i="89" s="1"/>
  <c r="H18" i="83"/>
  <c r="H20" i="83"/>
  <c r="H30" i="83"/>
  <c r="H32" i="83"/>
  <c r="H33" i="83"/>
  <c r="H39" i="83"/>
  <c r="H3" i="89"/>
  <c r="H4" i="89"/>
  <c r="Q4" i="89" s="1"/>
  <c r="H7" i="89"/>
  <c r="Q7" i="89" s="1"/>
  <c r="H11" i="89"/>
  <c r="Q11" i="89" s="1"/>
  <c r="H13" i="89"/>
  <c r="Q13" i="89" s="1"/>
  <c r="H14" i="89"/>
  <c r="Q14" i="89" s="1"/>
  <c r="H15" i="89"/>
  <c r="Q15" i="89" s="1"/>
  <c r="H17" i="89"/>
  <c r="Q17" i="89" s="1"/>
  <c r="H20" i="89"/>
  <c r="Q20" i="89" s="1"/>
  <c r="H26" i="89"/>
  <c r="Q26" i="89" s="1"/>
  <c r="H27" i="89"/>
  <c r="Q27" i="89" s="1"/>
  <c r="H29" i="89"/>
  <c r="Q29" i="89" s="1"/>
  <c r="H32" i="89"/>
  <c r="Q32" i="89" s="1"/>
  <c r="H33" i="89"/>
  <c r="Q33" i="89" s="1"/>
  <c r="H38" i="89"/>
  <c r="Q38" i="89" s="1"/>
  <c r="H39" i="89"/>
  <c r="Q39" i="89" s="1"/>
  <c r="H40" i="73"/>
  <c r="H32" i="90"/>
  <c r="O36" i="73"/>
  <c r="O37" i="73"/>
  <c r="H10" i="84"/>
  <c r="H20" i="84"/>
  <c r="H23" i="84"/>
  <c r="H33" i="84"/>
  <c r="H34" i="84"/>
  <c r="H6" i="90"/>
  <c r="H20" i="85"/>
  <c r="H32" i="85"/>
  <c r="H35" i="90"/>
  <c r="H38" i="90"/>
  <c r="H31" i="85"/>
  <c r="H33" i="85"/>
  <c r="H33" i="86"/>
  <c r="H3" i="90"/>
  <c r="H4" i="90"/>
  <c r="H5" i="90"/>
  <c r="H12" i="90"/>
  <c r="H15" i="90"/>
  <c r="H17" i="90"/>
  <c r="H18" i="90"/>
  <c r="H25" i="90"/>
  <c r="H28" i="90"/>
  <c r="H29" i="90"/>
  <c r="H30" i="90"/>
  <c r="H33" i="90"/>
  <c r="H36" i="90"/>
  <c r="H39" i="90"/>
  <c r="H8" i="90"/>
  <c r="H9" i="90"/>
  <c r="H13" i="90"/>
  <c r="H14" i="90"/>
  <c r="H40" i="75"/>
  <c r="H22" i="90"/>
  <c r="H26" i="90"/>
  <c r="H27" i="90"/>
  <c r="G38" i="75"/>
  <c r="G37" i="75"/>
  <c r="G36" i="75"/>
  <c r="G35" i="75"/>
  <c r="G34" i="75"/>
  <c r="G32" i="75"/>
  <c r="G31" i="75"/>
  <c r="G30" i="75"/>
  <c r="G29" i="75"/>
  <c r="G28" i="75"/>
  <c r="G27" i="75"/>
  <c r="G26" i="75"/>
  <c r="G25" i="75"/>
  <c r="G24" i="75"/>
  <c r="G23" i="75"/>
  <c r="G22" i="75"/>
  <c r="G21" i="75"/>
  <c r="G20" i="75"/>
  <c r="G18" i="75"/>
  <c r="G17" i="75"/>
  <c r="G15" i="75"/>
  <c r="G14" i="75"/>
  <c r="G13" i="75"/>
  <c r="G12" i="75"/>
  <c r="G11" i="75"/>
  <c r="G10" i="75"/>
  <c r="G9" i="75"/>
  <c r="G8" i="75"/>
  <c r="G7" i="75"/>
  <c r="G5" i="75"/>
  <c r="G4" i="75"/>
  <c r="G3" i="75"/>
  <c r="G38" i="74"/>
  <c r="X38" i="74" s="1"/>
  <c r="G37" i="74"/>
  <c r="G36" i="74"/>
  <c r="G35" i="74"/>
  <c r="G34" i="74"/>
  <c r="G32" i="74"/>
  <c r="G31" i="74"/>
  <c r="G30" i="74"/>
  <c r="G29" i="74"/>
  <c r="X29" i="74" s="1"/>
  <c r="G28" i="74"/>
  <c r="G27" i="74"/>
  <c r="X27" i="74" s="1"/>
  <c r="G26" i="74"/>
  <c r="X26" i="74" s="1"/>
  <c r="G25" i="74"/>
  <c r="X25" i="74" s="1"/>
  <c r="G24" i="74"/>
  <c r="X24" i="74" s="1"/>
  <c r="G23" i="74"/>
  <c r="G22" i="74"/>
  <c r="X22" i="74" s="1"/>
  <c r="G21" i="74"/>
  <c r="X21" i="74" s="1"/>
  <c r="G20" i="74"/>
  <c r="G18" i="74"/>
  <c r="G17" i="74"/>
  <c r="G15" i="74"/>
  <c r="X15" i="74" s="1"/>
  <c r="G14" i="74"/>
  <c r="X14" i="74" s="1"/>
  <c r="G13" i="74"/>
  <c r="X13" i="74" s="1"/>
  <c r="G12" i="74"/>
  <c r="X12" i="74" s="1"/>
  <c r="G11" i="74"/>
  <c r="X11" i="74" s="1"/>
  <c r="G10" i="74"/>
  <c r="G9" i="74"/>
  <c r="G8" i="74"/>
  <c r="X8" i="74" s="1"/>
  <c r="G7" i="74"/>
  <c r="G5" i="74"/>
  <c r="X5" i="74" s="1"/>
  <c r="G4" i="74"/>
  <c r="X4" i="74" s="1"/>
  <c r="G3" i="74"/>
  <c r="X3" i="74" s="1"/>
  <c r="G38" i="73"/>
  <c r="G37" i="73"/>
  <c r="G36" i="73"/>
  <c r="G35" i="73"/>
  <c r="G34" i="73"/>
  <c r="G32" i="73"/>
  <c r="G31" i="73"/>
  <c r="G30" i="73"/>
  <c r="G29" i="73"/>
  <c r="G28" i="73"/>
  <c r="G27" i="73"/>
  <c r="G26" i="73"/>
  <c r="G25" i="73"/>
  <c r="G24" i="73"/>
  <c r="G23" i="73"/>
  <c r="G22" i="73"/>
  <c r="G21" i="73"/>
  <c r="G20" i="73"/>
  <c r="G18" i="73"/>
  <c r="G17" i="73"/>
  <c r="G15" i="73"/>
  <c r="G14" i="73"/>
  <c r="G13" i="73"/>
  <c r="G12" i="73"/>
  <c r="G11" i="73"/>
  <c r="G10" i="73"/>
  <c r="G9" i="73"/>
  <c r="G8" i="73"/>
  <c r="G7" i="73"/>
  <c r="G5" i="73"/>
  <c r="G4" i="73"/>
  <c r="G3" i="73"/>
  <c r="G38" i="72"/>
  <c r="G37" i="72"/>
  <c r="J37" i="72" s="1"/>
  <c r="G36" i="72"/>
  <c r="J36" i="72" s="1"/>
  <c r="G35" i="72"/>
  <c r="J35" i="72" s="1"/>
  <c r="G34" i="72"/>
  <c r="G32" i="72"/>
  <c r="J32" i="72" s="1"/>
  <c r="G31" i="72"/>
  <c r="J31" i="72" s="1"/>
  <c r="G30" i="72"/>
  <c r="J30" i="72" s="1"/>
  <c r="G29" i="72"/>
  <c r="J29" i="72" s="1"/>
  <c r="G28" i="72"/>
  <c r="J28" i="72" s="1"/>
  <c r="G27" i="72"/>
  <c r="J27" i="72" s="1"/>
  <c r="G26" i="72"/>
  <c r="J26" i="72" s="1"/>
  <c r="G25" i="72"/>
  <c r="J25" i="72" s="1"/>
  <c r="G24" i="72"/>
  <c r="J24" i="72" s="1"/>
  <c r="G23" i="72"/>
  <c r="J23" i="72" s="1"/>
  <c r="G22" i="72"/>
  <c r="J22" i="72" s="1"/>
  <c r="G21" i="72"/>
  <c r="G20" i="72"/>
  <c r="G18" i="72"/>
  <c r="J18" i="72" s="1"/>
  <c r="G17" i="72"/>
  <c r="J17" i="72" s="1"/>
  <c r="G15" i="72"/>
  <c r="J15" i="72" s="1"/>
  <c r="G14" i="72"/>
  <c r="J14" i="72" s="1"/>
  <c r="G13" i="72"/>
  <c r="J13" i="72" s="1"/>
  <c r="G12" i="72"/>
  <c r="G11" i="72"/>
  <c r="J11" i="72" s="1"/>
  <c r="G10" i="72"/>
  <c r="G9" i="72"/>
  <c r="G8" i="72"/>
  <c r="G7" i="72"/>
  <c r="G5" i="72"/>
  <c r="J5" i="72" s="1"/>
  <c r="G4" i="72"/>
  <c r="J4" i="72" s="1"/>
  <c r="G3" i="72"/>
  <c r="G38" i="71"/>
  <c r="G37" i="71"/>
  <c r="J37" i="71" s="1"/>
  <c r="G36" i="71"/>
  <c r="J36" i="71" s="1"/>
  <c r="G35" i="71"/>
  <c r="J35" i="71" s="1"/>
  <c r="G34" i="71"/>
  <c r="G32" i="71"/>
  <c r="G31" i="71"/>
  <c r="G30" i="71"/>
  <c r="J30" i="71" s="1"/>
  <c r="G29" i="71"/>
  <c r="J29" i="71" s="1"/>
  <c r="G28" i="71"/>
  <c r="J28" i="71" s="1"/>
  <c r="G27" i="71"/>
  <c r="J27" i="71" s="1"/>
  <c r="G26" i="71"/>
  <c r="J26" i="71" s="1"/>
  <c r="G25" i="71"/>
  <c r="J25" i="71" s="1"/>
  <c r="G24" i="71"/>
  <c r="G23" i="71"/>
  <c r="J23" i="71" s="1"/>
  <c r="G22" i="71"/>
  <c r="J22" i="71" s="1"/>
  <c r="G21" i="71"/>
  <c r="J21" i="71" s="1"/>
  <c r="G20" i="71"/>
  <c r="J20" i="71" s="1"/>
  <c r="G18" i="71"/>
  <c r="G17" i="71"/>
  <c r="J17" i="71" s="1"/>
  <c r="G15" i="71"/>
  <c r="G14" i="71"/>
  <c r="G13" i="71"/>
  <c r="G12" i="71"/>
  <c r="J12" i="71" s="1"/>
  <c r="G11" i="71"/>
  <c r="J11" i="71" s="1"/>
  <c r="G10" i="71"/>
  <c r="J10" i="71" s="1"/>
  <c r="G9" i="71"/>
  <c r="G8" i="71"/>
  <c r="G7" i="71"/>
  <c r="G5" i="71"/>
  <c r="G4" i="71"/>
  <c r="G3" i="71"/>
  <c r="J3" i="71" s="1"/>
  <c r="G38" i="70"/>
  <c r="G37" i="70"/>
  <c r="G36" i="70"/>
  <c r="G35" i="70"/>
  <c r="G34" i="70"/>
  <c r="G32" i="70"/>
  <c r="G31" i="70"/>
  <c r="J31" i="70" s="1"/>
  <c r="G30" i="70"/>
  <c r="J30" i="70" s="1"/>
  <c r="G29" i="70"/>
  <c r="J29" i="70" s="1"/>
  <c r="G28" i="70"/>
  <c r="G27" i="70"/>
  <c r="G26" i="70"/>
  <c r="G25" i="70"/>
  <c r="G24" i="70"/>
  <c r="G23" i="70"/>
  <c r="G22" i="70"/>
  <c r="J22" i="70" s="1"/>
  <c r="G21" i="70"/>
  <c r="J21" i="70" s="1"/>
  <c r="G20" i="70"/>
  <c r="J20" i="70" s="1"/>
  <c r="G18" i="70"/>
  <c r="J17" i="70"/>
  <c r="G15" i="70"/>
  <c r="G14" i="70"/>
  <c r="J14" i="70" s="1"/>
  <c r="G13" i="70"/>
  <c r="J13" i="70" s="1"/>
  <c r="G12" i="70"/>
  <c r="J12" i="70" s="1"/>
  <c r="G11" i="70"/>
  <c r="J11" i="70" s="1"/>
  <c r="G10" i="70"/>
  <c r="J10" i="70" s="1"/>
  <c r="G9" i="70"/>
  <c r="J9" i="70" s="1"/>
  <c r="G8" i="70"/>
  <c r="J8" i="70" s="1"/>
  <c r="G7" i="70"/>
  <c r="G5" i="70"/>
  <c r="J5" i="70" s="1"/>
  <c r="G4" i="70"/>
  <c r="J4" i="70" s="1"/>
  <c r="G3" i="70"/>
  <c r="J3" i="70" s="1"/>
  <c r="F38" i="69"/>
  <c r="H38" i="69" s="1"/>
  <c r="F37" i="69"/>
  <c r="I37" i="69" s="1"/>
  <c r="F36" i="69"/>
  <c r="I36" i="69" s="1"/>
  <c r="F35" i="69"/>
  <c r="F34" i="69"/>
  <c r="F32" i="69"/>
  <c r="H32" i="69" s="1"/>
  <c r="F31" i="69"/>
  <c r="I31" i="69" s="1"/>
  <c r="F30" i="69"/>
  <c r="I30" i="69" s="1"/>
  <c r="F29" i="69"/>
  <c r="H29" i="69" s="1"/>
  <c r="F28" i="69"/>
  <c r="I28" i="69" s="1"/>
  <c r="F27" i="69"/>
  <c r="I27" i="69" s="1"/>
  <c r="F26" i="69"/>
  <c r="H26" i="69" s="1"/>
  <c r="F25" i="69"/>
  <c r="H25" i="69" s="1"/>
  <c r="F24" i="69"/>
  <c r="F23" i="69"/>
  <c r="I23" i="69" s="1"/>
  <c r="F22" i="69"/>
  <c r="F21" i="69"/>
  <c r="F20" i="69"/>
  <c r="H20" i="69" s="1"/>
  <c r="F18" i="69"/>
  <c r="I18" i="69" s="1"/>
  <c r="F17" i="69"/>
  <c r="H17" i="69" s="1"/>
  <c r="F15" i="69"/>
  <c r="I15" i="69" s="1"/>
  <c r="F14" i="69"/>
  <c r="I14" i="69" s="1"/>
  <c r="F13" i="69"/>
  <c r="I13" i="69" s="1"/>
  <c r="F12" i="69"/>
  <c r="I12" i="69" s="1"/>
  <c r="F11" i="69"/>
  <c r="I11" i="69" s="1"/>
  <c r="F10" i="69"/>
  <c r="I10" i="69" s="1"/>
  <c r="F9" i="69"/>
  <c r="H9" i="69" s="1"/>
  <c r="F8" i="69"/>
  <c r="F7" i="69"/>
  <c r="H7" i="69" s="1"/>
  <c r="F5" i="69"/>
  <c r="I5" i="69" s="1"/>
  <c r="F4" i="69"/>
  <c r="H4" i="69" s="1"/>
  <c r="F3" i="69"/>
  <c r="H3" i="69" s="1"/>
  <c r="F38" i="68"/>
  <c r="H38" i="68" s="1"/>
  <c r="F37" i="68"/>
  <c r="H37" i="68" s="1"/>
  <c r="F36" i="68"/>
  <c r="I36" i="68" s="1"/>
  <c r="F35" i="68"/>
  <c r="I35" i="68" s="1"/>
  <c r="F34" i="68"/>
  <c r="H34" i="68" s="1"/>
  <c r="F32" i="68"/>
  <c r="H32" i="68" s="1"/>
  <c r="F31" i="68"/>
  <c r="H31" i="68" s="1"/>
  <c r="F30" i="68"/>
  <c r="H30" i="68" s="1"/>
  <c r="F29" i="68"/>
  <c r="H29" i="68" s="1"/>
  <c r="F28" i="68"/>
  <c r="I28" i="68" s="1"/>
  <c r="F27" i="68"/>
  <c r="I27" i="68" s="1"/>
  <c r="F26" i="68"/>
  <c r="F25" i="68"/>
  <c r="F24" i="68"/>
  <c r="H24" i="68" s="1"/>
  <c r="F23" i="68"/>
  <c r="I23" i="68" s="1"/>
  <c r="F22" i="68"/>
  <c r="I22" i="68" s="1"/>
  <c r="F21" i="68"/>
  <c r="I21" i="68" s="1"/>
  <c r="F20" i="68"/>
  <c r="I20" i="68" s="1"/>
  <c r="F18" i="68"/>
  <c r="I18" i="68" s="1"/>
  <c r="F17" i="68"/>
  <c r="I17" i="68" s="1"/>
  <c r="F15" i="68"/>
  <c r="H15" i="68" s="1"/>
  <c r="F14" i="68"/>
  <c r="I14" i="68" s="1"/>
  <c r="F13" i="68"/>
  <c r="F12" i="68"/>
  <c r="I12" i="68" s="1"/>
  <c r="F11" i="68"/>
  <c r="H11" i="68" s="1"/>
  <c r="F10" i="68"/>
  <c r="I10" i="68" s="1"/>
  <c r="F9" i="68"/>
  <c r="H9" i="68" s="1"/>
  <c r="F8" i="68"/>
  <c r="I8" i="68" s="1"/>
  <c r="F7" i="68"/>
  <c r="H7" i="68" s="1"/>
  <c r="F5" i="68"/>
  <c r="H5" i="68" s="1"/>
  <c r="F4" i="68"/>
  <c r="I4" i="68" s="1"/>
  <c r="F3" i="68"/>
  <c r="H3" i="68" s="1"/>
  <c r="F38" i="67"/>
  <c r="H38" i="67" s="1"/>
  <c r="F37" i="67"/>
  <c r="H37" i="67" s="1"/>
  <c r="F36" i="67"/>
  <c r="H36" i="67" s="1"/>
  <c r="F35" i="67"/>
  <c r="H35" i="67" s="1"/>
  <c r="F34" i="67"/>
  <c r="H34" i="67" s="1"/>
  <c r="F32" i="67"/>
  <c r="H32" i="67" s="1"/>
  <c r="F31" i="67"/>
  <c r="I31" i="67" s="1"/>
  <c r="F30" i="67"/>
  <c r="F29" i="67"/>
  <c r="H29" i="67" s="1"/>
  <c r="F28" i="67"/>
  <c r="H28" i="67" s="1"/>
  <c r="F27" i="67"/>
  <c r="I27" i="67" s="1"/>
  <c r="F26" i="67"/>
  <c r="I26" i="67" s="1"/>
  <c r="F25" i="67"/>
  <c r="I25" i="67" s="1"/>
  <c r="F24" i="67"/>
  <c r="H24" i="67" s="1"/>
  <c r="F23" i="67"/>
  <c r="H23" i="67" s="1"/>
  <c r="F22" i="67"/>
  <c r="H22" i="67" s="1"/>
  <c r="F21" i="67"/>
  <c r="H21" i="67" s="1"/>
  <c r="F20" i="67"/>
  <c r="I20" i="67" s="1"/>
  <c r="F18" i="67"/>
  <c r="F17" i="67"/>
  <c r="F15" i="67"/>
  <c r="I15" i="67" s="1"/>
  <c r="F14" i="67"/>
  <c r="I14" i="67" s="1"/>
  <c r="F13" i="67"/>
  <c r="H13" i="67" s="1"/>
  <c r="F12" i="67"/>
  <c r="H12" i="67" s="1"/>
  <c r="F11" i="67"/>
  <c r="H11" i="67" s="1"/>
  <c r="F10" i="67"/>
  <c r="I10" i="67" s="1"/>
  <c r="F9" i="67"/>
  <c r="I9" i="67" s="1"/>
  <c r="F8" i="67"/>
  <c r="H8" i="67" s="1"/>
  <c r="F7" i="67"/>
  <c r="H7" i="67" s="1"/>
  <c r="F5" i="67"/>
  <c r="F4" i="67"/>
  <c r="F3" i="67"/>
  <c r="I3" i="67" s="1"/>
  <c r="F38" i="66"/>
  <c r="F37" i="66"/>
  <c r="H37" i="66" s="1"/>
  <c r="F36" i="66"/>
  <c r="I36" i="66" s="1"/>
  <c r="F35" i="66"/>
  <c r="I35" i="66" s="1"/>
  <c r="F34" i="66"/>
  <c r="I34" i="66" s="1"/>
  <c r="F32" i="66"/>
  <c r="H32" i="66" s="1"/>
  <c r="F31" i="66"/>
  <c r="H31" i="66" s="1"/>
  <c r="F30" i="66"/>
  <c r="I30" i="66" s="1"/>
  <c r="F29" i="66"/>
  <c r="I29" i="66" s="1"/>
  <c r="F28" i="66"/>
  <c r="H28" i="66" s="1"/>
  <c r="F27" i="66"/>
  <c r="I27" i="66" s="1"/>
  <c r="F26" i="66"/>
  <c r="I26" i="66" s="1"/>
  <c r="F25" i="66"/>
  <c r="F24" i="66"/>
  <c r="F23" i="66"/>
  <c r="I23" i="66" s="1"/>
  <c r="F22" i="66"/>
  <c r="I22" i="66" s="1"/>
  <c r="F21" i="66"/>
  <c r="I21" i="66" s="1"/>
  <c r="F20" i="66"/>
  <c r="I20" i="66" s="1"/>
  <c r="F18" i="66"/>
  <c r="I18" i="66" s="1"/>
  <c r="F17" i="66"/>
  <c r="I17" i="66" s="1"/>
  <c r="F15" i="66"/>
  <c r="H15" i="66" s="1"/>
  <c r="F14" i="66"/>
  <c r="H14" i="66" s="1"/>
  <c r="F13" i="66"/>
  <c r="I13" i="66" s="1"/>
  <c r="F12" i="66"/>
  <c r="F11" i="66"/>
  <c r="F10" i="66"/>
  <c r="I10" i="66" s="1"/>
  <c r="F9" i="66"/>
  <c r="I9" i="66" s="1"/>
  <c r="F8" i="66"/>
  <c r="H8" i="66" s="1"/>
  <c r="F7" i="66"/>
  <c r="I7" i="66" s="1"/>
  <c r="F5" i="66"/>
  <c r="I5" i="66" s="1"/>
  <c r="F4" i="66"/>
  <c r="I4" i="66" s="1"/>
  <c r="F3" i="66"/>
  <c r="F38" i="65"/>
  <c r="I38" i="65" s="1"/>
  <c r="F37" i="65"/>
  <c r="I37" i="65" s="1"/>
  <c r="F36" i="65"/>
  <c r="I36" i="65" s="1"/>
  <c r="F35" i="65"/>
  <c r="I35" i="65" s="1"/>
  <c r="F34" i="65"/>
  <c r="I34" i="65" s="1"/>
  <c r="F32" i="65"/>
  <c r="I32" i="65" s="1"/>
  <c r="F31" i="65"/>
  <c r="H31" i="65" s="1"/>
  <c r="F30" i="65"/>
  <c r="I30" i="65" s="1"/>
  <c r="F29" i="65"/>
  <c r="I29" i="65" s="1"/>
  <c r="F28" i="65"/>
  <c r="I28" i="65" s="1"/>
  <c r="F27" i="65"/>
  <c r="F26" i="65"/>
  <c r="I26" i="65" s="1"/>
  <c r="F25" i="65"/>
  <c r="I25" i="65" s="1"/>
  <c r="F24" i="65"/>
  <c r="I24" i="65" s="1"/>
  <c r="F23" i="65"/>
  <c r="I23" i="65" s="1"/>
  <c r="F22" i="65"/>
  <c r="F21" i="65"/>
  <c r="I21" i="65" s="1"/>
  <c r="F20" i="65"/>
  <c r="I20" i="65" s="1"/>
  <c r="F18" i="65"/>
  <c r="I18" i="65" s="1"/>
  <c r="F17" i="65"/>
  <c r="H17" i="65" s="1"/>
  <c r="F15" i="65"/>
  <c r="I15" i="65" s="1"/>
  <c r="F14" i="65"/>
  <c r="I14" i="65" s="1"/>
  <c r="F13" i="65"/>
  <c r="H13" i="65" s="1"/>
  <c r="F12" i="65"/>
  <c r="I12" i="65" s="1"/>
  <c r="F11" i="65"/>
  <c r="H11" i="65" s="1"/>
  <c r="F10" i="65"/>
  <c r="I10" i="65" s="1"/>
  <c r="F9" i="65"/>
  <c r="I9" i="65" s="1"/>
  <c r="F8" i="65"/>
  <c r="F7" i="65"/>
  <c r="F6" i="65"/>
  <c r="F5" i="65"/>
  <c r="I5" i="65" s="1"/>
  <c r="F4" i="65"/>
  <c r="H4" i="65" s="1"/>
  <c r="F3" i="65"/>
  <c r="K14" i="73"/>
  <c r="AB46" i="91"/>
  <c r="AA46" i="91"/>
  <c r="Z46" i="91"/>
  <c r="Y46" i="91"/>
  <c r="X46" i="91"/>
  <c r="W46" i="91"/>
  <c r="V46" i="91"/>
  <c r="U46" i="91"/>
  <c r="T46" i="91"/>
  <c r="S46" i="91"/>
  <c r="R46" i="91"/>
  <c r="P46" i="91"/>
  <c r="N46" i="91"/>
  <c r="D46" i="91"/>
  <c r="F6" i="66" s="1"/>
  <c r="H6" i="66" s="1"/>
  <c r="E46" i="91"/>
  <c r="F6" i="67" s="1"/>
  <c r="I6" i="67" s="1"/>
  <c r="F46" i="91"/>
  <c r="F6" i="68" s="1"/>
  <c r="I6" i="68" s="1"/>
  <c r="G46" i="91"/>
  <c r="F6" i="69" s="1"/>
  <c r="H6" i="69" s="1"/>
  <c r="H46" i="91"/>
  <c r="G6" i="70" s="1"/>
  <c r="J6" i="70" s="1"/>
  <c r="I46" i="91"/>
  <c r="G6" i="71" s="1"/>
  <c r="J6" i="71" s="1"/>
  <c r="J46" i="91"/>
  <c r="G6" i="72" s="1"/>
  <c r="J6" i="72" s="1"/>
  <c r="K46" i="91"/>
  <c r="G6" i="73" s="1"/>
  <c r="L46" i="91"/>
  <c r="G6" i="74" s="1"/>
  <c r="M46" i="91"/>
  <c r="G6" i="75" s="1"/>
  <c r="F38" i="2"/>
  <c r="I38" i="2" s="1"/>
  <c r="F37" i="2"/>
  <c r="I37" i="2" s="1"/>
  <c r="F36" i="2"/>
  <c r="H36" i="2" s="1"/>
  <c r="F35" i="2"/>
  <c r="F34" i="2"/>
  <c r="H34" i="2" s="1"/>
  <c r="F32" i="2"/>
  <c r="I32" i="2" s="1"/>
  <c r="F31" i="2"/>
  <c r="H31" i="2" s="1"/>
  <c r="F30" i="2"/>
  <c r="F29" i="2"/>
  <c r="F28" i="2"/>
  <c r="I28" i="2" s="1"/>
  <c r="F27" i="2"/>
  <c r="I27" i="2" s="1"/>
  <c r="F26" i="2"/>
  <c r="H26" i="2" s="1"/>
  <c r="F25" i="2"/>
  <c r="I25" i="2" s="1"/>
  <c r="F24" i="2"/>
  <c r="H24" i="2" s="1"/>
  <c r="F23" i="2"/>
  <c r="I23" i="2" s="1"/>
  <c r="F22" i="2"/>
  <c r="H22" i="2" s="1"/>
  <c r="F21" i="2"/>
  <c r="H21" i="2" s="1"/>
  <c r="F20" i="2"/>
  <c r="I20" i="2" s="1"/>
  <c r="F18" i="2"/>
  <c r="I18" i="2" s="1"/>
  <c r="F17" i="2"/>
  <c r="I17" i="2" s="1"/>
  <c r="F15" i="2"/>
  <c r="H15" i="2" s="1"/>
  <c r="F14" i="2"/>
  <c r="F13" i="2"/>
  <c r="H13" i="2" s="1"/>
  <c r="F12" i="2"/>
  <c r="H12" i="2" s="1"/>
  <c r="F11" i="2"/>
  <c r="F10" i="2"/>
  <c r="I10" i="2" s="1"/>
  <c r="F9" i="2"/>
  <c r="H9" i="2" s="1"/>
  <c r="F8" i="2"/>
  <c r="F7" i="2"/>
  <c r="F5" i="2"/>
  <c r="F4" i="2"/>
  <c r="F3" i="2"/>
  <c r="E3" i="2"/>
  <c r="J39" i="65"/>
  <c r="J35" i="65"/>
  <c r="J34" i="65"/>
  <c r="J32" i="65"/>
  <c r="J31" i="65"/>
  <c r="J30" i="65"/>
  <c r="J29" i="65"/>
  <c r="J28" i="65"/>
  <c r="J27" i="65"/>
  <c r="J26" i="65"/>
  <c r="J25" i="65"/>
  <c r="J24" i="65"/>
  <c r="J23" i="65"/>
  <c r="J22" i="65"/>
  <c r="J21" i="65"/>
  <c r="J17" i="65"/>
  <c r="J15" i="65"/>
  <c r="J14" i="65"/>
  <c r="J13" i="65"/>
  <c r="J12" i="65"/>
  <c r="J11" i="65"/>
  <c r="J10" i="65"/>
  <c r="J9" i="65"/>
  <c r="J8" i="65"/>
  <c r="J7" i="65"/>
  <c r="J6" i="65"/>
  <c r="J5" i="65"/>
  <c r="J4" i="65"/>
  <c r="J3" i="65"/>
  <c r="J39" i="66"/>
  <c r="J35" i="66"/>
  <c r="J34" i="66"/>
  <c r="J32" i="66"/>
  <c r="J31" i="66"/>
  <c r="J30" i="66"/>
  <c r="J29" i="66"/>
  <c r="J28" i="66"/>
  <c r="J27" i="66"/>
  <c r="J26" i="66"/>
  <c r="J25" i="66"/>
  <c r="J24" i="66"/>
  <c r="J23" i="66"/>
  <c r="J22" i="66"/>
  <c r="J21" i="66"/>
  <c r="J17" i="66"/>
  <c r="J15" i="66"/>
  <c r="J14" i="66"/>
  <c r="J13" i="66"/>
  <c r="J12" i="66"/>
  <c r="J11" i="66"/>
  <c r="J10" i="66"/>
  <c r="J9" i="66"/>
  <c r="J8" i="66"/>
  <c r="J7" i="66"/>
  <c r="J6" i="66"/>
  <c r="J5" i="66"/>
  <c r="J4" i="66"/>
  <c r="J3" i="66"/>
  <c r="J39" i="67"/>
  <c r="J38" i="67"/>
  <c r="J35" i="67"/>
  <c r="J34" i="67"/>
  <c r="J32" i="67"/>
  <c r="J31" i="67"/>
  <c r="J30" i="67"/>
  <c r="J29" i="67"/>
  <c r="J28" i="67"/>
  <c r="J27" i="67"/>
  <c r="J26" i="67"/>
  <c r="J25" i="67"/>
  <c r="J24" i="67"/>
  <c r="J23" i="67"/>
  <c r="J22" i="67"/>
  <c r="J21" i="67"/>
  <c r="J17" i="67"/>
  <c r="J15" i="67"/>
  <c r="J14" i="67"/>
  <c r="J13" i="67"/>
  <c r="J12" i="67"/>
  <c r="J11" i="67"/>
  <c r="J10" i="67"/>
  <c r="J9" i="67"/>
  <c r="J8" i="67"/>
  <c r="J7" i="67"/>
  <c r="J6" i="67"/>
  <c r="J5" i="67"/>
  <c r="J4" i="67"/>
  <c r="J3" i="67"/>
  <c r="J39" i="68"/>
  <c r="J38" i="68"/>
  <c r="J35" i="68"/>
  <c r="J34" i="68"/>
  <c r="J32" i="68"/>
  <c r="J31" i="68"/>
  <c r="J30" i="68"/>
  <c r="J29" i="68"/>
  <c r="J28" i="68"/>
  <c r="J27" i="68"/>
  <c r="J26" i="68"/>
  <c r="J25" i="68"/>
  <c r="J24" i="68"/>
  <c r="J23" i="68"/>
  <c r="J22" i="68"/>
  <c r="J21" i="68"/>
  <c r="J17" i="68"/>
  <c r="J15" i="68"/>
  <c r="J14" i="68"/>
  <c r="J13" i="68"/>
  <c r="J12" i="68"/>
  <c r="J11" i="68"/>
  <c r="J10" i="68"/>
  <c r="J9" i="68"/>
  <c r="J8" i="68"/>
  <c r="J7" i="68"/>
  <c r="J6" i="68"/>
  <c r="J5" i="68"/>
  <c r="J4" i="68"/>
  <c r="J3" i="68"/>
  <c r="J39" i="69"/>
  <c r="J38" i="69"/>
  <c r="J35" i="69"/>
  <c r="J34" i="69"/>
  <c r="J32" i="69"/>
  <c r="J31" i="69"/>
  <c r="J30" i="69"/>
  <c r="J29" i="69"/>
  <c r="J28" i="69"/>
  <c r="J27" i="69"/>
  <c r="J26" i="69"/>
  <c r="J25" i="69"/>
  <c r="J24" i="69"/>
  <c r="J23" i="69"/>
  <c r="J22" i="69"/>
  <c r="J21" i="69"/>
  <c r="J17" i="69"/>
  <c r="J15" i="69"/>
  <c r="J14" i="69"/>
  <c r="J13" i="69"/>
  <c r="J12" i="69"/>
  <c r="J11" i="69"/>
  <c r="J10" i="69"/>
  <c r="J9" i="69"/>
  <c r="J8" i="69"/>
  <c r="J7" i="69"/>
  <c r="J6" i="69"/>
  <c r="J5" i="69"/>
  <c r="J4" i="69"/>
  <c r="J3" i="69"/>
  <c r="M39" i="70"/>
  <c r="M38" i="70"/>
  <c r="M35" i="70"/>
  <c r="M34" i="70"/>
  <c r="M32" i="70"/>
  <c r="M31" i="70"/>
  <c r="M30" i="70"/>
  <c r="M29" i="70"/>
  <c r="M28" i="70"/>
  <c r="M27" i="70"/>
  <c r="M26" i="70"/>
  <c r="M25" i="70"/>
  <c r="M24" i="70"/>
  <c r="M23" i="70"/>
  <c r="M22" i="70"/>
  <c r="M21" i="70"/>
  <c r="M17" i="70"/>
  <c r="M15" i="70"/>
  <c r="M14" i="70"/>
  <c r="M13" i="70"/>
  <c r="M12" i="70"/>
  <c r="M11" i="70"/>
  <c r="M10" i="70"/>
  <c r="M9" i="70"/>
  <c r="M8" i="70"/>
  <c r="M7" i="70"/>
  <c r="M6" i="70"/>
  <c r="M5" i="70"/>
  <c r="M4" i="70"/>
  <c r="M3" i="70"/>
  <c r="M39" i="71"/>
  <c r="M38" i="71"/>
  <c r="M35" i="71"/>
  <c r="M34" i="71"/>
  <c r="M32" i="71"/>
  <c r="M31" i="71"/>
  <c r="M30" i="71"/>
  <c r="M29" i="71"/>
  <c r="M28" i="71"/>
  <c r="M27" i="71"/>
  <c r="M26" i="71"/>
  <c r="M25" i="71"/>
  <c r="M24" i="71"/>
  <c r="M23" i="71"/>
  <c r="M22" i="71"/>
  <c r="M21" i="71"/>
  <c r="M17" i="71"/>
  <c r="M15" i="71"/>
  <c r="M14" i="71"/>
  <c r="M13" i="71"/>
  <c r="M12" i="71"/>
  <c r="M11" i="71"/>
  <c r="M10" i="71"/>
  <c r="M9" i="71"/>
  <c r="M8" i="71"/>
  <c r="M7" i="71"/>
  <c r="M6" i="71"/>
  <c r="M5" i="71"/>
  <c r="M4" i="71"/>
  <c r="M3" i="71"/>
  <c r="M39" i="72"/>
  <c r="M38" i="72"/>
  <c r="M35" i="72"/>
  <c r="M34" i="72"/>
  <c r="M32" i="72"/>
  <c r="M31" i="72"/>
  <c r="M30" i="72"/>
  <c r="M29" i="72"/>
  <c r="M28" i="72"/>
  <c r="M27" i="72"/>
  <c r="M26" i="72"/>
  <c r="M25" i="72"/>
  <c r="M24" i="72"/>
  <c r="M23" i="72"/>
  <c r="M22" i="72"/>
  <c r="M21" i="72"/>
  <c r="M17" i="72"/>
  <c r="M15" i="72"/>
  <c r="M14" i="72"/>
  <c r="M13" i="72"/>
  <c r="M12" i="72"/>
  <c r="M11" i="72"/>
  <c r="M10" i="72"/>
  <c r="M9" i="72"/>
  <c r="M8" i="72"/>
  <c r="M7" i="72"/>
  <c r="M6" i="72"/>
  <c r="M5" i="72"/>
  <c r="M4" i="72"/>
  <c r="M3" i="72"/>
  <c r="M39" i="74"/>
  <c r="N39" i="74" s="1"/>
  <c r="M38" i="74"/>
  <c r="N38" i="74" s="1"/>
  <c r="M35" i="74"/>
  <c r="N35" i="74" s="1"/>
  <c r="M34" i="74"/>
  <c r="N34" i="74" s="1"/>
  <c r="M32" i="74"/>
  <c r="N32" i="74" s="1"/>
  <c r="M31" i="74"/>
  <c r="N31" i="74" s="1"/>
  <c r="M30" i="74"/>
  <c r="N30" i="74" s="1"/>
  <c r="M29" i="74"/>
  <c r="N29" i="74" s="1"/>
  <c r="M28" i="74"/>
  <c r="N28" i="74" s="1"/>
  <c r="M27" i="74"/>
  <c r="N27" i="74" s="1"/>
  <c r="M26" i="74"/>
  <c r="N26" i="74" s="1"/>
  <c r="M25" i="74"/>
  <c r="N25" i="74" s="1"/>
  <c r="M24" i="74"/>
  <c r="N24" i="74" s="1"/>
  <c r="M23" i="74"/>
  <c r="N23" i="74" s="1"/>
  <c r="M22" i="74"/>
  <c r="N22" i="74" s="1"/>
  <c r="M21" i="74"/>
  <c r="N21" i="74" s="1"/>
  <c r="M17" i="74"/>
  <c r="N17" i="74" s="1"/>
  <c r="M15" i="74"/>
  <c r="N15" i="74" s="1"/>
  <c r="M14" i="74"/>
  <c r="N14" i="74" s="1"/>
  <c r="M13" i="74"/>
  <c r="N13" i="74" s="1"/>
  <c r="M12" i="74"/>
  <c r="N12" i="74" s="1"/>
  <c r="M11" i="74"/>
  <c r="N11" i="74" s="1"/>
  <c r="M10" i="74"/>
  <c r="N10" i="74" s="1"/>
  <c r="M9" i="74"/>
  <c r="N9" i="74" s="1"/>
  <c r="M8" i="74"/>
  <c r="N8" i="74" s="1"/>
  <c r="M7" i="74"/>
  <c r="N7" i="74" s="1"/>
  <c r="M6" i="74"/>
  <c r="N6" i="74" s="1"/>
  <c r="M5" i="74"/>
  <c r="N5" i="74" s="1"/>
  <c r="M4" i="74"/>
  <c r="N4" i="74" s="1"/>
  <c r="M3" i="74"/>
  <c r="N3" i="74" s="1"/>
  <c r="M39" i="75"/>
  <c r="N39" i="75" s="1"/>
  <c r="M38" i="75"/>
  <c r="N38" i="75" s="1"/>
  <c r="M35" i="75"/>
  <c r="N35" i="75" s="1"/>
  <c r="M34" i="75"/>
  <c r="N34" i="75" s="1"/>
  <c r="M32" i="75"/>
  <c r="N32" i="75" s="1"/>
  <c r="M31" i="75"/>
  <c r="N31" i="75" s="1"/>
  <c r="M30" i="75"/>
  <c r="N30" i="75" s="1"/>
  <c r="M29" i="75"/>
  <c r="N29" i="75" s="1"/>
  <c r="M28" i="75"/>
  <c r="N28" i="75" s="1"/>
  <c r="M27" i="75"/>
  <c r="N27" i="75" s="1"/>
  <c r="M26" i="75"/>
  <c r="N26" i="75" s="1"/>
  <c r="M25" i="75"/>
  <c r="N25" i="75" s="1"/>
  <c r="M24" i="75"/>
  <c r="N24" i="75" s="1"/>
  <c r="M23" i="75"/>
  <c r="N23" i="75" s="1"/>
  <c r="M22" i="75"/>
  <c r="N22" i="75" s="1"/>
  <c r="M21" i="75"/>
  <c r="N21" i="75" s="1"/>
  <c r="M17" i="75"/>
  <c r="N17" i="75" s="1"/>
  <c r="M15" i="75"/>
  <c r="N15" i="75" s="1"/>
  <c r="M14" i="75"/>
  <c r="N14" i="75" s="1"/>
  <c r="M13" i="75"/>
  <c r="N13" i="75" s="1"/>
  <c r="M12" i="75"/>
  <c r="N12" i="75" s="1"/>
  <c r="M11" i="75"/>
  <c r="N11" i="75" s="1"/>
  <c r="M10" i="75"/>
  <c r="N10" i="75" s="1"/>
  <c r="M9" i="75"/>
  <c r="N9" i="75" s="1"/>
  <c r="M8" i="75"/>
  <c r="N8" i="75" s="1"/>
  <c r="M7" i="75"/>
  <c r="N7" i="75" s="1"/>
  <c r="M6" i="75"/>
  <c r="N6" i="75" s="1"/>
  <c r="M5" i="75"/>
  <c r="N5" i="75" s="1"/>
  <c r="M4" i="75"/>
  <c r="N4" i="75" s="1"/>
  <c r="M3" i="75"/>
  <c r="N3" i="75" s="1"/>
  <c r="J39" i="2"/>
  <c r="J35" i="2"/>
  <c r="J34" i="2"/>
  <c r="J32" i="2"/>
  <c r="J31" i="2"/>
  <c r="J30" i="2"/>
  <c r="J29" i="2"/>
  <c r="J28" i="2"/>
  <c r="J27" i="2"/>
  <c r="J26" i="2"/>
  <c r="J25" i="2"/>
  <c r="J24" i="2"/>
  <c r="J23" i="2"/>
  <c r="J22" i="2"/>
  <c r="J21" i="2"/>
  <c r="J17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L37" i="67"/>
  <c r="L36" i="67"/>
  <c r="L33" i="67"/>
  <c r="L37" i="68"/>
  <c r="L36" i="68"/>
  <c r="L33" i="68"/>
  <c r="L37" i="69"/>
  <c r="L36" i="69"/>
  <c r="L33" i="69"/>
  <c r="P37" i="70"/>
  <c r="P36" i="70"/>
  <c r="P33" i="70"/>
  <c r="P37" i="71"/>
  <c r="P33" i="71"/>
  <c r="P37" i="72"/>
  <c r="P36" i="72"/>
  <c r="P33" i="72"/>
  <c r="O33" i="73"/>
  <c r="O37" i="74"/>
  <c r="O36" i="74"/>
  <c r="O33" i="74"/>
  <c r="O37" i="75"/>
  <c r="O36" i="75"/>
  <c r="O33" i="75"/>
  <c r="L38" i="2"/>
  <c r="L37" i="2"/>
  <c r="L36" i="2"/>
  <c r="L33" i="2"/>
  <c r="L38" i="65"/>
  <c r="L37" i="65"/>
  <c r="L36" i="65"/>
  <c r="L33" i="65"/>
  <c r="L36" i="66"/>
  <c r="L33" i="66"/>
  <c r="K37" i="67"/>
  <c r="K36" i="67"/>
  <c r="K33" i="67"/>
  <c r="K37" i="68"/>
  <c r="K36" i="68"/>
  <c r="K33" i="68"/>
  <c r="K37" i="69"/>
  <c r="K36" i="69"/>
  <c r="K33" i="69"/>
  <c r="K38" i="2"/>
  <c r="K37" i="2"/>
  <c r="K36" i="2"/>
  <c r="K33" i="2"/>
  <c r="K38" i="65"/>
  <c r="K37" i="65"/>
  <c r="K36" i="65"/>
  <c r="K33" i="65"/>
  <c r="K37" i="66"/>
  <c r="K36" i="66"/>
  <c r="K33" i="66"/>
  <c r="I39" i="67"/>
  <c r="I33" i="67"/>
  <c r="I13" i="67"/>
  <c r="I39" i="68"/>
  <c r="I33" i="68"/>
  <c r="I39" i="69"/>
  <c r="I33" i="69"/>
  <c r="K39" i="70"/>
  <c r="K33" i="70"/>
  <c r="K39" i="71"/>
  <c r="K33" i="71"/>
  <c r="K39" i="72"/>
  <c r="K33" i="72"/>
  <c r="K39" i="73"/>
  <c r="K33" i="73"/>
  <c r="K39" i="74"/>
  <c r="K33" i="74"/>
  <c r="K39" i="75"/>
  <c r="K33" i="75"/>
  <c r="I39" i="2"/>
  <c r="I33" i="2"/>
  <c r="I39" i="65"/>
  <c r="I33" i="65"/>
  <c r="I39" i="66"/>
  <c r="I33" i="66"/>
  <c r="H39" i="66"/>
  <c r="H33" i="66"/>
  <c r="H39" i="67"/>
  <c r="H33" i="67"/>
  <c r="H39" i="68"/>
  <c r="H33" i="68"/>
  <c r="H39" i="69"/>
  <c r="H33" i="69"/>
  <c r="H39" i="2"/>
  <c r="H33" i="2"/>
  <c r="H39" i="65"/>
  <c r="H35" i="65"/>
  <c r="H33" i="65"/>
  <c r="L3" i="86" l="1"/>
  <c r="L14" i="86"/>
  <c r="L11" i="86"/>
  <c r="H27" i="67"/>
  <c r="L7" i="86"/>
  <c r="AG11" i="34"/>
  <c r="AR11" i="34" s="1"/>
  <c r="P9" i="81" s="1"/>
  <c r="AG34" i="34"/>
  <c r="AR34" i="34" s="1"/>
  <c r="AG25" i="34"/>
  <c r="AR25" i="34" s="1"/>
  <c r="AG23" i="34"/>
  <c r="AR23" i="34" s="1"/>
  <c r="AG24" i="34"/>
  <c r="AR24" i="34" s="1"/>
  <c r="AG22" i="34"/>
  <c r="AR22" i="34" s="1"/>
  <c r="P20" i="81" s="1"/>
  <c r="AG12" i="34"/>
  <c r="AR12" i="34" s="1"/>
  <c r="P10" i="81" s="1"/>
  <c r="R10" i="81" s="1"/>
  <c r="AG35" i="34"/>
  <c r="AR35" i="34" s="1"/>
  <c r="K6" i="75"/>
  <c r="J6" i="75"/>
  <c r="X6" i="75"/>
  <c r="J6" i="74"/>
  <c r="X6" i="74"/>
  <c r="K6" i="73"/>
  <c r="J6" i="73"/>
  <c r="X6" i="73"/>
  <c r="T6" i="73"/>
  <c r="R6" i="73"/>
  <c r="S6" i="73"/>
  <c r="J7" i="74"/>
  <c r="X7" i="74"/>
  <c r="K37" i="75"/>
  <c r="X37" i="75"/>
  <c r="J37" i="75"/>
  <c r="N33" i="90"/>
  <c r="M33" i="90"/>
  <c r="J5" i="73"/>
  <c r="X5" i="73"/>
  <c r="T5" i="73"/>
  <c r="R5" i="73"/>
  <c r="S5" i="73"/>
  <c r="J18" i="73"/>
  <c r="X18" i="73"/>
  <c r="S18" i="73"/>
  <c r="R18" i="73"/>
  <c r="T18" i="73"/>
  <c r="J31" i="73"/>
  <c r="X31" i="73"/>
  <c r="T31" i="73"/>
  <c r="R31" i="73"/>
  <c r="S31" i="73"/>
  <c r="J35" i="74"/>
  <c r="X35" i="74"/>
  <c r="J11" i="75"/>
  <c r="X11" i="75"/>
  <c r="K25" i="75"/>
  <c r="J25" i="75"/>
  <c r="X25" i="75"/>
  <c r="X38" i="75"/>
  <c r="J38" i="75"/>
  <c r="N30" i="90"/>
  <c r="M30" i="90"/>
  <c r="J34" i="74"/>
  <c r="X34" i="74"/>
  <c r="K20" i="73"/>
  <c r="J20" i="73"/>
  <c r="X20" i="73"/>
  <c r="S20" i="73"/>
  <c r="R20" i="73"/>
  <c r="T20" i="73"/>
  <c r="K32" i="73"/>
  <c r="J32" i="73"/>
  <c r="X32" i="73"/>
  <c r="T32" i="73"/>
  <c r="S32" i="73"/>
  <c r="R32" i="73"/>
  <c r="J9" i="74"/>
  <c r="X9" i="74"/>
  <c r="J23" i="74"/>
  <c r="X23" i="74"/>
  <c r="J36" i="74"/>
  <c r="X36" i="74"/>
  <c r="K12" i="75"/>
  <c r="X12" i="75"/>
  <c r="J12" i="75"/>
  <c r="X26" i="75"/>
  <c r="J26" i="75"/>
  <c r="N27" i="90"/>
  <c r="M27" i="90"/>
  <c r="N29" i="90"/>
  <c r="M29" i="90"/>
  <c r="K30" i="73"/>
  <c r="J30" i="73"/>
  <c r="X30" i="73"/>
  <c r="R30" i="73"/>
  <c r="T30" i="73"/>
  <c r="S30" i="73"/>
  <c r="K7" i="73"/>
  <c r="J7" i="73"/>
  <c r="X7" i="73"/>
  <c r="T7" i="73"/>
  <c r="S7" i="73"/>
  <c r="R7" i="73"/>
  <c r="J21" i="73"/>
  <c r="X21" i="73"/>
  <c r="T21" i="73"/>
  <c r="S21" i="73"/>
  <c r="R21" i="73"/>
  <c r="K34" i="73"/>
  <c r="J34" i="73"/>
  <c r="X34" i="73"/>
  <c r="T34" i="73"/>
  <c r="S34" i="73"/>
  <c r="R34" i="73"/>
  <c r="J10" i="74"/>
  <c r="X10" i="74"/>
  <c r="J37" i="74"/>
  <c r="X37" i="74"/>
  <c r="X13" i="75"/>
  <c r="J13" i="75"/>
  <c r="K27" i="75"/>
  <c r="X27" i="75"/>
  <c r="J27" i="75"/>
  <c r="M26" i="90"/>
  <c r="N26" i="90"/>
  <c r="N28" i="90"/>
  <c r="M28" i="90"/>
  <c r="M38" i="90"/>
  <c r="N38" i="90"/>
  <c r="N32" i="90"/>
  <c r="M32" i="90"/>
  <c r="K8" i="73"/>
  <c r="J8" i="73"/>
  <c r="X8" i="73"/>
  <c r="S8" i="73"/>
  <c r="R8" i="73"/>
  <c r="T8" i="73"/>
  <c r="K22" i="73"/>
  <c r="J22" i="73"/>
  <c r="X22" i="73"/>
  <c r="S22" i="73"/>
  <c r="T22" i="73"/>
  <c r="R22" i="73"/>
  <c r="K35" i="73"/>
  <c r="J35" i="73"/>
  <c r="X35" i="73"/>
  <c r="R35" i="73"/>
  <c r="S35" i="73"/>
  <c r="T35" i="73"/>
  <c r="X14" i="75"/>
  <c r="J14" i="75"/>
  <c r="X28" i="75"/>
  <c r="J28" i="75"/>
  <c r="N22" i="90"/>
  <c r="M22" i="90"/>
  <c r="N25" i="90"/>
  <c r="M25" i="90"/>
  <c r="N35" i="90"/>
  <c r="M35" i="90"/>
  <c r="W40" i="73"/>
  <c r="J24" i="75"/>
  <c r="X24" i="75"/>
  <c r="K9" i="73"/>
  <c r="J9" i="73"/>
  <c r="X9" i="73"/>
  <c r="T9" i="73"/>
  <c r="R9" i="73"/>
  <c r="S9" i="73"/>
  <c r="J23" i="73"/>
  <c r="X23" i="73"/>
  <c r="S23" i="73"/>
  <c r="R23" i="73"/>
  <c r="T23" i="73"/>
  <c r="K36" i="73"/>
  <c r="J36" i="73"/>
  <c r="X36" i="73"/>
  <c r="S36" i="73"/>
  <c r="T36" i="73"/>
  <c r="R36" i="73"/>
  <c r="X3" i="75"/>
  <c r="J3" i="75"/>
  <c r="K15" i="75"/>
  <c r="X15" i="75"/>
  <c r="J15" i="75"/>
  <c r="K29" i="75"/>
  <c r="J29" i="75"/>
  <c r="X29" i="75"/>
  <c r="W40" i="75"/>
  <c r="T40" i="75"/>
  <c r="R40" i="75"/>
  <c r="S40" i="75"/>
  <c r="N18" i="90"/>
  <c r="M18" i="90"/>
  <c r="W16" i="75"/>
  <c r="T16" i="75"/>
  <c r="S16" i="75"/>
  <c r="R16" i="75"/>
  <c r="J17" i="73"/>
  <c r="X17" i="73"/>
  <c r="T17" i="73"/>
  <c r="S17" i="73"/>
  <c r="R17" i="73"/>
  <c r="J10" i="75"/>
  <c r="X10" i="75"/>
  <c r="K10" i="73"/>
  <c r="J10" i="73"/>
  <c r="X10" i="73"/>
  <c r="S10" i="73"/>
  <c r="R10" i="73"/>
  <c r="T10" i="73"/>
  <c r="J24" i="73"/>
  <c r="X24" i="73"/>
  <c r="T24" i="73"/>
  <c r="S24" i="73"/>
  <c r="R24" i="73"/>
  <c r="J37" i="73"/>
  <c r="X37" i="73"/>
  <c r="R37" i="73"/>
  <c r="S37" i="73"/>
  <c r="T37" i="73"/>
  <c r="X4" i="75"/>
  <c r="J4" i="75"/>
  <c r="J17" i="75"/>
  <c r="X17" i="75"/>
  <c r="K30" i="75"/>
  <c r="J30" i="75"/>
  <c r="X30" i="75"/>
  <c r="N14" i="90"/>
  <c r="M14" i="90"/>
  <c r="M17" i="90"/>
  <c r="N17" i="90"/>
  <c r="W16" i="74"/>
  <c r="S16" i="74"/>
  <c r="R16" i="74"/>
  <c r="T16" i="74"/>
  <c r="K4" i="73"/>
  <c r="X4" i="73"/>
  <c r="J4" i="73"/>
  <c r="S4" i="73"/>
  <c r="R4" i="73"/>
  <c r="T4" i="73"/>
  <c r="K11" i="73"/>
  <c r="J11" i="73"/>
  <c r="X11" i="73"/>
  <c r="S11" i="73"/>
  <c r="T11" i="73"/>
  <c r="R11" i="73"/>
  <c r="J25" i="73"/>
  <c r="X25" i="73"/>
  <c r="T25" i="73"/>
  <c r="S25" i="73"/>
  <c r="R25" i="73"/>
  <c r="J38" i="73"/>
  <c r="X38" i="73"/>
  <c r="S38" i="73"/>
  <c r="R38" i="73"/>
  <c r="T38" i="73"/>
  <c r="J28" i="74"/>
  <c r="X28" i="74"/>
  <c r="J5" i="75"/>
  <c r="X5" i="75"/>
  <c r="K18" i="75"/>
  <c r="J18" i="75"/>
  <c r="X18" i="75"/>
  <c r="J31" i="75"/>
  <c r="X31" i="75"/>
  <c r="N13" i="90"/>
  <c r="M13" i="90"/>
  <c r="N15" i="90"/>
  <c r="M15" i="90"/>
  <c r="N6" i="90"/>
  <c r="M6" i="90"/>
  <c r="H19" i="73"/>
  <c r="I16" i="73" s="1"/>
  <c r="W16" i="73"/>
  <c r="N16" i="73"/>
  <c r="J12" i="73"/>
  <c r="X12" i="73"/>
  <c r="S12" i="73"/>
  <c r="T12" i="73"/>
  <c r="R12" i="73"/>
  <c r="J26" i="73"/>
  <c r="X26" i="73"/>
  <c r="R26" i="73"/>
  <c r="S26" i="73"/>
  <c r="T26" i="73"/>
  <c r="J20" i="75"/>
  <c r="X20" i="75"/>
  <c r="K32" i="75"/>
  <c r="J32" i="75"/>
  <c r="X32" i="75"/>
  <c r="N9" i="90"/>
  <c r="M9" i="90"/>
  <c r="M12" i="90"/>
  <c r="N12" i="90"/>
  <c r="K13" i="73"/>
  <c r="J13" i="73"/>
  <c r="X13" i="73"/>
  <c r="T13" i="73"/>
  <c r="S13" i="73"/>
  <c r="R13" i="73"/>
  <c r="X27" i="73"/>
  <c r="J27" i="73"/>
  <c r="T27" i="73"/>
  <c r="S27" i="73"/>
  <c r="R27" i="73"/>
  <c r="J17" i="74"/>
  <c r="X17" i="74"/>
  <c r="J30" i="74"/>
  <c r="X30" i="74"/>
  <c r="K7" i="75"/>
  <c r="J7" i="75"/>
  <c r="X7" i="75"/>
  <c r="X21" i="75"/>
  <c r="J21" i="75"/>
  <c r="K34" i="75"/>
  <c r="X34" i="75"/>
  <c r="J34" i="75"/>
  <c r="N8" i="90"/>
  <c r="M8" i="90"/>
  <c r="N5" i="90"/>
  <c r="M5" i="90"/>
  <c r="J14" i="73"/>
  <c r="X14" i="73"/>
  <c r="S14" i="73"/>
  <c r="R14" i="73"/>
  <c r="T14" i="73"/>
  <c r="J28" i="73"/>
  <c r="X28" i="73"/>
  <c r="T28" i="73"/>
  <c r="S28" i="73"/>
  <c r="R28" i="73"/>
  <c r="J18" i="74"/>
  <c r="X18" i="74"/>
  <c r="J31" i="74"/>
  <c r="X31" i="74"/>
  <c r="J8" i="75"/>
  <c r="X8" i="75"/>
  <c r="X22" i="75"/>
  <c r="J22" i="75"/>
  <c r="J35" i="75"/>
  <c r="X35" i="75"/>
  <c r="N39" i="90"/>
  <c r="M39" i="90"/>
  <c r="N4" i="90"/>
  <c r="M4" i="90"/>
  <c r="X3" i="73"/>
  <c r="J3" i="73"/>
  <c r="T3" i="73"/>
  <c r="S3" i="73"/>
  <c r="R3" i="73"/>
  <c r="X15" i="73"/>
  <c r="J15" i="73"/>
  <c r="T15" i="73"/>
  <c r="S15" i="73"/>
  <c r="R15" i="73"/>
  <c r="J29" i="73"/>
  <c r="X29" i="73"/>
  <c r="T29" i="73"/>
  <c r="R29" i="73"/>
  <c r="S29" i="73"/>
  <c r="J20" i="74"/>
  <c r="X20" i="74"/>
  <c r="J32" i="74"/>
  <c r="X32" i="74"/>
  <c r="J9" i="75"/>
  <c r="X9" i="75"/>
  <c r="J23" i="75"/>
  <c r="X23" i="75"/>
  <c r="J36" i="75"/>
  <c r="X36" i="75"/>
  <c r="N36" i="90"/>
  <c r="M36" i="90"/>
  <c r="M3" i="90"/>
  <c r="N3" i="90"/>
  <c r="Y40" i="72"/>
  <c r="X40" i="72"/>
  <c r="S40" i="72"/>
  <c r="U40" i="72"/>
  <c r="T40" i="72"/>
  <c r="X16" i="72"/>
  <c r="Y16" i="72"/>
  <c r="U16" i="72"/>
  <c r="S16" i="72"/>
  <c r="T16" i="72"/>
  <c r="K38" i="71"/>
  <c r="J38" i="71"/>
  <c r="K13" i="71"/>
  <c r="J13" i="71"/>
  <c r="K14" i="71"/>
  <c r="J14" i="71"/>
  <c r="K15" i="71"/>
  <c r="J15" i="71"/>
  <c r="K4" i="71"/>
  <c r="J4" i="71"/>
  <c r="K5" i="71"/>
  <c r="J5" i="71"/>
  <c r="K18" i="71"/>
  <c r="J18" i="71"/>
  <c r="K31" i="71"/>
  <c r="J31" i="71"/>
  <c r="K32" i="71"/>
  <c r="J32" i="71"/>
  <c r="K7" i="71"/>
  <c r="J7" i="71"/>
  <c r="K34" i="71"/>
  <c r="J34" i="71"/>
  <c r="K8" i="71"/>
  <c r="J8" i="71"/>
  <c r="K9" i="71"/>
  <c r="J9" i="71"/>
  <c r="K24" i="71"/>
  <c r="J24" i="71"/>
  <c r="R33" i="82"/>
  <c r="Q33" i="82"/>
  <c r="R33" i="85"/>
  <c r="Q33" i="85"/>
  <c r="Q36" i="84"/>
  <c r="R36" i="84"/>
  <c r="R33" i="84"/>
  <c r="Q33" i="84"/>
  <c r="Q33" i="83"/>
  <c r="R33" i="83"/>
  <c r="Q33" i="81"/>
  <c r="R33" i="81"/>
  <c r="R3" i="89"/>
  <c r="Q3" i="89"/>
  <c r="T34" i="86"/>
  <c r="V34" i="86" s="1"/>
  <c r="T33" i="86"/>
  <c r="V33" i="86" s="1"/>
  <c r="T9" i="86"/>
  <c r="V9" i="86" s="1"/>
  <c r="T32" i="86"/>
  <c r="V32" i="86" s="1"/>
  <c r="T23" i="86"/>
  <c r="V23" i="86" s="1"/>
  <c r="T21" i="86"/>
  <c r="V21" i="86" s="1"/>
  <c r="T22" i="86"/>
  <c r="V22" i="86" s="1"/>
  <c r="T20" i="86"/>
  <c r="T10" i="86"/>
  <c r="V10" i="86" s="1"/>
  <c r="N10" i="72"/>
  <c r="O10" i="72"/>
  <c r="N26" i="72"/>
  <c r="O26" i="72"/>
  <c r="N25" i="72"/>
  <c r="O25" i="72"/>
  <c r="N11" i="72"/>
  <c r="O11" i="72"/>
  <c r="N27" i="72"/>
  <c r="O27" i="72"/>
  <c r="N9" i="72"/>
  <c r="O9" i="72"/>
  <c r="N12" i="72"/>
  <c r="O12" i="72"/>
  <c r="N28" i="72"/>
  <c r="O28" i="72"/>
  <c r="N13" i="72"/>
  <c r="O13" i="72"/>
  <c r="N29" i="72"/>
  <c r="O29" i="72"/>
  <c r="AP23" i="34"/>
  <c r="N3" i="72"/>
  <c r="O3" i="72"/>
  <c r="N15" i="72"/>
  <c r="O15" i="72"/>
  <c r="N31" i="72"/>
  <c r="O31" i="72"/>
  <c r="N4" i="72"/>
  <c r="O4" i="72"/>
  <c r="N17" i="72"/>
  <c r="O17" i="72"/>
  <c r="N32" i="72"/>
  <c r="O32" i="72"/>
  <c r="N5" i="72"/>
  <c r="O5" i="72"/>
  <c r="N21" i="72"/>
  <c r="O21" i="72"/>
  <c r="N34" i="72"/>
  <c r="O34" i="72"/>
  <c r="N30" i="72"/>
  <c r="O30" i="72"/>
  <c r="N6" i="72"/>
  <c r="O6" i="72"/>
  <c r="N22" i="72"/>
  <c r="O22" i="72"/>
  <c r="N35" i="72"/>
  <c r="O35" i="72"/>
  <c r="N14" i="72"/>
  <c r="O14" i="72"/>
  <c r="N7" i="72"/>
  <c r="O7" i="72"/>
  <c r="N23" i="72"/>
  <c r="O23" i="72"/>
  <c r="N38" i="72"/>
  <c r="O38" i="72"/>
  <c r="N8" i="72"/>
  <c r="O8" i="72"/>
  <c r="N24" i="72"/>
  <c r="O24" i="72"/>
  <c r="N39" i="72"/>
  <c r="O39" i="72"/>
  <c r="N40" i="73"/>
  <c r="M41" i="73"/>
  <c r="Q33" i="86"/>
  <c r="R33" i="86"/>
  <c r="H19" i="75"/>
  <c r="I16" i="75" s="1"/>
  <c r="K28" i="75"/>
  <c r="K14" i="75"/>
  <c r="K25" i="74"/>
  <c r="J25" i="74"/>
  <c r="K11" i="74"/>
  <c r="J11" i="74"/>
  <c r="K26" i="74"/>
  <c r="J26" i="74"/>
  <c r="K13" i="74"/>
  <c r="J13" i="74"/>
  <c r="K27" i="74"/>
  <c r="J27" i="74"/>
  <c r="H19" i="74"/>
  <c r="K3" i="74"/>
  <c r="J3" i="74"/>
  <c r="K15" i="74"/>
  <c r="J15" i="74"/>
  <c r="K29" i="74"/>
  <c r="J29" i="74"/>
  <c r="K4" i="74"/>
  <c r="J4" i="74"/>
  <c r="K14" i="74"/>
  <c r="J14" i="74"/>
  <c r="K5" i="74"/>
  <c r="J5" i="74"/>
  <c r="K24" i="74"/>
  <c r="J24" i="74"/>
  <c r="K21" i="74"/>
  <c r="J21" i="74"/>
  <c r="K38" i="74"/>
  <c r="J38" i="74"/>
  <c r="K8" i="74"/>
  <c r="J8" i="74"/>
  <c r="K22" i="74"/>
  <c r="J22" i="74"/>
  <c r="K12" i="74"/>
  <c r="J12" i="74"/>
  <c r="K27" i="73"/>
  <c r="K21" i="73"/>
  <c r="K20" i="72"/>
  <c r="J20" i="72"/>
  <c r="K34" i="72"/>
  <c r="J34" i="72"/>
  <c r="K21" i="72"/>
  <c r="J21" i="72"/>
  <c r="K8" i="72"/>
  <c r="J8" i="72"/>
  <c r="K7" i="72"/>
  <c r="J7" i="72"/>
  <c r="K9" i="72"/>
  <c r="J9" i="72"/>
  <c r="H19" i="72"/>
  <c r="K10" i="72"/>
  <c r="J10" i="72"/>
  <c r="K38" i="72"/>
  <c r="J38" i="72"/>
  <c r="K12" i="72"/>
  <c r="J12" i="72"/>
  <c r="K3" i="72"/>
  <c r="J3" i="72"/>
  <c r="K4" i="72"/>
  <c r="K30" i="72"/>
  <c r="S16" i="71"/>
  <c r="Y16" i="71"/>
  <c r="U16" i="71"/>
  <c r="T16" i="71"/>
  <c r="X16" i="71"/>
  <c r="X40" i="71"/>
  <c r="T40" i="71"/>
  <c r="S40" i="71"/>
  <c r="Y40" i="71"/>
  <c r="U40" i="71"/>
  <c r="N14" i="71"/>
  <c r="O14" i="71"/>
  <c r="O30" i="71"/>
  <c r="N30" i="71"/>
  <c r="N15" i="71"/>
  <c r="O15" i="71"/>
  <c r="O31" i="71"/>
  <c r="N31" i="71"/>
  <c r="N17" i="71"/>
  <c r="O17" i="71"/>
  <c r="O32" i="71"/>
  <c r="N32" i="71"/>
  <c r="N4" i="71"/>
  <c r="O4" i="71"/>
  <c r="N5" i="71"/>
  <c r="O5" i="71"/>
  <c r="N21" i="71"/>
  <c r="O21" i="71"/>
  <c r="N34" i="71"/>
  <c r="O34" i="71"/>
  <c r="N13" i="71"/>
  <c r="O13" i="71"/>
  <c r="N3" i="71"/>
  <c r="O3" i="71"/>
  <c r="O6" i="71"/>
  <c r="N6" i="71"/>
  <c r="N22" i="71"/>
  <c r="O22" i="71"/>
  <c r="N35" i="71"/>
  <c r="O35" i="71"/>
  <c r="O7" i="71"/>
  <c r="N7" i="71"/>
  <c r="N23" i="71"/>
  <c r="O23" i="71"/>
  <c r="O38" i="71"/>
  <c r="N38" i="71"/>
  <c r="N24" i="71"/>
  <c r="O24" i="71"/>
  <c r="N39" i="71"/>
  <c r="O39" i="71"/>
  <c r="O8" i="71"/>
  <c r="N8" i="71"/>
  <c r="O9" i="71"/>
  <c r="N9" i="71"/>
  <c r="N25" i="71"/>
  <c r="O25" i="71"/>
  <c r="N10" i="71"/>
  <c r="O10" i="71"/>
  <c r="N26" i="71"/>
  <c r="O26" i="71"/>
  <c r="N11" i="71"/>
  <c r="O11" i="71"/>
  <c r="N27" i="71"/>
  <c r="O27" i="71"/>
  <c r="N29" i="71"/>
  <c r="O29" i="71"/>
  <c r="N12" i="71"/>
  <c r="O12" i="71"/>
  <c r="N28" i="71"/>
  <c r="O28" i="71"/>
  <c r="H19" i="71"/>
  <c r="I16" i="71" s="1"/>
  <c r="K27" i="71"/>
  <c r="U16" i="70"/>
  <c r="T16" i="70"/>
  <c r="S16" i="70"/>
  <c r="Y16" i="70"/>
  <c r="Z16" i="70"/>
  <c r="N10" i="70"/>
  <c r="O10" i="70"/>
  <c r="N26" i="70"/>
  <c r="O26" i="70"/>
  <c r="N24" i="70"/>
  <c r="O24" i="70"/>
  <c r="N11" i="70"/>
  <c r="O11" i="70"/>
  <c r="N27" i="70"/>
  <c r="O27" i="70"/>
  <c r="N12" i="70"/>
  <c r="O12" i="70"/>
  <c r="N28" i="70"/>
  <c r="O28" i="70"/>
  <c r="N8" i="70"/>
  <c r="O8" i="70"/>
  <c r="N13" i="70"/>
  <c r="O13" i="70"/>
  <c r="N29" i="70"/>
  <c r="O29" i="70"/>
  <c r="N25" i="70"/>
  <c r="O25" i="70"/>
  <c r="N14" i="70"/>
  <c r="O14" i="70"/>
  <c r="N30" i="70"/>
  <c r="O30" i="70"/>
  <c r="N9" i="70"/>
  <c r="O9" i="70"/>
  <c r="N3" i="70"/>
  <c r="O3" i="70"/>
  <c r="N15" i="70"/>
  <c r="O15" i="70"/>
  <c r="N31" i="70"/>
  <c r="O31" i="70"/>
  <c r="N17" i="70"/>
  <c r="O17" i="70"/>
  <c r="N32" i="70"/>
  <c r="O32" i="70"/>
  <c r="N39" i="70"/>
  <c r="O39" i="70"/>
  <c r="N4" i="70"/>
  <c r="O4" i="70"/>
  <c r="N5" i="70"/>
  <c r="O5" i="70"/>
  <c r="N21" i="70"/>
  <c r="O21" i="70"/>
  <c r="N34" i="70"/>
  <c r="O34" i="70"/>
  <c r="N6" i="70"/>
  <c r="O6" i="70"/>
  <c r="N22" i="70"/>
  <c r="O22" i="70"/>
  <c r="N35" i="70"/>
  <c r="O35" i="70"/>
  <c r="N7" i="70"/>
  <c r="O7" i="70"/>
  <c r="N23" i="70"/>
  <c r="O23" i="70"/>
  <c r="N38" i="70"/>
  <c r="O38" i="70"/>
  <c r="K25" i="70"/>
  <c r="J25" i="70"/>
  <c r="K38" i="70"/>
  <c r="J38" i="70"/>
  <c r="K24" i="70"/>
  <c r="J24" i="70"/>
  <c r="K26" i="70"/>
  <c r="J26" i="70"/>
  <c r="K27" i="70"/>
  <c r="J27" i="70"/>
  <c r="K28" i="70"/>
  <c r="J28" i="70"/>
  <c r="K18" i="70"/>
  <c r="J18" i="70"/>
  <c r="K32" i="70"/>
  <c r="J32" i="70"/>
  <c r="K7" i="70"/>
  <c r="J7" i="70"/>
  <c r="K34" i="70"/>
  <c r="J34" i="70"/>
  <c r="K35" i="70"/>
  <c r="J35" i="70"/>
  <c r="K15" i="70"/>
  <c r="J15" i="70"/>
  <c r="K23" i="70"/>
  <c r="J23" i="70"/>
  <c r="K36" i="70"/>
  <c r="J36" i="70"/>
  <c r="K37" i="70"/>
  <c r="J37" i="70"/>
  <c r="H19" i="70"/>
  <c r="I16" i="70" s="1"/>
  <c r="K17" i="73"/>
  <c r="I11" i="67"/>
  <c r="K18" i="73"/>
  <c r="K10" i="70"/>
  <c r="K17" i="72"/>
  <c r="H14" i="68"/>
  <c r="K31" i="73"/>
  <c r="K30" i="70"/>
  <c r="K31" i="70"/>
  <c r="H17" i="66"/>
  <c r="H18" i="66"/>
  <c r="H18" i="69"/>
  <c r="H14" i="69"/>
  <c r="H34" i="66"/>
  <c r="H28" i="69"/>
  <c r="K18" i="74"/>
  <c r="K17" i="74"/>
  <c r="H27" i="69"/>
  <c r="H14" i="65"/>
  <c r="K30" i="74"/>
  <c r="K15" i="73"/>
  <c r="I31" i="66"/>
  <c r="K22" i="72"/>
  <c r="I34" i="2"/>
  <c r="H17" i="68"/>
  <c r="K21" i="71"/>
  <c r="H10" i="67"/>
  <c r="I30" i="68"/>
  <c r="K15" i="72"/>
  <c r="I29" i="68"/>
  <c r="I38" i="69"/>
  <c r="K25" i="73"/>
  <c r="K29" i="71"/>
  <c r="H9" i="65"/>
  <c r="H3" i="67"/>
  <c r="H23" i="65"/>
  <c r="H15" i="67"/>
  <c r="I32" i="68"/>
  <c r="H36" i="69"/>
  <c r="G16" i="71"/>
  <c r="G19" i="71" s="1"/>
  <c r="K32" i="72"/>
  <c r="H36" i="65"/>
  <c r="H23" i="69"/>
  <c r="K3" i="75"/>
  <c r="K3" i="71"/>
  <c r="H20" i="68"/>
  <c r="H17" i="2"/>
  <c r="I31" i="65"/>
  <c r="H23" i="66"/>
  <c r="K17" i="71"/>
  <c r="H24" i="65"/>
  <c r="K30" i="71"/>
  <c r="F16" i="66"/>
  <c r="F19" i="66" s="1"/>
  <c r="J16" i="65"/>
  <c r="G16" i="75"/>
  <c r="J16" i="75" s="1"/>
  <c r="G16" i="72"/>
  <c r="G19" i="72" s="1"/>
  <c r="F16" i="69"/>
  <c r="F19" i="69" s="1"/>
  <c r="F16" i="65"/>
  <c r="F19" i="65" s="1"/>
  <c r="K12" i="70"/>
  <c r="M16" i="71"/>
  <c r="N16" i="71" s="1"/>
  <c r="J16" i="69"/>
  <c r="J16" i="67"/>
  <c r="M16" i="75"/>
  <c r="N16" i="75" s="1"/>
  <c r="G16" i="74"/>
  <c r="J12" i="79"/>
  <c r="G16" i="73"/>
  <c r="J16" i="73" s="1"/>
  <c r="G16" i="70"/>
  <c r="G19" i="70" s="1"/>
  <c r="F16" i="67"/>
  <c r="F19" i="67" s="1"/>
  <c r="M16" i="74"/>
  <c r="N16" i="74" s="1"/>
  <c r="M16" i="72"/>
  <c r="O16" i="72" s="1"/>
  <c r="M16" i="70"/>
  <c r="J16" i="68"/>
  <c r="J16" i="66"/>
  <c r="F16" i="68"/>
  <c r="F19" i="68" s="1"/>
  <c r="J16" i="2"/>
  <c r="K36" i="75"/>
  <c r="K37" i="71"/>
  <c r="H15" i="65"/>
  <c r="I32" i="66"/>
  <c r="H30" i="65"/>
  <c r="H27" i="68"/>
  <c r="K34" i="74"/>
  <c r="H15" i="69"/>
  <c r="I17" i="69"/>
  <c r="H21" i="66"/>
  <c r="H20" i="66"/>
  <c r="K29" i="73"/>
  <c r="I29" i="69"/>
  <c r="I12" i="67"/>
  <c r="I32" i="67"/>
  <c r="H9" i="67"/>
  <c r="I35" i="67"/>
  <c r="I36" i="67"/>
  <c r="K23" i="75"/>
  <c r="K3" i="73"/>
  <c r="I3" i="69"/>
  <c r="I25" i="69"/>
  <c r="K23" i="72"/>
  <c r="K28" i="74"/>
  <c r="K28" i="71"/>
  <c r="I5" i="68"/>
  <c r="I28" i="67"/>
  <c r="G20" i="79"/>
  <c r="K35" i="72"/>
  <c r="I31" i="68"/>
  <c r="H38" i="65"/>
  <c r="I31" i="2"/>
  <c r="H29" i="66"/>
  <c r="K3" i="70"/>
  <c r="H14" i="67"/>
  <c r="K5" i="72"/>
  <c r="H35" i="68"/>
  <c r="I11" i="65"/>
  <c r="H18" i="68"/>
  <c r="K5" i="75"/>
  <c r="H21" i="68"/>
  <c r="G20" i="77"/>
  <c r="I7" i="68"/>
  <c r="H37" i="65"/>
  <c r="K17" i="75"/>
  <c r="H18" i="65"/>
  <c r="H26" i="67"/>
  <c r="K9" i="74"/>
  <c r="H20" i="67"/>
  <c r="H31" i="69"/>
  <c r="K29" i="72"/>
  <c r="K8" i="70"/>
  <c r="I3" i="68"/>
  <c r="H22" i="65"/>
  <c r="K9" i="70"/>
  <c r="H5" i="65"/>
  <c r="I22" i="65"/>
  <c r="H28" i="68"/>
  <c r="H25" i="67"/>
  <c r="H35" i="66"/>
  <c r="K20" i="71"/>
  <c r="H5" i="69"/>
  <c r="H36" i="66"/>
  <c r="I15" i="68"/>
  <c r="K11" i="71"/>
  <c r="K11" i="75"/>
  <c r="H18" i="2"/>
  <c r="H26" i="65"/>
  <c r="K25" i="71"/>
  <c r="I26" i="69"/>
  <c r="H12" i="69"/>
  <c r="K5" i="73"/>
  <c r="H37" i="2"/>
  <c r="I38" i="67"/>
  <c r="I32" i="69"/>
  <c r="G6" i="2"/>
  <c r="G16" i="2" s="1"/>
  <c r="G19" i="2" s="1"/>
  <c r="K36" i="72"/>
  <c r="K38" i="75"/>
  <c r="H22" i="82"/>
  <c r="H22" i="66"/>
  <c r="G40" i="65"/>
  <c r="G22" i="87"/>
  <c r="G21" i="76"/>
  <c r="G22" i="78"/>
  <c r="G22" i="76"/>
  <c r="G27" i="76"/>
  <c r="H27" i="81"/>
  <c r="H27" i="65"/>
  <c r="G27" i="87"/>
  <c r="G28" i="76"/>
  <c r="I27" i="65"/>
  <c r="I7" i="65"/>
  <c r="I8" i="65"/>
  <c r="I6" i="65"/>
  <c r="H3" i="65"/>
  <c r="G3" i="76"/>
  <c r="I13" i="65"/>
  <c r="G5" i="77"/>
  <c r="H39" i="86"/>
  <c r="H39" i="84"/>
  <c r="G23" i="77"/>
  <c r="G37" i="76"/>
  <c r="G38" i="76"/>
  <c r="H35" i="84"/>
  <c r="H20" i="81"/>
  <c r="G27" i="79"/>
  <c r="G20" i="78"/>
  <c r="G20" i="87"/>
  <c r="G36" i="76"/>
  <c r="G23" i="76"/>
  <c r="H28" i="86"/>
  <c r="H39" i="85"/>
  <c r="H38" i="81"/>
  <c r="H39" i="80"/>
  <c r="G32" i="76"/>
  <c r="G28" i="78"/>
  <c r="I35" i="2"/>
  <c r="H36" i="80"/>
  <c r="G39" i="87"/>
  <c r="H28" i="81"/>
  <c r="H15" i="86"/>
  <c r="G11" i="77"/>
  <c r="G15" i="76"/>
  <c r="G17" i="76"/>
  <c r="G13" i="87"/>
  <c r="G14" i="77"/>
  <c r="G12" i="77"/>
  <c r="G13" i="77"/>
  <c r="H11" i="84"/>
  <c r="H14" i="81"/>
  <c r="G14" i="76"/>
  <c r="G13" i="78"/>
  <c r="G12" i="76"/>
  <c r="G13" i="76"/>
  <c r="I11" i="2"/>
  <c r="G14" i="79"/>
  <c r="I14" i="2"/>
  <c r="H14" i="80"/>
  <c r="I5" i="2"/>
  <c r="H5" i="83"/>
  <c r="G5" i="76"/>
  <c r="H3" i="86"/>
  <c r="G8" i="76"/>
  <c r="G8" i="87"/>
  <c r="G7" i="76"/>
  <c r="G7" i="87"/>
  <c r="H7" i="84"/>
  <c r="H8" i="82"/>
  <c r="H8" i="80"/>
  <c r="H7" i="85"/>
  <c r="H7" i="81"/>
  <c r="H7" i="80"/>
  <c r="H8" i="85"/>
  <c r="G8" i="79"/>
  <c r="G8" i="77"/>
  <c r="G7" i="79"/>
  <c r="G7" i="77"/>
  <c r="I8" i="2"/>
  <c r="H7" i="2"/>
  <c r="H7" i="83"/>
  <c r="G3" i="78"/>
  <c r="I3" i="2"/>
  <c r="K35" i="75"/>
  <c r="H27" i="86"/>
  <c r="H22" i="84"/>
  <c r="H26" i="68"/>
  <c r="H38" i="66"/>
  <c r="K6" i="72"/>
  <c r="K31" i="72"/>
  <c r="K38" i="66"/>
  <c r="H29" i="2"/>
  <c r="K10" i="71"/>
  <c r="H25" i="68"/>
  <c r="K35" i="71"/>
  <c r="K28" i="73"/>
  <c r="K8" i="75"/>
  <c r="H23" i="90"/>
  <c r="H10" i="90"/>
  <c r="H38" i="86"/>
  <c r="H26" i="86"/>
  <c r="H13" i="86"/>
  <c r="H29" i="85"/>
  <c r="H17" i="85"/>
  <c r="H21" i="84"/>
  <c r="H8" i="84"/>
  <c r="H28" i="83"/>
  <c r="H15" i="83"/>
  <c r="H3" i="83"/>
  <c r="H32" i="82"/>
  <c r="H20" i="82"/>
  <c r="H7" i="82"/>
  <c r="H36" i="81"/>
  <c r="H24" i="81"/>
  <c r="H11" i="81"/>
  <c r="H31" i="80"/>
  <c r="G35" i="79"/>
  <c r="G23" i="79"/>
  <c r="G10" i="79"/>
  <c r="G27" i="78"/>
  <c r="G14" i="78"/>
  <c r="G31" i="87"/>
  <c r="G34" i="77"/>
  <c r="G22" i="77"/>
  <c r="G9" i="77"/>
  <c r="I5" i="67"/>
  <c r="H9" i="84"/>
  <c r="H29" i="83"/>
  <c r="I26" i="68"/>
  <c r="K23" i="71"/>
  <c r="K6" i="74"/>
  <c r="K20" i="74"/>
  <c r="K32" i="74"/>
  <c r="H34" i="90"/>
  <c r="H37" i="86"/>
  <c r="H25" i="86"/>
  <c r="H12" i="86"/>
  <c r="H28" i="85"/>
  <c r="H15" i="85"/>
  <c r="H3" i="85"/>
  <c r="H36" i="89"/>
  <c r="Q36" i="89" s="1"/>
  <c r="H27" i="83"/>
  <c r="H14" i="83"/>
  <c r="H31" i="82"/>
  <c r="H35" i="81"/>
  <c r="G27" i="88"/>
  <c r="G14" i="88"/>
  <c r="H30" i="80"/>
  <c r="H18" i="80"/>
  <c r="H5" i="80"/>
  <c r="G22" i="79"/>
  <c r="G38" i="78"/>
  <c r="G30" i="87"/>
  <c r="G18" i="87"/>
  <c r="G5" i="87"/>
  <c r="H12" i="81"/>
  <c r="I38" i="66"/>
  <c r="P36" i="71"/>
  <c r="H12" i="68"/>
  <c r="I11" i="66"/>
  <c r="L37" i="66"/>
  <c r="K31" i="74"/>
  <c r="K7" i="74"/>
  <c r="H21" i="90"/>
  <c r="H36" i="86"/>
  <c r="H24" i="86"/>
  <c r="H11" i="86"/>
  <c r="H27" i="85"/>
  <c r="H14" i="85"/>
  <c r="H31" i="84"/>
  <c r="H35" i="89"/>
  <c r="Q35" i="89" s="1"/>
  <c r="H23" i="89"/>
  <c r="Q23" i="89" s="1"/>
  <c r="H10" i="89"/>
  <c r="Q10" i="89" s="1"/>
  <c r="H38" i="83"/>
  <c r="H26" i="83"/>
  <c r="H13" i="83"/>
  <c r="H30" i="82"/>
  <c r="H18" i="82"/>
  <c r="H5" i="82"/>
  <c r="H34" i="81"/>
  <c r="H22" i="81"/>
  <c r="H9" i="81"/>
  <c r="R9" i="81" s="1"/>
  <c r="G38" i="88"/>
  <c r="G26" i="88"/>
  <c r="G13" i="88"/>
  <c r="H29" i="80"/>
  <c r="H17" i="80"/>
  <c r="G37" i="78"/>
  <c r="G25" i="78"/>
  <c r="G12" i="78"/>
  <c r="G29" i="87"/>
  <c r="G17" i="87"/>
  <c r="H37" i="90"/>
  <c r="K21" i="75"/>
  <c r="H40" i="70"/>
  <c r="H8" i="69"/>
  <c r="H30" i="2"/>
  <c r="I12" i="66"/>
  <c r="I3" i="65"/>
  <c r="L38" i="66"/>
  <c r="H20" i="90"/>
  <c r="H7" i="90"/>
  <c r="H35" i="86"/>
  <c r="H23" i="86"/>
  <c r="H10" i="86"/>
  <c r="H38" i="85"/>
  <c r="H26" i="85"/>
  <c r="H13" i="85"/>
  <c r="H30" i="84"/>
  <c r="H18" i="84"/>
  <c r="H5" i="84"/>
  <c r="H22" i="89"/>
  <c r="Q22" i="89" s="1"/>
  <c r="H37" i="83"/>
  <c r="H25" i="83"/>
  <c r="H12" i="83"/>
  <c r="H29" i="82"/>
  <c r="H17" i="82"/>
  <c r="H21" i="81"/>
  <c r="H8" i="81"/>
  <c r="G12" i="88"/>
  <c r="H28" i="80"/>
  <c r="H15" i="80"/>
  <c r="H3" i="80"/>
  <c r="G24" i="78"/>
  <c r="G11" i="78"/>
  <c r="G28" i="87"/>
  <c r="G15" i="87"/>
  <c r="G3" i="87"/>
  <c r="H24" i="90"/>
  <c r="H30" i="85"/>
  <c r="H17" i="83"/>
  <c r="I38" i="68"/>
  <c r="K36" i="71"/>
  <c r="K13" i="75"/>
  <c r="K23" i="74"/>
  <c r="K36" i="74"/>
  <c r="H31" i="90"/>
  <c r="H34" i="86"/>
  <c r="H22" i="86"/>
  <c r="H9" i="86"/>
  <c r="H37" i="85"/>
  <c r="H25" i="85"/>
  <c r="H12" i="85"/>
  <c r="H40" i="74"/>
  <c r="H29" i="84"/>
  <c r="H17" i="84"/>
  <c r="H36" i="83"/>
  <c r="H24" i="83"/>
  <c r="H11" i="83"/>
  <c r="H28" i="82"/>
  <c r="H15" i="82"/>
  <c r="H3" i="82"/>
  <c r="H27" i="80"/>
  <c r="G31" i="79"/>
  <c r="G30" i="77"/>
  <c r="H25" i="66"/>
  <c r="K18" i="72"/>
  <c r="I29" i="67"/>
  <c r="I8" i="69"/>
  <c r="I24" i="66"/>
  <c r="I37" i="66"/>
  <c r="I21" i="69"/>
  <c r="I34" i="69"/>
  <c r="H21" i="86"/>
  <c r="H8" i="86"/>
  <c r="H36" i="85"/>
  <c r="H24" i="85"/>
  <c r="H11" i="85"/>
  <c r="H28" i="84"/>
  <c r="H15" i="84"/>
  <c r="H3" i="84"/>
  <c r="H35" i="83"/>
  <c r="H23" i="83"/>
  <c r="H10" i="83"/>
  <c r="H27" i="82"/>
  <c r="H14" i="82"/>
  <c r="G35" i="88"/>
  <c r="H38" i="80"/>
  <c r="H26" i="80"/>
  <c r="H13" i="80"/>
  <c r="G30" i="79"/>
  <c r="G18" i="79"/>
  <c r="G5" i="79"/>
  <c r="G38" i="87"/>
  <c r="G29" i="77"/>
  <c r="G17" i="77"/>
  <c r="H28" i="65"/>
  <c r="H29" i="65"/>
  <c r="H21" i="69"/>
  <c r="H13" i="68"/>
  <c r="I9" i="69"/>
  <c r="H11" i="66"/>
  <c r="I25" i="66"/>
  <c r="I22" i="69"/>
  <c r="I35" i="69"/>
  <c r="H32" i="86"/>
  <c r="H20" i="86"/>
  <c r="H7" i="86"/>
  <c r="H35" i="85"/>
  <c r="H23" i="85"/>
  <c r="H10" i="85"/>
  <c r="H27" i="84"/>
  <c r="H14" i="84"/>
  <c r="H31" i="89"/>
  <c r="Q31" i="89" s="1"/>
  <c r="H6" i="89"/>
  <c r="Q6" i="89" s="1"/>
  <c r="H34" i="83"/>
  <c r="H22" i="83"/>
  <c r="H9" i="83"/>
  <c r="H38" i="82"/>
  <c r="H26" i="82"/>
  <c r="H13" i="82"/>
  <c r="H30" i="81"/>
  <c r="H18" i="81"/>
  <c r="H5" i="81"/>
  <c r="G34" i="88"/>
  <c r="G22" i="88"/>
  <c r="G9" i="88"/>
  <c r="H37" i="80"/>
  <c r="H25" i="80"/>
  <c r="H12" i="80"/>
  <c r="G40" i="69"/>
  <c r="G29" i="79"/>
  <c r="G17" i="79"/>
  <c r="G37" i="87"/>
  <c r="G25" i="87"/>
  <c r="G12" i="87"/>
  <c r="G28" i="77"/>
  <c r="G15" i="77"/>
  <c r="G3" i="77"/>
  <c r="H11" i="90"/>
  <c r="H14" i="86"/>
  <c r="H18" i="85"/>
  <c r="H25" i="81"/>
  <c r="H12" i="66"/>
  <c r="K23" i="73"/>
  <c r="H31" i="86"/>
  <c r="H34" i="85"/>
  <c r="H22" i="85"/>
  <c r="H9" i="85"/>
  <c r="H38" i="84"/>
  <c r="H26" i="84"/>
  <c r="H13" i="84"/>
  <c r="H30" i="89"/>
  <c r="Q30" i="89" s="1"/>
  <c r="H5" i="89"/>
  <c r="Q5" i="89" s="1"/>
  <c r="H21" i="83"/>
  <c r="H8" i="83"/>
  <c r="H37" i="82"/>
  <c r="H25" i="82"/>
  <c r="H12" i="82"/>
  <c r="H29" i="81"/>
  <c r="H17" i="81"/>
  <c r="G21" i="88"/>
  <c r="G8" i="88"/>
  <c r="H24" i="80"/>
  <c r="H11" i="80"/>
  <c r="G28" i="79"/>
  <c r="G15" i="79"/>
  <c r="G3" i="79"/>
  <c r="G24" i="87"/>
  <c r="G11" i="87"/>
  <c r="G29" i="78"/>
  <c r="H5" i="67"/>
  <c r="I17" i="65"/>
  <c r="I29" i="2"/>
  <c r="K37" i="73"/>
  <c r="H4" i="67"/>
  <c r="H17" i="67"/>
  <c r="I30" i="67"/>
  <c r="K24" i="73"/>
  <c r="H30" i="86"/>
  <c r="H18" i="86"/>
  <c r="H5" i="86"/>
  <c r="H37" i="84"/>
  <c r="H25" i="84"/>
  <c r="H12" i="84"/>
  <c r="H36" i="82"/>
  <c r="H24" i="82"/>
  <c r="H11" i="82"/>
  <c r="H3" i="81"/>
  <c r="H35" i="80"/>
  <c r="G38" i="77"/>
  <c r="G30" i="76"/>
  <c r="H5" i="85"/>
  <c r="I30" i="2"/>
  <c r="I13" i="68"/>
  <c r="I18" i="67"/>
  <c r="K14" i="70"/>
  <c r="K31" i="75"/>
  <c r="H29" i="86"/>
  <c r="H17" i="86"/>
  <c r="K22" i="75"/>
  <c r="K4" i="75"/>
  <c r="K35" i="74"/>
  <c r="K37" i="74"/>
  <c r="K12" i="71"/>
  <c r="K20" i="70"/>
  <c r="K22" i="70"/>
  <c r="K5" i="70"/>
  <c r="K21" i="70"/>
  <c r="H22" i="69"/>
  <c r="H34" i="69"/>
  <c r="H35" i="69"/>
  <c r="I24" i="69"/>
  <c r="H30" i="69"/>
  <c r="I20" i="69"/>
  <c r="H22" i="68"/>
  <c r="H8" i="68"/>
  <c r="I34" i="68"/>
  <c r="H23" i="68"/>
  <c r="H30" i="67"/>
  <c r="I23" i="67"/>
  <c r="I17" i="67"/>
  <c r="H18" i="67"/>
  <c r="I21" i="67"/>
  <c r="H4" i="66"/>
  <c r="H5" i="66"/>
  <c r="H10" i="66"/>
  <c r="H30" i="66"/>
  <c r="I8" i="66"/>
  <c r="H7" i="66"/>
  <c r="H24" i="66"/>
  <c r="H9" i="66"/>
  <c r="H20" i="65"/>
  <c r="H12" i="65"/>
  <c r="H25" i="65"/>
  <c r="H10" i="65"/>
  <c r="H32" i="65"/>
  <c r="K6" i="70"/>
  <c r="I6" i="69"/>
  <c r="I6" i="66"/>
  <c r="H6" i="65"/>
  <c r="I4" i="65"/>
  <c r="I4" i="69"/>
  <c r="I4" i="67"/>
  <c r="H4" i="68"/>
  <c r="K20" i="75"/>
  <c r="K9" i="75"/>
  <c r="K24" i="75"/>
  <c r="K10" i="75"/>
  <c r="K26" i="75"/>
  <c r="K10" i="74"/>
  <c r="K12" i="73"/>
  <c r="K26" i="73"/>
  <c r="K38" i="73"/>
  <c r="K24" i="72"/>
  <c r="K11" i="72"/>
  <c r="K25" i="72"/>
  <c r="K37" i="72"/>
  <c r="K26" i="72"/>
  <c r="K27" i="72"/>
  <c r="K13" i="72"/>
  <c r="K14" i="72"/>
  <c r="K28" i="72"/>
  <c r="K22" i="71"/>
  <c r="K26" i="71"/>
  <c r="K6" i="71"/>
  <c r="K13" i="70"/>
  <c r="K11" i="70"/>
  <c r="K29" i="70"/>
  <c r="K4" i="70"/>
  <c r="K17" i="70"/>
  <c r="H11" i="69"/>
  <c r="H37" i="69"/>
  <c r="H13" i="69"/>
  <c r="I7" i="69"/>
  <c r="H10" i="69"/>
  <c r="I9" i="68"/>
  <c r="I24" i="68"/>
  <c r="I11" i="68"/>
  <c r="I25" i="68"/>
  <c r="I37" i="68"/>
  <c r="H10" i="68"/>
  <c r="H36" i="68"/>
  <c r="H6" i="68"/>
  <c r="I8" i="67"/>
  <c r="I22" i="67"/>
  <c r="I34" i="67"/>
  <c r="H31" i="67"/>
  <c r="I7" i="67"/>
  <c r="H6" i="67"/>
  <c r="I24" i="67"/>
  <c r="I37" i="67"/>
  <c r="H13" i="66"/>
  <c r="H27" i="66"/>
  <c r="I14" i="66"/>
  <c r="I28" i="66"/>
  <c r="I3" i="66"/>
  <c r="I15" i="66"/>
  <c r="H3" i="66"/>
  <c r="H26" i="66"/>
  <c r="H8" i="65"/>
  <c r="H34" i="65"/>
  <c r="H7" i="65"/>
  <c r="H21" i="65"/>
  <c r="H10" i="2"/>
  <c r="I7" i="2"/>
  <c r="I21" i="2"/>
  <c r="H20" i="2"/>
  <c r="H32" i="2"/>
  <c r="H5" i="2"/>
  <c r="H38" i="2"/>
  <c r="H35" i="2"/>
  <c r="H8" i="2"/>
  <c r="H11" i="2"/>
  <c r="H23" i="2"/>
  <c r="H25" i="2"/>
  <c r="H27" i="2"/>
  <c r="I9" i="2"/>
  <c r="H14" i="2"/>
  <c r="H28" i="2"/>
  <c r="I24" i="2"/>
  <c r="I36" i="2"/>
  <c r="I26" i="2"/>
  <c r="I22" i="2"/>
  <c r="I12" i="2"/>
  <c r="I13" i="2"/>
  <c r="I15" i="2"/>
  <c r="H3" i="2"/>
  <c r="E74" i="34"/>
  <c r="Q74" i="34" s="1"/>
  <c r="F74" i="34"/>
  <c r="G74" i="34"/>
  <c r="H74" i="34"/>
  <c r="I74" i="34"/>
  <c r="J74" i="34"/>
  <c r="K74" i="34"/>
  <c r="L74" i="34"/>
  <c r="M74" i="34"/>
  <c r="N74" i="34"/>
  <c r="O74" i="34"/>
  <c r="P74" i="34"/>
  <c r="J20" i="65"/>
  <c r="J20" i="66"/>
  <c r="J20" i="67"/>
  <c r="J20" i="68"/>
  <c r="J20" i="69"/>
  <c r="M20" i="70"/>
  <c r="M20" i="71"/>
  <c r="M20" i="72"/>
  <c r="M20" i="74"/>
  <c r="N20" i="74" s="1"/>
  <c r="M20" i="75"/>
  <c r="N20" i="75" s="1"/>
  <c r="J20" i="2"/>
  <c r="Q20" i="81" l="1"/>
  <c r="AS11" i="34"/>
  <c r="Q10" i="81"/>
  <c r="AS12" i="34"/>
  <c r="AT12" i="34" s="1"/>
  <c r="AU12" i="34" s="1"/>
  <c r="AG17" i="34"/>
  <c r="AR17" i="34" s="1"/>
  <c r="P15" i="81" s="1"/>
  <c r="AG20" i="34"/>
  <c r="AR20" i="34" s="1"/>
  <c r="P13" i="81" s="1"/>
  <c r="AG32" i="34"/>
  <c r="AR32" i="34" s="1"/>
  <c r="AG37" i="34"/>
  <c r="AR37" i="34" s="1"/>
  <c r="AS37" i="34" s="1"/>
  <c r="AG7" i="34"/>
  <c r="AR7" i="34" s="1"/>
  <c r="AS7" i="34" s="1"/>
  <c r="AG31" i="34"/>
  <c r="AR31" i="34" s="1"/>
  <c r="AG19" i="34"/>
  <c r="AR19" i="34" s="1"/>
  <c r="P18" i="81" s="1"/>
  <c r="Q18" i="81" s="1"/>
  <c r="AG28" i="34"/>
  <c r="AR28" i="34" s="1"/>
  <c r="AG30" i="34"/>
  <c r="AR30" i="34" s="1"/>
  <c r="AG29" i="34"/>
  <c r="AR29" i="34" s="1"/>
  <c r="AG9" i="34"/>
  <c r="AR9" i="34" s="1"/>
  <c r="AS9" i="34" s="1"/>
  <c r="AG16" i="34"/>
  <c r="AR16" i="34" s="1"/>
  <c r="P14" i="81" s="1"/>
  <c r="Q14" i="81" s="1"/>
  <c r="AG10" i="34"/>
  <c r="AR10" i="34" s="1"/>
  <c r="AS10" i="34" s="1"/>
  <c r="AG36" i="34"/>
  <c r="AR36" i="34" s="1"/>
  <c r="AG14" i="34"/>
  <c r="AR14" i="34" s="1"/>
  <c r="AS14" i="34" s="1"/>
  <c r="AG33" i="34"/>
  <c r="AR33" i="34" s="1"/>
  <c r="I40" i="73"/>
  <c r="AG26" i="34"/>
  <c r="AR26" i="34" s="1"/>
  <c r="AG13" i="34"/>
  <c r="AR13" i="34" s="1"/>
  <c r="AS13" i="34" s="1"/>
  <c r="AG27" i="34"/>
  <c r="AR27" i="34" s="1"/>
  <c r="AG5" i="34"/>
  <c r="AR5" i="34" s="1"/>
  <c r="AG18" i="34"/>
  <c r="AR18" i="34" s="1"/>
  <c r="P17" i="81" s="1"/>
  <c r="Q17" i="81" s="1"/>
  <c r="AS22" i="34"/>
  <c r="G19" i="74"/>
  <c r="X19" i="74" s="1"/>
  <c r="X16" i="74"/>
  <c r="W40" i="74"/>
  <c r="S40" i="74"/>
  <c r="R40" i="74"/>
  <c r="T40" i="74"/>
  <c r="N10" i="90"/>
  <c r="M10" i="90"/>
  <c r="I30" i="73"/>
  <c r="I18" i="73"/>
  <c r="I6" i="73"/>
  <c r="I29" i="73"/>
  <c r="I17" i="73"/>
  <c r="I5" i="73"/>
  <c r="I28" i="73"/>
  <c r="I4" i="73"/>
  <c r="I39" i="73"/>
  <c r="I27" i="73"/>
  <c r="I15" i="73"/>
  <c r="I3" i="73"/>
  <c r="W19" i="73"/>
  <c r="I38" i="73"/>
  <c r="I26" i="73"/>
  <c r="I14" i="73"/>
  <c r="I37" i="73"/>
  <c r="I25" i="73"/>
  <c r="I13" i="73"/>
  <c r="I31" i="73"/>
  <c r="I36" i="73"/>
  <c r="I24" i="73"/>
  <c r="I12" i="73"/>
  <c r="I35" i="73"/>
  <c r="I23" i="73"/>
  <c r="I11" i="73"/>
  <c r="I19" i="73"/>
  <c r="I34" i="73"/>
  <c r="I22" i="73"/>
  <c r="I10" i="73"/>
  <c r="I33" i="73"/>
  <c r="I21" i="73"/>
  <c r="I9" i="73"/>
  <c r="I32" i="73"/>
  <c r="I20" i="73"/>
  <c r="I8" i="73"/>
  <c r="I7" i="73"/>
  <c r="N19" i="73"/>
  <c r="N11" i="90"/>
  <c r="M11" i="90"/>
  <c r="T38" i="86"/>
  <c r="V38" i="86" s="1"/>
  <c r="AG38" i="34"/>
  <c r="AR38" i="34" s="1"/>
  <c r="M34" i="90"/>
  <c r="N34" i="90"/>
  <c r="N23" i="90"/>
  <c r="M23" i="90"/>
  <c r="M21" i="90"/>
  <c r="N21" i="90"/>
  <c r="N24" i="90"/>
  <c r="M24" i="90"/>
  <c r="N37" i="90"/>
  <c r="M37" i="90"/>
  <c r="J16" i="74"/>
  <c r="W19" i="74"/>
  <c r="R19" i="74"/>
  <c r="T19" i="74"/>
  <c r="S19" i="74"/>
  <c r="T39" i="86"/>
  <c r="V39" i="86" s="1"/>
  <c r="AG39" i="34"/>
  <c r="AR39" i="34" s="1"/>
  <c r="N7" i="90"/>
  <c r="M7" i="90"/>
  <c r="N31" i="90"/>
  <c r="M31" i="90"/>
  <c r="N20" i="90"/>
  <c r="M20" i="90"/>
  <c r="G19" i="75"/>
  <c r="X19" i="75" s="1"/>
  <c r="X16" i="75"/>
  <c r="W19" i="75"/>
  <c r="R19" i="75"/>
  <c r="T19" i="75"/>
  <c r="S19" i="75"/>
  <c r="G19" i="73"/>
  <c r="J19" i="73" s="1"/>
  <c r="X16" i="73"/>
  <c r="R16" i="73"/>
  <c r="T16" i="73"/>
  <c r="S16" i="73"/>
  <c r="Y19" i="72"/>
  <c r="X19" i="72"/>
  <c r="S19" i="72"/>
  <c r="U19" i="72"/>
  <c r="T19" i="72"/>
  <c r="I36" i="71"/>
  <c r="I35" i="71"/>
  <c r="I23" i="71"/>
  <c r="I11" i="71"/>
  <c r="I34" i="71"/>
  <c r="I33" i="71"/>
  <c r="I21" i="71"/>
  <c r="I9" i="71"/>
  <c r="I20" i="71"/>
  <c r="I8" i="71"/>
  <c r="I19" i="71"/>
  <c r="I7" i="71"/>
  <c r="I18" i="71"/>
  <c r="I6" i="71"/>
  <c r="I13" i="71"/>
  <c r="I24" i="71"/>
  <c r="I12" i="71"/>
  <c r="I22" i="71"/>
  <c r="I10" i="71"/>
  <c r="I32" i="71"/>
  <c r="I31" i="71"/>
  <c r="I30" i="71"/>
  <c r="I29" i="71"/>
  <c r="I17" i="71"/>
  <c r="I5" i="71"/>
  <c r="I14" i="71"/>
  <c r="I25" i="71"/>
  <c r="I28" i="71"/>
  <c r="I4" i="71"/>
  <c r="I26" i="71"/>
  <c r="I39" i="71"/>
  <c r="I27" i="71"/>
  <c r="I15" i="71"/>
  <c r="I3" i="71"/>
  <c r="I38" i="71"/>
  <c r="I37" i="71"/>
  <c r="I40" i="71"/>
  <c r="R36" i="85"/>
  <c r="Q36" i="85"/>
  <c r="Q36" i="83"/>
  <c r="R36" i="83"/>
  <c r="Q36" i="81"/>
  <c r="R36" i="81"/>
  <c r="Q36" i="82"/>
  <c r="R36" i="82"/>
  <c r="Q9" i="81"/>
  <c r="R20" i="81"/>
  <c r="T24" i="86"/>
  <c r="V24" i="86" s="1"/>
  <c r="T29" i="86"/>
  <c r="V29" i="86" s="1"/>
  <c r="T28" i="86"/>
  <c r="V28" i="86" s="1"/>
  <c r="T13" i="86"/>
  <c r="V13" i="86" s="1"/>
  <c r="T30" i="86"/>
  <c r="V30" i="86" s="1"/>
  <c r="T15" i="86"/>
  <c r="V15" i="86" s="1"/>
  <c r="T26" i="86"/>
  <c r="V26" i="86" s="1"/>
  <c r="T36" i="86"/>
  <c r="V36" i="86" s="1"/>
  <c r="T37" i="86"/>
  <c r="V37" i="86" s="1"/>
  <c r="T5" i="86"/>
  <c r="V5" i="86" s="1"/>
  <c r="T18" i="86"/>
  <c r="V18" i="86" s="1"/>
  <c r="T27" i="86"/>
  <c r="V27" i="86" s="1"/>
  <c r="T7" i="86"/>
  <c r="V7" i="86" s="1"/>
  <c r="T14" i="86"/>
  <c r="V14" i="86" s="1"/>
  <c r="T8" i="86"/>
  <c r="V8" i="86" s="1"/>
  <c r="V20" i="86"/>
  <c r="T35" i="86"/>
  <c r="V35" i="86" s="1"/>
  <c r="T12" i="86"/>
  <c r="V12" i="86" s="1"/>
  <c r="T31" i="86"/>
  <c r="V31" i="86" s="1"/>
  <c r="T11" i="86"/>
  <c r="V11" i="86" s="1"/>
  <c r="T25" i="86"/>
  <c r="V25" i="86" s="1"/>
  <c r="T3" i="86"/>
  <c r="T17" i="86"/>
  <c r="V17" i="86" s="1"/>
  <c r="N20" i="72"/>
  <c r="O20" i="72"/>
  <c r="P21" i="81"/>
  <c r="AS23" i="34"/>
  <c r="H50" i="86"/>
  <c r="Q36" i="86"/>
  <c r="R36" i="86"/>
  <c r="H49" i="86"/>
  <c r="H46" i="86"/>
  <c r="I37" i="75"/>
  <c r="I25" i="75"/>
  <c r="I13" i="75"/>
  <c r="I39" i="75"/>
  <c r="I15" i="75"/>
  <c r="I36" i="75"/>
  <c r="I24" i="75"/>
  <c r="I12" i="75"/>
  <c r="I27" i="75"/>
  <c r="I3" i="75"/>
  <c r="I35" i="75"/>
  <c r="I23" i="75"/>
  <c r="I11" i="75"/>
  <c r="I17" i="75"/>
  <c r="I34" i="75"/>
  <c r="I22" i="75"/>
  <c r="I10" i="75"/>
  <c r="I33" i="75"/>
  <c r="I21" i="75"/>
  <c r="I9" i="75"/>
  <c r="I32" i="75"/>
  <c r="I20" i="75"/>
  <c r="I8" i="75"/>
  <c r="I31" i="75"/>
  <c r="I19" i="75"/>
  <c r="I7" i="75"/>
  <c r="I42" i="75"/>
  <c r="I30" i="75"/>
  <c r="I18" i="75"/>
  <c r="I6" i="75"/>
  <c r="I29" i="75"/>
  <c r="I5" i="75"/>
  <c r="I40" i="75"/>
  <c r="I28" i="75"/>
  <c r="I4" i="75"/>
  <c r="I38" i="75"/>
  <c r="I26" i="75"/>
  <c r="I14" i="75"/>
  <c r="I34" i="74"/>
  <c r="I22" i="74"/>
  <c r="I10" i="74"/>
  <c r="I23" i="74"/>
  <c r="I33" i="74"/>
  <c r="I21" i="74"/>
  <c r="I9" i="74"/>
  <c r="I39" i="74"/>
  <c r="I11" i="74"/>
  <c r="I32" i="74"/>
  <c r="I20" i="74"/>
  <c r="I8" i="74"/>
  <c r="I12" i="74"/>
  <c r="I31" i="74"/>
  <c r="I19" i="74"/>
  <c r="I7" i="74"/>
  <c r="I30" i="74"/>
  <c r="I18" i="74"/>
  <c r="I6" i="74"/>
  <c r="I27" i="74"/>
  <c r="I24" i="74"/>
  <c r="I29" i="74"/>
  <c r="I17" i="74"/>
  <c r="I5" i="74"/>
  <c r="I28" i="74"/>
  <c r="I4" i="74"/>
  <c r="I15" i="74"/>
  <c r="I3" i="74"/>
  <c r="I36" i="74"/>
  <c r="I38" i="74"/>
  <c r="I26" i="74"/>
  <c r="I14" i="74"/>
  <c r="I37" i="74"/>
  <c r="I25" i="74"/>
  <c r="I13" i="74"/>
  <c r="I35" i="74"/>
  <c r="I40" i="74"/>
  <c r="I16" i="74"/>
  <c r="H16" i="90"/>
  <c r="M16" i="90" s="1"/>
  <c r="I40" i="72"/>
  <c r="I16" i="72"/>
  <c r="I26" i="72"/>
  <c r="I37" i="72"/>
  <c r="I25" i="72"/>
  <c r="I13" i="72"/>
  <c r="I36" i="72"/>
  <c r="I24" i="72"/>
  <c r="I12" i="72"/>
  <c r="I23" i="72"/>
  <c r="I11" i="72"/>
  <c r="I14" i="72"/>
  <c r="I35" i="72"/>
  <c r="I34" i="72"/>
  <c r="I22" i="72"/>
  <c r="I10" i="72"/>
  <c r="I33" i="72"/>
  <c r="I21" i="72"/>
  <c r="I9" i="72"/>
  <c r="I28" i="72"/>
  <c r="I27" i="72"/>
  <c r="I32" i="72"/>
  <c r="I20" i="72"/>
  <c r="I8" i="72"/>
  <c r="I29" i="72"/>
  <c r="I5" i="72"/>
  <c r="I39" i="72"/>
  <c r="I15" i="72"/>
  <c r="I38" i="72"/>
  <c r="I31" i="72"/>
  <c r="I19" i="72"/>
  <c r="I7" i="72"/>
  <c r="I30" i="72"/>
  <c r="I18" i="72"/>
  <c r="I6" i="72"/>
  <c r="I17" i="72"/>
  <c r="I4" i="72"/>
  <c r="I3" i="72"/>
  <c r="Y19" i="71"/>
  <c r="X19" i="71"/>
  <c r="U19" i="71"/>
  <c r="T19" i="71"/>
  <c r="S19" i="71"/>
  <c r="O16" i="71"/>
  <c r="O20" i="71"/>
  <c r="N20" i="71"/>
  <c r="U40" i="70"/>
  <c r="T40" i="70"/>
  <c r="S40" i="70"/>
  <c r="T19" i="70"/>
  <c r="S19" i="70"/>
  <c r="U19" i="70"/>
  <c r="Y19" i="70"/>
  <c r="Z19" i="70"/>
  <c r="Y40" i="70"/>
  <c r="Z40" i="70"/>
  <c r="I13" i="70"/>
  <c r="I12" i="70"/>
  <c r="I11" i="70"/>
  <c r="I10" i="70"/>
  <c r="I17" i="70"/>
  <c r="I15" i="70"/>
  <c r="I9" i="70"/>
  <c r="I5" i="70"/>
  <c r="I4" i="70"/>
  <c r="I14" i="70"/>
  <c r="I8" i="70"/>
  <c r="I7" i="70"/>
  <c r="I18" i="70"/>
  <c r="I6" i="70"/>
  <c r="I3" i="70"/>
  <c r="I37" i="70"/>
  <c r="I25" i="70"/>
  <c r="I36" i="70"/>
  <c r="I24" i="70"/>
  <c r="I35" i="70"/>
  <c r="I23" i="70"/>
  <c r="I34" i="70"/>
  <c r="I22" i="70"/>
  <c r="I33" i="70"/>
  <c r="I21" i="70"/>
  <c r="I28" i="70"/>
  <c r="I39" i="70"/>
  <c r="I38" i="70"/>
  <c r="I32" i="70"/>
  <c r="I20" i="70"/>
  <c r="I31" i="70"/>
  <c r="I30" i="70"/>
  <c r="I29" i="70"/>
  <c r="I27" i="70"/>
  <c r="I26" i="70"/>
  <c r="N16" i="70"/>
  <c r="N20" i="70"/>
  <c r="O20" i="70"/>
  <c r="O16" i="70"/>
  <c r="J16" i="70"/>
  <c r="J19" i="70"/>
  <c r="H16" i="89"/>
  <c r="Q16" i="89" s="1"/>
  <c r="K16" i="73"/>
  <c r="K19" i="73" s="1"/>
  <c r="K16" i="74"/>
  <c r="K19" i="74" s="1"/>
  <c r="I16" i="69"/>
  <c r="I19" i="69" s="1"/>
  <c r="I16" i="65"/>
  <c r="I19" i="65" s="1"/>
  <c r="I16" i="68"/>
  <c r="I19" i="68" s="1"/>
  <c r="K16" i="75"/>
  <c r="K19" i="75" s="1"/>
  <c r="K16" i="71"/>
  <c r="K19" i="71" s="1"/>
  <c r="I16" i="67"/>
  <c r="I19" i="67" s="1"/>
  <c r="K16" i="72"/>
  <c r="K19" i="72" s="1"/>
  <c r="K16" i="70"/>
  <c r="K19" i="70" s="1"/>
  <c r="G16" i="88"/>
  <c r="G19" i="88" s="1"/>
  <c r="I16" i="66"/>
  <c r="I19" i="66" s="1"/>
  <c r="G40" i="76"/>
  <c r="H40" i="89"/>
  <c r="Q40" i="89" s="1"/>
  <c r="H40" i="85"/>
  <c r="G40" i="88"/>
  <c r="H40" i="81"/>
  <c r="G40" i="79"/>
  <c r="G40" i="87"/>
  <c r="H40" i="80"/>
  <c r="H40" i="83"/>
  <c r="G40" i="78"/>
  <c r="H40" i="84"/>
  <c r="G40" i="77"/>
  <c r="H40" i="82"/>
  <c r="H40" i="86"/>
  <c r="H40" i="90"/>
  <c r="M40" i="90" s="1"/>
  <c r="R40" i="34"/>
  <c r="R41" i="34" s="1"/>
  <c r="J18" i="65"/>
  <c r="J19" i="65" s="1"/>
  <c r="J18" i="66"/>
  <c r="J19" i="66" s="1"/>
  <c r="J18" i="67"/>
  <c r="J19" i="67" s="1"/>
  <c r="J18" i="68"/>
  <c r="J19" i="68" s="1"/>
  <c r="J18" i="69"/>
  <c r="J19" i="69" s="1"/>
  <c r="M18" i="70"/>
  <c r="M18" i="71"/>
  <c r="M18" i="72"/>
  <c r="O18" i="72" s="1"/>
  <c r="M18" i="74"/>
  <c r="M18" i="75"/>
  <c r="J18" i="2"/>
  <c r="J19" i="2" s="1"/>
  <c r="F21" i="34"/>
  <c r="G21" i="34"/>
  <c r="H21" i="34"/>
  <c r="I21" i="34"/>
  <c r="J21" i="34"/>
  <c r="M21" i="34"/>
  <c r="N21" i="34"/>
  <c r="O21" i="34"/>
  <c r="P21" i="34"/>
  <c r="E21" i="34"/>
  <c r="P37" i="81" l="1"/>
  <c r="Q37" i="81" s="1"/>
  <c r="AT11" i="34"/>
  <c r="P9" i="82"/>
  <c r="P10" i="83"/>
  <c r="R10" i="83" s="1"/>
  <c r="P8" i="81"/>
  <c r="Q8" i="81" s="1"/>
  <c r="J19" i="74"/>
  <c r="P7" i="81"/>
  <c r="Q7" i="81" s="1"/>
  <c r="AS20" i="34"/>
  <c r="AT20" i="34" s="1"/>
  <c r="AS19" i="34"/>
  <c r="AT19" i="34" s="1"/>
  <c r="P10" i="82"/>
  <c r="AS16" i="34"/>
  <c r="P14" i="82" s="1"/>
  <c r="N16" i="90"/>
  <c r="N19" i="90" s="1"/>
  <c r="P11" i="81"/>
  <c r="AS17" i="34"/>
  <c r="AT17" i="34" s="1"/>
  <c r="P12" i="81"/>
  <c r="AS18" i="34"/>
  <c r="AT18" i="34" s="1"/>
  <c r="R18" i="81"/>
  <c r="P20" i="82"/>
  <c r="AT22" i="34"/>
  <c r="R14" i="81"/>
  <c r="J19" i="75"/>
  <c r="P5" i="81"/>
  <c r="AT10" i="34"/>
  <c r="P8" i="82"/>
  <c r="AT9" i="34"/>
  <c r="P7" i="82"/>
  <c r="AT13" i="34"/>
  <c r="P11" i="82"/>
  <c r="R17" i="81"/>
  <c r="N40" i="90"/>
  <c r="P5" i="82"/>
  <c r="AT7" i="34"/>
  <c r="R15" i="81"/>
  <c r="Q15" i="81"/>
  <c r="AT37" i="34"/>
  <c r="P37" i="82"/>
  <c r="X19" i="73"/>
  <c r="S19" i="73"/>
  <c r="R19" i="73"/>
  <c r="T19" i="73"/>
  <c r="P12" i="82"/>
  <c r="AT14" i="34"/>
  <c r="Q13" i="81"/>
  <c r="R13" i="81"/>
  <c r="AG40" i="34"/>
  <c r="AR40" i="34" s="1"/>
  <c r="T40" i="86"/>
  <c r="V3" i="86"/>
  <c r="V40" i="86"/>
  <c r="M19" i="75"/>
  <c r="N19" i="75" s="1"/>
  <c r="N18" i="75"/>
  <c r="AV12" i="34"/>
  <c r="P10" i="84"/>
  <c r="M19" i="74"/>
  <c r="N19" i="74" s="1"/>
  <c r="N18" i="74"/>
  <c r="AT23" i="34"/>
  <c r="P21" i="82"/>
  <c r="Q21" i="81"/>
  <c r="R21" i="81"/>
  <c r="H19" i="90"/>
  <c r="M19" i="90" s="1"/>
  <c r="H19" i="89"/>
  <c r="Q19" i="89" s="1"/>
  <c r="M19" i="72"/>
  <c r="O19" i="72" s="1"/>
  <c r="N18" i="72"/>
  <c r="M19" i="71"/>
  <c r="O18" i="71"/>
  <c r="N18" i="71"/>
  <c r="O18" i="70"/>
  <c r="M19" i="70"/>
  <c r="N18" i="70"/>
  <c r="L21" i="34"/>
  <c r="G4" i="76"/>
  <c r="I4" i="2"/>
  <c r="H4" i="85"/>
  <c r="H4" i="82"/>
  <c r="H4" i="80"/>
  <c r="G4" i="78"/>
  <c r="H4" i="81"/>
  <c r="G4" i="79"/>
  <c r="H4" i="2"/>
  <c r="H4" i="83"/>
  <c r="G4" i="87"/>
  <c r="H4" i="84"/>
  <c r="G4" i="77"/>
  <c r="H4" i="86"/>
  <c r="H6" i="81"/>
  <c r="H6" i="82"/>
  <c r="G6" i="78"/>
  <c r="G6" i="77"/>
  <c r="G6" i="76"/>
  <c r="H6" i="83"/>
  <c r="H6" i="86"/>
  <c r="H6" i="85"/>
  <c r="H6" i="80"/>
  <c r="G6" i="79"/>
  <c r="H6" i="84"/>
  <c r="G6" i="87"/>
  <c r="K21" i="34"/>
  <c r="R37" i="81" l="1"/>
  <c r="Q10" i="83"/>
  <c r="AT16" i="34"/>
  <c r="P14" i="83" s="1"/>
  <c r="N41" i="90"/>
  <c r="Q9" i="82"/>
  <c r="R9" i="82"/>
  <c r="P9" i="83"/>
  <c r="AU11" i="34"/>
  <c r="P15" i="82"/>
  <c r="R15" i="82" s="1"/>
  <c r="P13" i="82"/>
  <c r="Q13" i="82" s="1"/>
  <c r="R8" i="81"/>
  <c r="P17" i="82"/>
  <c r="R17" i="82" s="1"/>
  <c r="P18" i="82"/>
  <c r="Q18" i="82" s="1"/>
  <c r="R7" i="81"/>
  <c r="Q10" i="82"/>
  <c r="R10" i="82"/>
  <c r="R12" i="81"/>
  <c r="Q12" i="81"/>
  <c r="Q11" i="81"/>
  <c r="R11" i="81"/>
  <c r="R5" i="81"/>
  <c r="Q5" i="81"/>
  <c r="P20" i="83"/>
  <c r="AU22" i="34"/>
  <c r="Q20" i="82"/>
  <c r="R20" i="82"/>
  <c r="AG8" i="34"/>
  <c r="AR8" i="34" s="1"/>
  <c r="P6" i="81" s="1"/>
  <c r="AG6" i="34"/>
  <c r="AR6" i="34" s="1"/>
  <c r="P4" i="81" s="1"/>
  <c r="Q4" i="81" s="1"/>
  <c r="P13" i="83"/>
  <c r="AU20" i="34"/>
  <c r="AU17" i="34"/>
  <c r="P15" i="83"/>
  <c r="Q7" i="82"/>
  <c r="R7" i="82"/>
  <c r="AU14" i="34"/>
  <c r="P12" i="83"/>
  <c r="P5" i="83"/>
  <c r="AU7" i="34"/>
  <c r="AU9" i="34"/>
  <c r="P7" i="83"/>
  <c r="R12" i="82"/>
  <c r="Q12" i="82"/>
  <c r="Q5" i="82"/>
  <c r="R5" i="82"/>
  <c r="P17" i="83"/>
  <c r="AU18" i="34"/>
  <c r="P37" i="83"/>
  <c r="AU37" i="34"/>
  <c r="Q14" i="82"/>
  <c r="R14" i="82"/>
  <c r="AU19" i="34"/>
  <c r="P18" i="83"/>
  <c r="Q8" i="82"/>
  <c r="R8" i="82"/>
  <c r="AU13" i="34"/>
  <c r="P11" i="83"/>
  <c r="Q37" i="82"/>
  <c r="R37" i="82"/>
  <c r="Q11" i="82"/>
  <c r="R11" i="82"/>
  <c r="P8" i="83"/>
  <c r="AU10" i="34"/>
  <c r="T4" i="86"/>
  <c r="T6" i="86"/>
  <c r="V6" i="86" s="1"/>
  <c r="R10" i="84"/>
  <c r="Q10" i="84"/>
  <c r="AW12" i="34"/>
  <c r="P10" i="86" s="1"/>
  <c r="P10" i="85"/>
  <c r="AU23" i="34"/>
  <c r="P21" i="83"/>
  <c r="Q21" i="82"/>
  <c r="R21" i="82"/>
  <c r="O19" i="71"/>
  <c r="N19" i="71"/>
  <c r="N19" i="70"/>
  <c r="O19" i="70"/>
  <c r="H16" i="80"/>
  <c r="G16" i="76"/>
  <c r="G19" i="76" s="1"/>
  <c r="G16" i="77"/>
  <c r="G19" i="77" s="1"/>
  <c r="H16" i="85"/>
  <c r="H16" i="86"/>
  <c r="H16" i="82"/>
  <c r="H16" i="84"/>
  <c r="H16" i="81"/>
  <c r="H16" i="83"/>
  <c r="G16" i="78"/>
  <c r="G19" i="78" s="1"/>
  <c r="G16" i="87"/>
  <c r="G19" i="87" s="1"/>
  <c r="G16" i="79"/>
  <c r="G19" i="79" s="1"/>
  <c r="S40" i="34"/>
  <c r="S21" i="34"/>
  <c r="AU16" i="34" l="1"/>
  <c r="Q17" i="82"/>
  <c r="Q15" i="82"/>
  <c r="AV11" i="34"/>
  <c r="P9" i="84"/>
  <c r="R9" i="83"/>
  <c r="Q9" i="83"/>
  <c r="R13" i="82"/>
  <c r="R18" i="82"/>
  <c r="AS6" i="34"/>
  <c r="P4" i="82" s="1"/>
  <c r="Q6" i="81"/>
  <c r="R6" i="81"/>
  <c r="P20" i="84"/>
  <c r="AV22" i="34"/>
  <c r="AS8" i="34"/>
  <c r="P6" i="82" s="1"/>
  <c r="R4" i="81"/>
  <c r="R20" i="83"/>
  <c r="Q20" i="83"/>
  <c r="R18" i="83"/>
  <c r="Q18" i="83"/>
  <c r="P18" i="84"/>
  <c r="AV19" i="34"/>
  <c r="R14" i="83"/>
  <c r="Q14" i="83"/>
  <c r="AV37" i="34"/>
  <c r="P37" i="84"/>
  <c r="AV16" i="34"/>
  <c r="P14" i="84"/>
  <c r="R37" i="83"/>
  <c r="Q37" i="83"/>
  <c r="R7" i="83"/>
  <c r="Q7" i="83"/>
  <c r="Q15" i="83"/>
  <c r="R15" i="83"/>
  <c r="P7" i="84"/>
  <c r="AV9" i="34"/>
  <c r="AV17" i="34"/>
  <c r="P15" i="84"/>
  <c r="R11" i="83"/>
  <c r="Q11" i="83"/>
  <c r="P17" i="84"/>
  <c r="AV18" i="34"/>
  <c r="AV7" i="34"/>
  <c r="P5" i="84"/>
  <c r="AV20" i="34"/>
  <c r="P13" i="84"/>
  <c r="AV13" i="34"/>
  <c r="P11" i="84"/>
  <c r="R17" i="83"/>
  <c r="Q17" i="83"/>
  <c r="Q5" i="83"/>
  <c r="R5" i="83"/>
  <c r="R13" i="83"/>
  <c r="Q13" i="83"/>
  <c r="AV10" i="34"/>
  <c r="P8" i="84"/>
  <c r="Q12" i="83"/>
  <c r="R12" i="83"/>
  <c r="R8" i="83"/>
  <c r="Q8" i="83"/>
  <c r="P12" i="84"/>
  <c r="AV14" i="34"/>
  <c r="H19" i="82"/>
  <c r="H19" i="85"/>
  <c r="H19" i="84"/>
  <c r="V4" i="86"/>
  <c r="V16" i="86" s="1"/>
  <c r="V19" i="86" s="1"/>
  <c r="V41" i="86" s="1"/>
  <c r="T16" i="86"/>
  <c r="T19" i="86" s="1"/>
  <c r="T41" i="86" s="1"/>
  <c r="H19" i="80"/>
  <c r="AG21" i="34"/>
  <c r="Q10" i="86"/>
  <c r="R10" i="86"/>
  <c r="Q21" i="83"/>
  <c r="R21" i="83"/>
  <c r="AV23" i="34"/>
  <c r="P21" i="84"/>
  <c r="Q10" i="85"/>
  <c r="R10" i="85"/>
  <c r="H45" i="86"/>
  <c r="H47" i="86" s="1"/>
  <c r="H51" i="86" s="1"/>
  <c r="H19" i="86"/>
  <c r="H19" i="83"/>
  <c r="H19" i="81"/>
  <c r="S41" i="34"/>
  <c r="AT6" i="34" l="1"/>
  <c r="AU6" i="34" s="1"/>
  <c r="Q9" i="84"/>
  <c r="R9" i="84"/>
  <c r="P9" i="85"/>
  <c r="AW11" i="34"/>
  <c r="P9" i="86" s="1"/>
  <c r="AT8" i="34"/>
  <c r="AU8" i="34" s="1"/>
  <c r="AW22" i="34"/>
  <c r="P20" i="86" s="1"/>
  <c r="P49" i="86" s="1"/>
  <c r="P20" i="85"/>
  <c r="Q20" i="84"/>
  <c r="R20" i="84"/>
  <c r="R14" i="84"/>
  <c r="Q14" i="84"/>
  <c r="Q12" i="84"/>
  <c r="R12" i="84"/>
  <c r="AW16" i="34"/>
  <c r="P14" i="86" s="1"/>
  <c r="P14" i="85"/>
  <c r="R4" i="82"/>
  <c r="Q4" i="82"/>
  <c r="Q15" i="84"/>
  <c r="R15" i="84"/>
  <c r="AW17" i="34"/>
  <c r="P15" i="86" s="1"/>
  <c r="P15" i="85"/>
  <c r="R11" i="84"/>
  <c r="Q11" i="84"/>
  <c r="AW9" i="34"/>
  <c r="P7" i="86" s="1"/>
  <c r="P7" i="85"/>
  <c r="Q37" i="84"/>
  <c r="R37" i="84"/>
  <c r="P11" i="85"/>
  <c r="AW13" i="34"/>
  <c r="P11" i="86" s="1"/>
  <c r="Q7" i="84"/>
  <c r="R7" i="84"/>
  <c r="AW37" i="34"/>
  <c r="P37" i="86" s="1"/>
  <c r="P37" i="85"/>
  <c r="Q6" i="82"/>
  <c r="R6" i="82"/>
  <c r="R13" i="84"/>
  <c r="Q13" i="84"/>
  <c r="AW14" i="34"/>
  <c r="P12" i="86" s="1"/>
  <c r="P12" i="85"/>
  <c r="AW20" i="34"/>
  <c r="P13" i="86" s="1"/>
  <c r="P13" i="85"/>
  <c r="Q8" i="84"/>
  <c r="R8" i="84"/>
  <c r="Q5" i="84"/>
  <c r="R5" i="84"/>
  <c r="AW19" i="34"/>
  <c r="P18" i="86" s="1"/>
  <c r="P18" i="85"/>
  <c r="AW10" i="34"/>
  <c r="P8" i="86" s="1"/>
  <c r="P8" i="85"/>
  <c r="R18" i="84"/>
  <c r="Q18" i="84"/>
  <c r="P5" i="85"/>
  <c r="AW7" i="34"/>
  <c r="P5" i="86" s="1"/>
  <c r="AW18" i="34"/>
  <c r="P17" i="86" s="1"/>
  <c r="P17" i="85"/>
  <c r="R17" i="84"/>
  <c r="Q17" i="84"/>
  <c r="AG41" i="34"/>
  <c r="AR41" i="34" s="1"/>
  <c r="AR21" i="34"/>
  <c r="R21" i="84"/>
  <c r="Q21" i="84"/>
  <c r="AW23" i="34"/>
  <c r="P21" i="85"/>
  <c r="AE39" i="34"/>
  <c r="AE38" i="34"/>
  <c r="AE36" i="34"/>
  <c r="AE35" i="34"/>
  <c r="AE34" i="34"/>
  <c r="AE33" i="34"/>
  <c r="AE32" i="34"/>
  <c r="AE31" i="34"/>
  <c r="AE30" i="34"/>
  <c r="AE29" i="34"/>
  <c r="AE28" i="34"/>
  <c r="AE27" i="34"/>
  <c r="AE26" i="34"/>
  <c r="AE25" i="34"/>
  <c r="AE24" i="34"/>
  <c r="AE5" i="34"/>
  <c r="P4" i="83" l="1"/>
  <c r="Q4" i="83" s="1"/>
  <c r="Q9" i="86"/>
  <c r="R9" i="86"/>
  <c r="R9" i="85"/>
  <c r="Q9" i="85"/>
  <c r="P6" i="83"/>
  <c r="Q6" i="83" s="1"/>
  <c r="R20" i="86"/>
  <c r="Q20" i="86"/>
  <c r="Q20" i="85"/>
  <c r="R20" i="85"/>
  <c r="Q13" i="86"/>
  <c r="R13" i="86"/>
  <c r="Q15" i="86"/>
  <c r="R15" i="86"/>
  <c r="R11" i="86"/>
  <c r="Q11" i="86"/>
  <c r="AV8" i="34"/>
  <c r="P6" i="84"/>
  <c r="Q11" i="85"/>
  <c r="R11" i="85"/>
  <c r="R5" i="85"/>
  <c r="Q5" i="85"/>
  <c r="Q8" i="85"/>
  <c r="R8" i="85"/>
  <c r="Q12" i="85"/>
  <c r="R12" i="85"/>
  <c r="Q12" i="86"/>
  <c r="R12" i="86"/>
  <c r="R5" i="86"/>
  <c r="Q5" i="86"/>
  <c r="Q7" i="85"/>
  <c r="R7" i="85"/>
  <c r="R14" i="85"/>
  <c r="Q14" i="85"/>
  <c r="R13" i="85"/>
  <c r="Q13" i="85"/>
  <c r="Q18" i="86"/>
  <c r="R18" i="86"/>
  <c r="Q14" i="86"/>
  <c r="R14" i="86"/>
  <c r="Q8" i="86"/>
  <c r="R8" i="86"/>
  <c r="R15" i="85"/>
  <c r="Q15" i="85"/>
  <c r="R7" i="86"/>
  <c r="Q7" i="86"/>
  <c r="Q18" i="85"/>
  <c r="R18" i="85"/>
  <c r="R17" i="85"/>
  <c r="Q17" i="85"/>
  <c r="R37" i="85"/>
  <c r="Q37" i="85"/>
  <c r="AV6" i="34"/>
  <c r="P4" i="84"/>
  <c r="P46" i="86"/>
  <c r="R17" i="86"/>
  <c r="Q17" i="86"/>
  <c r="Q37" i="86"/>
  <c r="R37" i="86"/>
  <c r="R21" i="85"/>
  <c r="Q21" i="85"/>
  <c r="Q49" i="86"/>
  <c r="R49" i="86"/>
  <c r="P21" i="86"/>
  <c r="AD39" i="34"/>
  <c r="AD38" i="34"/>
  <c r="AD36" i="34"/>
  <c r="AD35" i="34"/>
  <c r="AD34" i="34"/>
  <c r="AD33" i="34"/>
  <c r="AD32" i="34"/>
  <c r="AD31" i="34"/>
  <c r="AD30" i="34"/>
  <c r="AD29" i="34"/>
  <c r="AD28" i="34"/>
  <c r="AD27" i="34"/>
  <c r="AD26" i="34"/>
  <c r="AD25" i="34"/>
  <c r="AD24" i="34"/>
  <c r="AD5" i="34"/>
  <c r="AC39" i="34"/>
  <c r="AC38" i="34"/>
  <c r="AC36" i="34"/>
  <c r="AC35" i="34"/>
  <c r="AC34" i="34"/>
  <c r="AC33" i="34"/>
  <c r="AC32" i="34"/>
  <c r="AC31" i="34"/>
  <c r="AC30" i="34"/>
  <c r="AC29" i="34"/>
  <c r="AC28" i="34"/>
  <c r="AC27" i="34"/>
  <c r="AC26" i="34"/>
  <c r="AC25" i="34"/>
  <c r="AC24" i="34"/>
  <c r="AC5" i="34"/>
  <c r="AB39" i="34"/>
  <c r="AB38" i="34"/>
  <c r="AB36" i="34"/>
  <c r="AB35" i="34"/>
  <c r="AB34" i="34"/>
  <c r="AB33" i="34"/>
  <c r="AB32" i="34"/>
  <c r="AB31" i="34"/>
  <c r="AB30" i="34"/>
  <c r="AB29" i="34"/>
  <c r="AB28" i="34"/>
  <c r="AB27" i="34"/>
  <c r="AB26" i="34"/>
  <c r="AB25" i="34"/>
  <c r="AB24" i="34"/>
  <c r="AB5" i="34"/>
  <c r="AA39" i="34"/>
  <c r="AA38" i="34"/>
  <c r="AA36" i="34"/>
  <c r="AA35" i="34"/>
  <c r="AA34" i="34"/>
  <c r="AA33" i="34"/>
  <c r="AA32" i="34"/>
  <c r="AA31" i="34"/>
  <c r="AA30" i="34"/>
  <c r="AA29" i="34"/>
  <c r="AA28" i="34"/>
  <c r="AA27" i="34"/>
  <c r="AA26" i="34"/>
  <c r="AA25" i="34"/>
  <c r="AA24" i="34"/>
  <c r="AA5" i="34"/>
  <c r="Z39" i="34"/>
  <c r="Z38" i="34"/>
  <c r="Z36" i="34"/>
  <c r="Z35" i="34"/>
  <c r="Z34" i="34"/>
  <c r="Z33" i="34"/>
  <c r="Z32" i="34"/>
  <c r="Z31" i="34"/>
  <c r="Z30" i="34"/>
  <c r="Z29" i="34"/>
  <c r="Z28" i="34"/>
  <c r="Z27" i="34"/>
  <c r="Z26" i="34"/>
  <c r="Z25" i="34"/>
  <c r="Z24" i="34"/>
  <c r="Z5" i="34"/>
  <c r="Y39" i="34"/>
  <c r="Y38" i="34"/>
  <c r="Y36" i="34"/>
  <c r="Y35" i="34"/>
  <c r="Y34" i="34"/>
  <c r="Y33" i="34"/>
  <c r="Y32" i="34"/>
  <c r="Y31" i="34"/>
  <c r="Y30" i="34"/>
  <c r="Y29" i="34"/>
  <c r="Y28" i="34"/>
  <c r="Y27" i="34"/>
  <c r="Y26" i="34"/>
  <c r="Y25" i="34"/>
  <c r="Y24" i="34"/>
  <c r="Y5" i="34"/>
  <c r="X39" i="34"/>
  <c r="X38" i="34"/>
  <c r="X36" i="34"/>
  <c r="X35" i="34"/>
  <c r="X34" i="34"/>
  <c r="X33" i="34"/>
  <c r="X32" i="34"/>
  <c r="X31" i="34"/>
  <c r="X30" i="34"/>
  <c r="X29" i="34"/>
  <c r="X28" i="34"/>
  <c r="X27" i="34"/>
  <c r="X26" i="34"/>
  <c r="X25" i="34"/>
  <c r="X24" i="34"/>
  <c r="X5" i="34"/>
  <c r="R4" i="83" l="1"/>
  <c r="R6" i="83"/>
  <c r="R46" i="86"/>
  <c r="Q46" i="86"/>
  <c r="Q6" i="84"/>
  <c r="R6" i="84"/>
  <c r="P4" i="85"/>
  <c r="AW6" i="34"/>
  <c r="P4" i="86" s="1"/>
  <c r="AW8" i="34"/>
  <c r="P6" i="86" s="1"/>
  <c r="P6" i="85"/>
  <c r="Q4" i="84"/>
  <c r="R4" i="84"/>
  <c r="AP31" i="34"/>
  <c r="AP33" i="34"/>
  <c r="AP5" i="34"/>
  <c r="AP21" i="34" s="1"/>
  <c r="AP35" i="34"/>
  <c r="Q21" i="86"/>
  <c r="R21" i="86"/>
  <c r="AP25" i="34"/>
  <c r="AP24" i="34"/>
  <c r="AP26" i="34"/>
  <c r="AP32" i="34"/>
  <c r="AP38" i="34"/>
  <c r="AP36" i="34"/>
  <c r="AP28" i="34"/>
  <c r="AP34" i="34"/>
  <c r="AP39" i="34"/>
  <c r="AP27" i="34"/>
  <c r="AP29" i="34"/>
  <c r="AP30" i="34"/>
  <c r="Z40" i="34"/>
  <c r="Y40" i="34"/>
  <c r="AA40" i="34"/>
  <c r="AB40" i="34"/>
  <c r="X40" i="34"/>
  <c r="AC40" i="34"/>
  <c r="W39" i="34"/>
  <c r="W38" i="34"/>
  <c r="W36" i="34"/>
  <c r="W35" i="34"/>
  <c r="W34" i="34"/>
  <c r="W33" i="34"/>
  <c r="W32" i="34"/>
  <c r="W31" i="34"/>
  <c r="W30" i="34"/>
  <c r="W29" i="34"/>
  <c r="W28" i="34"/>
  <c r="W27" i="34"/>
  <c r="W26" i="34"/>
  <c r="W25" i="34"/>
  <c r="W24" i="34"/>
  <c r="W5" i="34"/>
  <c r="R6" i="85" l="1"/>
  <c r="Q6" i="85"/>
  <c r="R4" i="86"/>
  <c r="Q4" i="86"/>
  <c r="R4" i="85"/>
  <c r="Q4" i="85"/>
  <c r="Q6" i="86"/>
  <c r="R6" i="86"/>
  <c r="P27" i="81"/>
  <c r="AS29" i="34"/>
  <c r="P34" i="81"/>
  <c r="AS35" i="34"/>
  <c r="AS38" i="34"/>
  <c r="P38" i="81"/>
  <c r="AS5" i="34"/>
  <c r="P3" i="81"/>
  <c r="AS26" i="34"/>
  <c r="P24" i="81"/>
  <c r="P25" i="81"/>
  <c r="AS27" i="34"/>
  <c r="AP40" i="34"/>
  <c r="AP41" i="34" s="1"/>
  <c r="AS24" i="34"/>
  <c r="P22" i="81"/>
  <c r="AS25" i="34"/>
  <c r="P23" i="81"/>
  <c r="AS33" i="34"/>
  <c r="P31" i="81"/>
  <c r="P30" i="81"/>
  <c r="AS32" i="34"/>
  <c r="AS39" i="34"/>
  <c r="P39" i="81"/>
  <c r="P32" i="81"/>
  <c r="AS34" i="34"/>
  <c r="AS28" i="34"/>
  <c r="P26" i="81"/>
  <c r="AS30" i="34"/>
  <c r="P28" i="81"/>
  <c r="AS36" i="34"/>
  <c r="P35" i="81"/>
  <c r="AS31" i="34"/>
  <c r="P29" i="81"/>
  <c r="W40" i="34"/>
  <c r="P25" i="82" l="1"/>
  <c r="AT27" i="34"/>
  <c r="P39" i="82"/>
  <c r="AT39" i="34"/>
  <c r="AT31" i="34"/>
  <c r="P29" i="82"/>
  <c r="Q30" i="81"/>
  <c r="R30" i="81"/>
  <c r="AT26" i="34"/>
  <c r="P24" i="82"/>
  <c r="AT36" i="34"/>
  <c r="P35" i="82"/>
  <c r="AT33" i="34"/>
  <c r="P31" i="82"/>
  <c r="AT5" i="34"/>
  <c r="P3" i="82"/>
  <c r="Q23" i="81"/>
  <c r="R23" i="81"/>
  <c r="R24" i="81"/>
  <c r="Q24" i="81"/>
  <c r="R26" i="81"/>
  <c r="Q26" i="81"/>
  <c r="AT25" i="34"/>
  <c r="P23" i="82"/>
  <c r="AT38" i="34"/>
  <c r="P38" i="82"/>
  <c r="Q38" i="81"/>
  <c r="R38" i="81"/>
  <c r="P26" i="82"/>
  <c r="AT28" i="34"/>
  <c r="AT35" i="34"/>
  <c r="P34" i="82"/>
  <c r="R25" i="81"/>
  <c r="Q25" i="81"/>
  <c r="Q31" i="81"/>
  <c r="R31" i="81"/>
  <c r="AT30" i="34"/>
  <c r="P28" i="82"/>
  <c r="AT34" i="34"/>
  <c r="P32" i="82"/>
  <c r="Q34" i="81"/>
  <c r="R34" i="81"/>
  <c r="R29" i="81"/>
  <c r="Q29" i="81"/>
  <c r="AT32" i="34"/>
  <c r="P30" i="82"/>
  <c r="Q28" i="81"/>
  <c r="R28" i="81"/>
  <c r="Q32" i="81"/>
  <c r="R32" i="81"/>
  <c r="P22" i="82"/>
  <c r="AT24" i="34"/>
  <c r="AS40" i="34"/>
  <c r="AT29" i="34"/>
  <c r="P27" i="82"/>
  <c r="Q39" i="81"/>
  <c r="R39" i="81"/>
  <c r="R35" i="81"/>
  <c r="Q35" i="81"/>
  <c r="R3" i="81"/>
  <c r="Q3" i="81"/>
  <c r="P16" i="81"/>
  <c r="Q22" i="81"/>
  <c r="R22" i="81"/>
  <c r="P40" i="81"/>
  <c r="Q27" i="81"/>
  <c r="R27" i="81"/>
  <c r="V39" i="34"/>
  <c r="V38" i="34"/>
  <c r="V36" i="34"/>
  <c r="V35" i="34"/>
  <c r="V34" i="34"/>
  <c r="V33" i="34"/>
  <c r="V32" i="34"/>
  <c r="V31" i="34"/>
  <c r="V30" i="34"/>
  <c r="V29" i="34"/>
  <c r="V28" i="34"/>
  <c r="V27" i="34"/>
  <c r="V26" i="34"/>
  <c r="V25" i="34"/>
  <c r="V24" i="34"/>
  <c r="V5" i="34"/>
  <c r="U39" i="34"/>
  <c r="U38" i="34"/>
  <c r="U36" i="34"/>
  <c r="U35" i="34"/>
  <c r="U34" i="34"/>
  <c r="U33" i="34"/>
  <c r="U32" i="34"/>
  <c r="U31" i="34"/>
  <c r="U30" i="34"/>
  <c r="U29" i="34"/>
  <c r="U28" i="34"/>
  <c r="U27" i="34"/>
  <c r="U26" i="34"/>
  <c r="U25" i="34"/>
  <c r="U24" i="34"/>
  <c r="U5" i="34"/>
  <c r="Q20" i="34"/>
  <c r="Q35" i="82" l="1"/>
  <c r="R35" i="82"/>
  <c r="Q24" i="82"/>
  <c r="R24" i="82"/>
  <c r="AU32" i="34"/>
  <c r="P30" i="83"/>
  <c r="P24" i="83"/>
  <c r="AU26" i="34"/>
  <c r="R30" i="82"/>
  <c r="Q30" i="82"/>
  <c r="AU35" i="34"/>
  <c r="P34" i="83"/>
  <c r="Q29" i="82"/>
  <c r="R29" i="82"/>
  <c r="AU24" i="34"/>
  <c r="P22" i="83"/>
  <c r="AT40" i="34"/>
  <c r="Q26" i="82"/>
  <c r="R26" i="82"/>
  <c r="AU31" i="34"/>
  <c r="P29" i="83"/>
  <c r="R23" i="82"/>
  <c r="Q23" i="82"/>
  <c r="Q40" i="81"/>
  <c r="R40" i="81"/>
  <c r="R22" i="82"/>
  <c r="Q22" i="82"/>
  <c r="P40" i="82"/>
  <c r="R40" i="82" s="1"/>
  <c r="R32" i="82"/>
  <c r="Q32" i="82"/>
  <c r="R3" i="82"/>
  <c r="Q3" i="82"/>
  <c r="P16" i="82"/>
  <c r="P39" i="83"/>
  <c r="AU39" i="34"/>
  <c r="R27" i="82"/>
  <c r="Q27" i="82"/>
  <c r="AU29" i="34"/>
  <c r="P27" i="83"/>
  <c r="AU28" i="34"/>
  <c r="P26" i="83"/>
  <c r="R16" i="81"/>
  <c r="Q16" i="81"/>
  <c r="P19" i="81"/>
  <c r="AU34" i="34"/>
  <c r="P32" i="83"/>
  <c r="AU5" i="34"/>
  <c r="P3" i="83"/>
  <c r="Q39" i="82"/>
  <c r="R39" i="82"/>
  <c r="AU25" i="34"/>
  <c r="P23" i="83"/>
  <c r="R34" i="82"/>
  <c r="Q34" i="82"/>
  <c r="Q38" i="82"/>
  <c r="R38" i="82"/>
  <c r="Q31" i="82"/>
  <c r="R31" i="82"/>
  <c r="P25" i="83"/>
  <c r="AU27" i="34"/>
  <c r="AU36" i="34"/>
  <c r="P35" i="83"/>
  <c r="Q28" i="82"/>
  <c r="R28" i="82"/>
  <c r="P28" i="83"/>
  <c r="AU30" i="34"/>
  <c r="AU38" i="34"/>
  <c r="P38" i="83"/>
  <c r="P31" i="83"/>
  <c r="AU33" i="34"/>
  <c r="R25" i="82"/>
  <c r="Q25" i="82"/>
  <c r="V40" i="34"/>
  <c r="U40" i="34"/>
  <c r="O55" i="34"/>
  <c r="R16" i="82" l="1"/>
  <c r="R29" i="83"/>
  <c r="Q29" i="83"/>
  <c r="AV38" i="34"/>
  <c r="P38" i="84"/>
  <c r="R28" i="83"/>
  <c r="Q28" i="83"/>
  <c r="R26" i="83"/>
  <c r="Q26" i="83"/>
  <c r="AV31" i="34"/>
  <c r="P29" i="84"/>
  <c r="AV26" i="34"/>
  <c r="P24" i="84"/>
  <c r="R24" i="83"/>
  <c r="Q24" i="83"/>
  <c r="P34" i="84"/>
  <c r="AV35" i="34"/>
  <c r="AV28" i="34"/>
  <c r="P26" i="84"/>
  <c r="Q30" i="83"/>
  <c r="R30" i="83"/>
  <c r="Q31" i="83"/>
  <c r="R31" i="83"/>
  <c r="P32" i="84"/>
  <c r="AV34" i="34"/>
  <c r="Q35" i="83"/>
  <c r="R35" i="83"/>
  <c r="R27" i="83"/>
  <c r="Q27" i="83"/>
  <c r="AV32" i="34"/>
  <c r="P30" i="84"/>
  <c r="R38" i="83"/>
  <c r="Q38" i="83"/>
  <c r="Q23" i="83"/>
  <c r="R23" i="83"/>
  <c r="R22" i="83"/>
  <c r="Q22" i="83"/>
  <c r="P40" i="83"/>
  <c r="Q3" i="83"/>
  <c r="R3" i="83"/>
  <c r="P16" i="83"/>
  <c r="P22" i="84"/>
  <c r="AV24" i="34"/>
  <c r="AU40" i="34"/>
  <c r="R34" i="83"/>
  <c r="Q34" i="83"/>
  <c r="R19" i="81"/>
  <c r="Q19" i="81"/>
  <c r="P19" i="82"/>
  <c r="Q16" i="82"/>
  <c r="AV30" i="34"/>
  <c r="P28" i="84"/>
  <c r="AV25" i="34"/>
  <c r="P23" i="84"/>
  <c r="AV36" i="34"/>
  <c r="P35" i="84"/>
  <c r="R25" i="83"/>
  <c r="Q25" i="83"/>
  <c r="P3" i="84"/>
  <c r="AV5" i="34"/>
  <c r="P41" i="81"/>
  <c r="R39" i="83"/>
  <c r="Q39" i="83"/>
  <c r="Q40" i="82"/>
  <c r="AV29" i="34"/>
  <c r="P27" i="84"/>
  <c r="AV27" i="34"/>
  <c r="P25" i="84"/>
  <c r="AV33" i="34"/>
  <c r="P31" i="84"/>
  <c r="R32" i="83"/>
  <c r="Q32" i="83"/>
  <c r="AV39" i="34"/>
  <c r="P39" i="84"/>
  <c r="L38" i="67"/>
  <c r="K38" i="67"/>
  <c r="K38" i="68"/>
  <c r="L38" i="68"/>
  <c r="P38" i="70"/>
  <c r="L38" i="69"/>
  <c r="K38" i="69"/>
  <c r="P38" i="71"/>
  <c r="P38" i="72"/>
  <c r="O38" i="73"/>
  <c r="O38" i="75"/>
  <c r="O38" i="74"/>
  <c r="AE21" i="34"/>
  <c r="AB21" i="34"/>
  <c r="AB41" i="34" s="1"/>
  <c r="Z21" i="34"/>
  <c r="Z41" i="34" s="1"/>
  <c r="AC21" i="34"/>
  <c r="AC41" i="34" s="1"/>
  <c r="X21" i="34"/>
  <c r="X41" i="34" s="1"/>
  <c r="AD21" i="34"/>
  <c r="AA21" i="34"/>
  <c r="AA41" i="34" s="1"/>
  <c r="Y21" i="34"/>
  <c r="W21" i="34"/>
  <c r="W41" i="34" s="1"/>
  <c r="V21" i="34"/>
  <c r="V41" i="34" s="1"/>
  <c r="U21" i="34"/>
  <c r="U41" i="34" s="1"/>
  <c r="AE40" i="34"/>
  <c r="AD40" i="34"/>
  <c r="K55" i="34"/>
  <c r="M55" i="34"/>
  <c r="L55" i="34"/>
  <c r="N55" i="34"/>
  <c r="I55" i="34"/>
  <c r="H55" i="34"/>
  <c r="G55" i="34"/>
  <c r="J55" i="34"/>
  <c r="F55" i="34"/>
  <c r="E55" i="34"/>
  <c r="P55" i="34"/>
  <c r="P41" i="82" l="1"/>
  <c r="R19" i="82"/>
  <c r="P32" i="85"/>
  <c r="AW34" i="34"/>
  <c r="P32" i="86" s="1"/>
  <c r="Q29" i="84"/>
  <c r="R29" i="84"/>
  <c r="R27" i="84"/>
  <c r="Q27" i="84"/>
  <c r="Q35" i="84"/>
  <c r="R35" i="84"/>
  <c r="AW31" i="34"/>
  <c r="P29" i="86" s="1"/>
  <c r="P29" i="85"/>
  <c r="Y41" i="34"/>
  <c r="AW29" i="34"/>
  <c r="P27" i="86" s="1"/>
  <c r="P27" i="85"/>
  <c r="AW36" i="34"/>
  <c r="P35" i="86" s="1"/>
  <c r="P35" i="85"/>
  <c r="AW33" i="34"/>
  <c r="P31" i="86" s="1"/>
  <c r="P31" i="85"/>
  <c r="Q25" i="84"/>
  <c r="R25" i="84"/>
  <c r="AW27" i="34"/>
  <c r="P25" i="86" s="1"/>
  <c r="P25" i="85"/>
  <c r="R23" i="84"/>
  <c r="Q23" i="84"/>
  <c r="P22" i="85"/>
  <c r="AW24" i="34"/>
  <c r="AV40" i="34"/>
  <c r="Q30" i="84"/>
  <c r="R30" i="84"/>
  <c r="Q32" i="84"/>
  <c r="R32" i="84"/>
  <c r="AW26" i="34"/>
  <c r="P24" i="86" s="1"/>
  <c r="P24" i="85"/>
  <c r="AW25" i="34"/>
  <c r="P23" i="86" s="1"/>
  <c r="P23" i="85"/>
  <c r="R22" i="84"/>
  <c r="Q22" i="84"/>
  <c r="P40" i="84"/>
  <c r="AW32" i="34"/>
  <c r="P30" i="86" s="1"/>
  <c r="P30" i="85"/>
  <c r="R26" i="84"/>
  <c r="Q26" i="84"/>
  <c r="R39" i="84"/>
  <c r="Q39" i="84"/>
  <c r="Q28" i="84"/>
  <c r="R28" i="84"/>
  <c r="P19" i="83"/>
  <c r="Q16" i="83"/>
  <c r="R16" i="83"/>
  <c r="P26" i="85"/>
  <c r="AW28" i="34"/>
  <c r="P26" i="86" s="1"/>
  <c r="Q24" i="84"/>
  <c r="R24" i="84"/>
  <c r="AW35" i="34"/>
  <c r="P34" i="86" s="1"/>
  <c r="P34" i="85"/>
  <c r="R38" i="84"/>
  <c r="Q38" i="84"/>
  <c r="R3" i="84"/>
  <c r="Q3" i="84"/>
  <c r="P16" i="84"/>
  <c r="AW39" i="34"/>
  <c r="P39" i="86" s="1"/>
  <c r="P39" i="85"/>
  <c r="R34" i="84"/>
  <c r="Q34" i="84"/>
  <c r="P38" i="85"/>
  <c r="AW38" i="34"/>
  <c r="P38" i="86" s="1"/>
  <c r="AW30" i="34"/>
  <c r="P28" i="86" s="1"/>
  <c r="P28" i="85"/>
  <c r="P42" i="81"/>
  <c r="Q19" i="82"/>
  <c r="Q40" i="83"/>
  <c r="R40" i="83"/>
  <c r="Q31" i="84"/>
  <c r="R31" i="84"/>
  <c r="AW5" i="34"/>
  <c r="P3" i="86" s="1"/>
  <c r="P3" i="85"/>
  <c r="AD41" i="34"/>
  <c r="AE41" i="34"/>
  <c r="Q55" i="34"/>
  <c r="R34" i="85" l="1"/>
  <c r="Q34" i="85"/>
  <c r="R29" i="85"/>
  <c r="Q29" i="85"/>
  <c r="Q34" i="86"/>
  <c r="R34" i="86"/>
  <c r="R24" i="86"/>
  <c r="Q24" i="86"/>
  <c r="R29" i="86"/>
  <c r="Q29" i="86"/>
  <c r="AS21" i="34"/>
  <c r="R28" i="86"/>
  <c r="Q28" i="86"/>
  <c r="Q38" i="86"/>
  <c r="R38" i="86"/>
  <c r="Q31" i="86"/>
  <c r="R31" i="86"/>
  <c r="R23" i="85"/>
  <c r="Q23" i="85"/>
  <c r="R24" i="85"/>
  <c r="Q24" i="85"/>
  <c r="Q31" i="85"/>
  <c r="R31" i="85"/>
  <c r="Q39" i="85"/>
  <c r="R39" i="85"/>
  <c r="R30" i="85"/>
  <c r="Q30" i="85"/>
  <c r="P16" i="86"/>
  <c r="Q3" i="86"/>
  <c r="R3" i="86"/>
  <c r="R16" i="86" s="1"/>
  <c r="R19" i="86" s="1"/>
  <c r="R26" i="86"/>
  <c r="Q26" i="86"/>
  <c r="Q30" i="86"/>
  <c r="R30" i="86"/>
  <c r="Q35" i="85"/>
  <c r="R35" i="85"/>
  <c r="R39" i="86"/>
  <c r="Q39" i="86"/>
  <c r="Q16" i="84"/>
  <c r="P19" i="84"/>
  <c r="P41" i="84" s="1"/>
  <c r="R16" i="84"/>
  <c r="R40" i="84"/>
  <c r="Q40" i="84"/>
  <c r="P22" i="86"/>
  <c r="AW40" i="34"/>
  <c r="Q35" i="86"/>
  <c r="R35" i="86"/>
  <c r="Q23" i="86"/>
  <c r="R23" i="86"/>
  <c r="R25" i="86"/>
  <c r="Q25" i="86"/>
  <c r="R22" i="85"/>
  <c r="Q22" i="85"/>
  <c r="P40" i="85"/>
  <c r="R27" i="85"/>
  <c r="Q27" i="85"/>
  <c r="Q32" i="86"/>
  <c r="R32" i="86"/>
  <c r="P41" i="83"/>
  <c r="Q19" i="83"/>
  <c r="R19" i="83"/>
  <c r="R28" i="85"/>
  <c r="Q28" i="85"/>
  <c r="R25" i="85"/>
  <c r="Q25" i="85"/>
  <c r="Q3" i="85"/>
  <c r="R3" i="85"/>
  <c r="P16" i="85"/>
  <c r="R38" i="85"/>
  <c r="Q38" i="85"/>
  <c r="R26" i="85"/>
  <c r="Q26" i="85"/>
  <c r="R27" i="86"/>
  <c r="Q27" i="86"/>
  <c r="R32" i="85"/>
  <c r="Q32" i="85"/>
  <c r="Q5" i="34"/>
  <c r="AT21" i="34" l="1"/>
  <c r="AS41" i="34"/>
  <c r="R19" i="84"/>
  <c r="Q19" i="84"/>
  <c r="R16" i="85"/>
  <c r="P19" i="85"/>
  <c r="P41" i="85" s="1"/>
  <c r="Q16" i="85"/>
  <c r="R40" i="85"/>
  <c r="Q40" i="85"/>
  <c r="P45" i="86"/>
  <c r="P19" i="86"/>
  <c r="Q16" i="86"/>
  <c r="Q22" i="86"/>
  <c r="R22" i="86"/>
  <c r="R40" i="86" s="1"/>
  <c r="R41" i="86" s="1"/>
  <c r="P40" i="86"/>
  <c r="P50" i="86"/>
  <c r="R41" i="84"/>
  <c r="R41" i="83"/>
  <c r="P44" i="34"/>
  <c r="E44" i="34"/>
  <c r="L44" i="34"/>
  <c r="M44" i="34"/>
  <c r="F44" i="34"/>
  <c r="G44" i="34"/>
  <c r="K44" i="34"/>
  <c r="H44" i="34"/>
  <c r="I44" i="34"/>
  <c r="N44" i="34"/>
  <c r="J44" i="34"/>
  <c r="O44" i="34"/>
  <c r="G39" i="90"/>
  <c r="F39" i="90"/>
  <c r="G38" i="90"/>
  <c r="G37" i="90"/>
  <c r="G36" i="90"/>
  <c r="G35" i="90"/>
  <c r="G34" i="90"/>
  <c r="G33" i="90"/>
  <c r="F33" i="90"/>
  <c r="G32" i="90"/>
  <c r="G31" i="90"/>
  <c r="G30" i="90"/>
  <c r="G29" i="90"/>
  <c r="G28" i="90"/>
  <c r="G27" i="90"/>
  <c r="G26" i="90"/>
  <c r="G25" i="90"/>
  <c r="G24" i="90"/>
  <c r="G23" i="90"/>
  <c r="G22" i="90"/>
  <c r="G21" i="90"/>
  <c r="G20" i="90"/>
  <c r="G18" i="90"/>
  <c r="G17" i="90"/>
  <c r="G15" i="90"/>
  <c r="G14" i="90"/>
  <c r="G13" i="90"/>
  <c r="G12" i="90"/>
  <c r="G11" i="90"/>
  <c r="G10" i="90"/>
  <c r="G9" i="90"/>
  <c r="G8" i="90"/>
  <c r="G7" i="90"/>
  <c r="G6" i="90"/>
  <c r="G5" i="90"/>
  <c r="G4" i="90"/>
  <c r="G3" i="90"/>
  <c r="G39" i="89"/>
  <c r="R39" i="89" s="1"/>
  <c r="F39" i="89"/>
  <c r="L38" i="89"/>
  <c r="M38" i="89" s="1"/>
  <c r="G38" i="89"/>
  <c r="R38" i="89" s="1"/>
  <c r="L37" i="89"/>
  <c r="M37" i="89" s="1"/>
  <c r="G37" i="89"/>
  <c r="R37" i="89" s="1"/>
  <c r="L36" i="89"/>
  <c r="M36" i="89" s="1"/>
  <c r="G36" i="89"/>
  <c r="R36" i="89" s="1"/>
  <c r="G35" i="89"/>
  <c r="R35" i="89" s="1"/>
  <c r="G34" i="89"/>
  <c r="R34" i="89" s="1"/>
  <c r="L33" i="89"/>
  <c r="M33" i="89" s="1"/>
  <c r="G33" i="89"/>
  <c r="R33" i="89" s="1"/>
  <c r="F33" i="89"/>
  <c r="G32" i="89"/>
  <c r="R32" i="89" s="1"/>
  <c r="G31" i="89"/>
  <c r="R31" i="89" s="1"/>
  <c r="G30" i="89"/>
  <c r="R30" i="89" s="1"/>
  <c r="G29" i="89"/>
  <c r="R29" i="89" s="1"/>
  <c r="G28" i="89"/>
  <c r="R28" i="89" s="1"/>
  <c r="G27" i="89"/>
  <c r="R27" i="89" s="1"/>
  <c r="G26" i="89"/>
  <c r="R26" i="89" s="1"/>
  <c r="G25" i="89"/>
  <c r="R25" i="89" s="1"/>
  <c r="G24" i="89"/>
  <c r="R24" i="89" s="1"/>
  <c r="G23" i="89"/>
  <c r="R23" i="89" s="1"/>
  <c r="G22" i="89"/>
  <c r="R22" i="89" s="1"/>
  <c r="G21" i="89"/>
  <c r="R21" i="89" s="1"/>
  <c r="G20" i="89"/>
  <c r="R20" i="89" s="1"/>
  <c r="G18" i="89"/>
  <c r="R18" i="89" s="1"/>
  <c r="G17" i="89"/>
  <c r="R17" i="89" s="1"/>
  <c r="G15" i="89"/>
  <c r="G14" i="89"/>
  <c r="G13" i="89"/>
  <c r="G12" i="89"/>
  <c r="G11" i="89"/>
  <c r="G10" i="89"/>
  <c r="G9" i="89"/>
  <c r="G8" i="89"/>
  <c r="G7" i="89"/>
  <c r="G6" i="89"/>
  <c r="G5" i="89"/>
  <c r="G4" i="89"/>
  <c r="G3" i="89"/>
  <c r="F39" i="88"/>
  <c r="E39" i="88"/>
  <c r="J38" i="88"/>
  <c r="F38" i="88"/>
  <c r="J37" i="88"/>
  <c r="F37" i="88"/>
  <c r="J36" i="88"/>
  <c r="F36" i="88"/>
  <c r="F35" i="88"/>
  <c r="F34" i="88"/>
  <c r="J33" i="88"/>
  <c r="F33" i="88"/>
  <c r="E33" i="88"/>
  <c r="F32" i="88"/>
  <c r="F31" i="88"/>
  <c r="F30" i="88"/>
  <c r="F29" i="88"/>
  <c r="F28" i="88"/>
  <c r="F27" i="88"/>
  <c r="F26" i="88"/>
  <c r="F25" i="88"/>
  <c r="F24" i="88"/>
  <c r="F23" i="88"/>
  <c r="F22" i="88"/>
  <c r="F21" i="88"/>
  <c r="F20" i="88"/>
  <c r="F18" i="88"/>
  <c r="F17" i="88"/>
  <c r="F15" i="88"/>
  <c r="F14" i="88"/>
  <c r="F13" i="88"/>
  <c r="F12" i="88"/>
  <c r="F11" i="88"/>
  <c r="F10" i="88"/>
  <c r="F9" i="88"/>
  <c r="F8" i="88"/>
  <c r="F7" i="88"/>
  <c r="F6" i="88"/>
  <c r="F5" i="88"/>
  <c r="F4" i="88"/>
  <c r="F3" i="88"/>
  <c r="F39" i="87"/>
  <c r="E39" i="87"/>
  <c r="J38" i="87"/>
  <c r="F38" i="87"/>
  <c r="J37" i="87"/>
  <c r="F37" i="87"/>
  <c r="J36" i="87"/>
  <c r="F36" i="87"/>
  <c r="F35" i="87"/>
  <c r="F34" i="87"/>
  <c r="J33" i="87"/>
  <c r="F33" i="87"/>
  <c r="E33" i="87"/>
  <c r="F32" i="87"/>
  <c r="F31" i="87"/>
  <c r="F30" i="87"/>
  <c r="F29" i="87"/>
  <c r="F28" i="87"/>
  <c r="F27" i="87"/>
  <c r="F26" i="87"/>
  <c r="F25" i="87"/>
  <c r="F24" i="87"/>
  <c r="F23" i="87"/>
  <c r="F22" i="87"/>
  <c r="F21" i="87"/>
  <c r="F20" i="87"/>
  <c r="F18" i="87"/>
  <c r="F17" i="87"/>
  <c r="F15" i="87"/>
  <c r="F14" i="87"/>
  <c r="F13" i="87"/>
  <c r="F12" i="87"/>
  <c r="F11" i="87"/>
  <c r="F10" i="87"/>
  <c r="F9" i="87"/>
  <c r="F8" i="87"/>
  <c r="F7" i="87"/>
  <c r="F5" i="87"/>
  <c r="F4" i="87"/>
  <c r="F3" i="87"/>
  <c r="R19" i="85" l="1"/>
  <c r="Q19" i="85"/>
  <c r="Q40" i="86"/>
  <c r="R41" i="85"/>
  <c r="R50" i="86"/>
  <c r="Q50" i="86"/>
  <c r="P41" i="86"/>
  <c r="Q19" i="86"/>
  <c r="P47" i="86"/>
  <c r="Q45" i="86"/>
  <c r="R45" i="86"/>
  <c r="R47" i="86" s="1"/>
  <c r="AU21" i="34"/>
  <c r="AT41" i="34"/>
  <c r="I8" i="90"/>
  <c r="I9" i="90"/>
  <c r="I23" i="90"/>
  <c r="I10" i="90"/>
  <c r="I24" i="90"/>
  <c r="I34" i="90"/>
  <c r="I12" i="90"/>
  <c r="I33" i="90"/>
  <c r="I25" i="90"/>
  <c r="I26" i="90"/>
  <c r="I36" i="90"/>
  <c r="I13" i="90"/>
  <c r="I27" i="90"/>
  <c r="I28" i="90"/>
  <c r="I11" i="90"/>
  <c r="I14" i="90"/>
  <c r="I30" i="90"/>
  <c r="I38" i="90"/>
  <c r="I5" i="90"/>
  <c r="I31" i="90"/>
  <c r="I22" i="90"/>
  <c r="I37" i="90"/>
  <c r="I3" i="90"/>
  <c r="I29" i="90"/>
  <c r="I17" i="90"/>
  <c r="I6" i="90"/>
  <c r="I20" i="90"/>
  <c r="I32" i="90"/>
  <c r="I35" i="90"/>
  <c r="I15" i="90"/>
  <c r="I4" i="90"/>
  <c r="I18" i="90"/>
  <c r="I7" i="90"/>
  <c r="I21" i="90"/>
  <c r="I39" i="90"/>
  <c r="I3" i="89"/>
  <c r="R13" i="89"/>
  <c r="I13" i="89"/>
  <c r="R5" i="89"/>
  <c r="I5" i="89"/>
  <c r="I27" i="89"/>
  <c r="I28" i="89"/>
  <c r="I30" i="89"/>
  <c r="R6" i="89"/>
  <c r="I6" i="89"/>
  <c r="I39" i="89"/>
  <c r="I17" i="89"/>
  <c r="I18" i="89"/>
  <c r="I32" i="89"/>
  <c r="R8" i="89"/>
  <c r="I8" i="89"/>
  <c r="I22" i="89"/>
  <c r="I33" i="89"/>
  <c r="R14" i="89"/>
  <c r="I14" i="89"/>
  <c r="I29" i="89"/>
  <c r="R7" i="89"/>
  <c r="I7" i="89"/>
  <c r="I23" i="89"/>
  <c r="R10" i="89"/>
  <c r="I10" i="89"/>
  <c r="I24" i="89"/>
  <c r="I34" i="89"/>
  <c r="R4" i="89"/>
  <c r="I4" i="89"/>
  <c r="R11" i="89"/>
  <c r="I11" i="89"/>
  <c r="I25" i="89"/>
  <c r="I35" i="89"/>
  <c r="I37" i="89"/>
  <c r="R15" i="89"/>
  <c r="I15" i="89"/>
  <c r="I38" i="89"/>
  <c r="I31" i="89"/>
  <c r="I20" i="89"/>
  <c r="I21" i="89"/>
  <c r="R9" i="89"/>
  <c r="I9" i="89"/>
  <c r="R12" i="89"/>
  <c r="I12" i="89"/>
  <c r="I26" i="89"/>
  <c r="I36" i="89"/>
  <c r="G16" i="90"/>
  <c r="F16" i="88"/>
  <c r="F19" i="88" s="1"/>
  <c r="G16" i="89"/>
  <c r="R16" i="89" s="1"/>
  <c r="L38" i="87"/>
  <c r="K38" i="87"/>
  <c r="I12" i="88"/>
  <c r="H12" i="88"/>
  <c r="H24" i="88"/>
  <c r="I24" i="88"/>
  <c r="I34" i="88"/>
  <c r="H34" i="88"/>
  <c r="J5" i="89"/>
  <c r="J18" i="89"/>
  <c r="J29" i="89"/>
  <c r="N37" i="89"/>
  <c r="J10" i="90"/>
  <c r="J22" i="90"/>
  <c r="J33" i="90"/>
  <c r="I7" i="87"/>
  <c r="H7" i="87"/>
  <c r="H31" i="87"/>
  <c r="I31" i="87"/>
  <c r="I8" i="87"/>
  <c r="H8" i="87"/>
  <c r="I20" i="87"/>
  <c r="H20" i="87"/>
  <c r="I32" i="87"/>
  <c r="H32" i="87"/>
  <c r="I13" i="88"/>
  <c r="H13" i="88"/>
  <c r="I25" i="88"/>
  <c r="H25" i="88"/>
  <c r="I35" i="88"/>
  <c r="H35" i="88"/>
  <c r="J6" i="89"/>
  <c r="J30" i="89"/>
  <c r="J38" i="89"/>
  <c r="J11" i="90"/>
  <c r="J23" i="90"/>
  <c r="H36" i="88"/>
  <c r="I36" i="88"/>
  <c r="J7" i="89"/>
  <c r="J31" i="89"/>
  <c r="N38" i="89"/>
  <c r="J12" i="90"/>
  <c r="J24" i="90"/>
  <c r="J34" i="90"/>
  <c r="I14" i="88"/>
  <c r="H14" i="88"/>
  <c r="I26" i="88"/>
  <c r="H26" i="88"/>
  <c r="I10" i="87"/>
  <c r="H10" i="87"/>
  <c r="I22" i="87"/>
  <c r="H22" i="87"/>
  <c r="I33" i="87"/>
  <c r="H33" i="87"/>
  <c r="I3" i="88"/>
  <c r="H3" i="88"/>
  <c r="I15" i="88"/>
  <c r="H15" i="88"/>
  <c r="I27" i="88"/>
  <c r="H27" i="88"/>
  <c r="L36" i="88"/>
  <c r="K36" i="88"/>
  <c r="J8" i="89"/>
  <c r="J20" i="89"/>
  <c r="J32" i="89"/>
  <c r="J13" i="90"/>
  <c r="J25" i="90"/>
  <c r="J35" i="90"/>
  <c r="I11" i="87"/>
  <c r="H11" i="87"/>
  <c r="I23" i="87"/>
  <c r="H23" i="87"/>
  <c r="K33" i="87"/>
  <c r="L33" i="87"/>
  <c r="I4" i="88"/>
  <c r="H4" i="88"/>
  <c r="I17" i="88"/>
  <c r="H17" i="88"/>
  <c r="I28" i="88"/>
  <c r="H28" i="88"/>
  <c r="I37" i="88"/>
  <c r="H37" i="88"/>
  <c r="J9" i="89"/>
  <c r="J21" i="89"/>
  <c r="J39" i="89"/>
  <c r="J14" i="90"/>
  <c r="J26" i="90"/>
  <c r="J36" i="90"/>
  <c r="I24" i="87"/>
  <c r="H24" i="87"/>
  <c r="I18" i="88"/>
  <c r="H18" i="88"/>
  <c r="I29" i="88"/>
  <c r="H29" i="88"/>
  <c r="L37" i="88"/>
  <c r="K37" i="88"/>
  <c r="J10" i="89"/>
  <c r="J22" i="89"/>
  <c r="J33" i="89"/>
  <c r="J3" i="90"/>
  <c r="J15" i="90"/>
  <c r="J27" i="90"/>
  <c r="I35" i="87"/>
  <c r="H35" i="87"/>
  <c r="I6" i="88"/>
  <c r="H6" i="88"/>
  <c r="I30" i="88"/>
  <c r="H30" i="88"/>
  <c r="I38" i="88"/>
  <c r="H38" i="88"/>
  <c r="J11" i="89"/>
  <c r="J23" i="89"/>
  <c r="N33" i="89"/>
  <c r="J4" i="90"/>
  <c r="J17" i="90"/>
  <c r="J28" i="90"/>
  <c r="J37" i="90"/>
  <c r="I9" i="87"/>
  <c r="H9" i="87"/>
  <c r="I25" i="87"/>
  <c r="H25" i="87"/>
  <c r="I14" i="87"/>
  <c r="H14" i="87"/>
  <c r="I26" i="87"/>
  <c r="H26" i="87"/>
  <c r="H36" i="87"/>
  <c r="I36" i="87"/>
  <c r="I7" i="88"/>
  <c r="H7" i="88"/>
  <c r="I31" i="88"/>
  <c r="H31" i="88"/>
  <c r="L38" i="88"/>
  <c r="K38" i="88"/>
  <c r="J12" i="89"/>
  <c r="J24" i="89"/>
  <c r="J34" i="89"/>
  <c r="J5" i="90"/>
  <c r="J18" i="90"/>
  <c r="J29" i="90"/>
  <c r="I21" i="87"/>
  <c r="H21" i="87"/>
  <c r="I12" i="87"/>
  <c r="H12" i="87"/>
  <c r="I13" i="87"/>
  <c r="H13" i="87"/>
  <c r="I3" i="87"/>
  <c r="H3" i="87"/>
  <c r="I15" i="87"/>
  <c r="H15" i="87"/>
  <c r="I27" i="87"/>
  <c r="H27" i="87"/>
  <c r="K36" i="87"/>
  <c r="L36" i="87"/>
  <c r="I8" i="88"/>
  <c r="H8" i="88"/>
  <c r="I20" i="88"/>
  <c r="H20" i="88"/>
  <c r="I32" i="88"/>
  <c r="H32" i="88"/>
  <c r="J13" i="89"/>
  <c r="J25" i="89"/>
  <c r="J35" i="89"/>
  <c r="J6" i="90"/>
  <c r="J30" i="90"/>
  <c r="J38" i="90"/>
  <c r="I5" i="88"/>
  <c r="H5" i="88"/>
  <c r="H4" i="87"/>
  <c r="I4" i="87"/>
  <c r="I17" i="87"/>
  <c r="H17" i="87"/>
  <c r="I28" i="87"/>
  <c r="H28" i="87"/>
  <c r="I37" i="87"/>
  <c r="H37" i="87"/>
  <c r="I9" i="88"/>
  <c r="H9" i="88"/>
  <c r="I21" i="88"/>
  <c r="H21" i="88"/>
  <c r="I39" i="88"/>
  <c r="H39" i="88"/>
  <c r="J14" i="89"/>
  <c r="J26" i="89"/>
  <c r="J36" i="89"/>
  <c r="J7" i="90"/>
  <c r="J31" i="90"/>
  <c r="I34" i="87"/>
  <c r="H34" i="87"/>
  <c r="H5" i="87"/>
  <c r="I5" i="87"/>
  <c r="H18" i="87"/>
  <c r="I18" i="87"/>
  <c r="H29" i="87"/>
  <c r="I29" i="87"/>
  <c r="K37" i="87"/>
  <c r="L37" i="87"/>
  <c r="I10" i="88"/>
  <c r="H10" i="88"/>
  <c r="H22" i="88"/>
  <c r="I22" i="88"/>
  <c r="I33" i="88"/>
  <c r="H33" i="88"/>
  <c r="J3" i="89"/>
  <c r="J15" i="89"/>
  <c r="J27" i="89"/>
  <c r="N36" i="89"/>
  <c r="J8" i="90"/>
  <c r="J20" i="90"/>
  <c r="J32" i="90"/>
  <c r="I39" i="87"/>
  <c r="H39" i="87"/>
  <c r="H30" i="87"/>
  <c r="I30" i="87"/>
  <c r="I38" i="87"/>
  <c r="H38" i="87"/>
  <c r="H11" i="88"/>
  <c r="I11" i="88"/>
  <c r="I23" i="88"/>
  <c r="H23" i="88"/>
  <c r="L33" i="88"/>
  <c r="K33" i="88"/>
  <c r="J4" i="89"/>
  <c r="J17" i="89"/>
  <c r="J28" i="89"/>
  <c r="J37" i="89"/>
  <c r="J9" i="90"/>
  <c r="J21" i="90"/>
  <c r="J39" i="90"/>
  <c r="Q44" i="34"/>
  <c r="G40" i="90"/>
  <c r="G40" i="89"/>
  <c r="R40" i="89" s="1"/>
  <c r="F40" i="88"/>
  <c r="F40" i="87"/>
  <c r="P51" i="86" l="1"/>
  <c r="Q51" i="86" s="1"/>
  <c r="Q47" i="86"/>
  <c r="AV21" i="34"/>
  <c r="AU41" i="34"/>
  <c r="R51" i="86"/>
  <c r="G19" i="90"/>
  <c r="I16" i="90"/>
  <c r="I40" i="90"/>
  <c r="I40" i="89"/>
  <c r="G19" i="89"/>
  <c r="R19" i="89" s="1"/>
  <c r="I16" i="89"/>
  <c r="I16" i="88"/>
  <c r="I19" i="88" s="1"/>
  <c r="J16" i="89"/>
  <c r="J19" i="89" s="1"/>
  <c r="J16" i="90"/>
  <c r="J19" i="90" s="1"/>
  <c r="H40" i="88"/>
  <c r="H40" i="87"/>
  <c r="AW21" i="34" l="1"/>
  <c r="AW41" i="34" s="1"/>
  <c r="AV41" i="34"/>
  <c r="I19" i="90"/>
  <c r="I19" i="89"/>
  <c r="G39" i="86"/>
  <c r="I39" i="86" s="1"/>
  <c r="F39" i="86"/>
  <c r="L38" i="86"/>
  <c r="M38" i="86" s="1"/>
  <c r="G38" i="86"/>
  <c r="I38" i="86" s="1"/>
  <c r="L37" i="86"/>
  <c r="M37" i="86" s="1"/>
  <c r="G37" i="86"/>
  <c r="I37" i="86" s="1"/>
  <c r="L36" i="86"/>
  <c r="M36" i="86" s="1"/>
  <c r="G36" i="86"/>
  <c r="I36" i="86" s="1"/>
  <c r="G35" i="86"/>
  <c r="I35" i="86" s="1"/>
  <c r="G34" i="86"/>
  <c r="I34" i="86" s="1"/>
  <c r="L33" i="86"/>
  <c r="M33" i="86" s="1"/>
  <c r="G33" i="86"/>
  <c r="I33" i="86" s="1"/>
  <c r="F33" i="86"/>
  <c r="G32" i="86"/>
  <c r="I32" i="86" s="1"/>
  <c r="G31" i="86"/>
  <c r="I31" i="86" s="1"/>
  <c r="G30" i="86"/>
  <c r="I30" i="86" s="1"/>
  <c r="G29" i="86"/>
  <c r="I29" i="86" s="1"/>
  <c r="G28" i="86"/>
  <c r="I28" i="86" s="1"/>
  <c r="G27" i="86"/>
  <c r="I27" i="86" s="1"/>
  <c r="G26" i="86"/>
  <c r="I26" i="86" s="1"/>
  <c r="G25" i="86"/>
  <c r="I25" i="86" s="1"/>
  <c r="G24" i="86"/>
  <c r="I24" i="86" s="1"/>
  <c r="G23" i="86"/>
  <c r="I23" i="86" s="1"/>
  <c r="G22" i="86"/>
  <c r="I22" i="86" s="1"/>
  <c r="G21" i="86"/>
  <c r="G20" i="86"/>
  <c r="G18" i="86"/>
  <c r="I18" i="86" s="1"/>
  <c r="G17" i="86"/>
  <c r="G15" i="86"/>
  <c r="I15" i="86" s="1"/>
  <c r="G14" i="86"/>
  <c r="I14" i="86" s="1"/>
  <c r="G13" i="86"/>
  <c r="I13" i="86" s="1"/>
  <c r="G12" i="86"/>
  <c r="I12" i="86" s="1"/>
  <c r="G11" i="86"/>
  <c r="I11" i="86" s="1"/>
  <c r="G10" i="86"/>
  <c r="I10" i="86" s="1"/>
  <c r="G9" i="86"/>
  <c r="I9" i="86" s="1"/>
  <c r="G8" i="86"/>
  <c r="I8" i="86" s="1"/>
  <c r="G7" i="86"/>
  <c r="I7" i="86" s="1"/>
  <c r="G5" i="86"/>
  <c r="I5" i="86" s="1"/>
  <c r="G4" i="86"/>
  <c r="I4" i="86" s="1"/>
  <c r="G3" i="86"/>
  <c r="I3" i="86" s="1"/>
  <c r="G39" i="85"/>
  <c r="I39" i="85" s="1"/>
  <c r="F39" i="85"/>
  <c r="L38" i="85"/>
  <c r="M38" i="85" s="1"/>
  <c r="G38" i="85"/>
  <c r="I38" i="85" s="1"/>
  <c r="L37" i="85"/>
  <c r="M37" i="85" s="1"/>
  <c r="G37" i="85"/>
  <c r="I37" i="85" s="1"/>
  <c r="L36" i="85"/>
  <c r="M36" i="85" s="1"/>
  <c r="G36" i="85"/>
  <c r="I36" i="85" s="1"/>
  <c r="G35" i="85"/>
  <c r="I35" i="85" s="1"/>
  <c r="G34" i="85"/>
  <c r="I34" i="85" s="1"/>
  <c r="L33" i="85"/>
  <c r="M33" i="85" s="1"/>
  <c r="G33" i="85"/>
  <c r="I33" i="85" s="1"/>
  <c r="F33" i="85"/>
  <c r="G32" i="85"/>
  <c r="I32" i="85" s="1"/>
  <c r="G31" i="85"/>
  <c r="I31" i="85" s="1"/>
  <c r="G30" i="85"/>
  <c r="I30" i="85" s="1"/>
  <c r="G29" i="85"/>
  <c r="I29" i="85" s="1"/>
  <c r="G28" i="85"/>
  <c r="I28" i="85" s="1"/>
  <c r="G27" i="85"/>
  <c r="I27" i="85" s="1"/>
  <c r="G26" i="85"/>
  <c r="I26" i="85" s="1"/>
  <c r="G25" i="85"/>
  <c r="I25" i="85" s="1"/>
  <c r="G24" i="85"/>
  <c r="I24" i="85" s="1"/>
  <c r="G23" i="85"/>
  <c r="I23" i="85" s="1"/>
  <c r="G22" i="85"/>
  <c r="I22" i="85" s="1"/>
  <c r="G21" i="85"/>
  <c r="I21" i="85" s="1"/>
  <c r="G20" i="85"/>
  <c r="I20" i="85" s="1"/>
  <c r="G18" i="85"/>
  <c r="I18" i="85" s="1"/>
  <c r="G17" i="85"/>
  <c r="I17" i="85" s="1"/>
  <c r="G15" i="85"/>
  <c r="I15" i="85" s="1"/>
  <c r="G14" i="85"/>
  <c r="I14" i="85" s="1"/>
  <c r="G13" i="85"/>
  <c r="I13" i="85" s="1"/>
  <c r="G12" i="85"/>
  <c r="I12" i="85" s="1"/>
  <c r="G11" i="85"/>
  <c r="I11" i="85" s="1"/>
  <c r="G10" i="85"/>
  <c r="I10" i="85" s="1"/>
  <c r="G9" i="85"/>
  <c r="I9" i="85" s="1"/>
  <c r="G8" i="85"/>
  <c r="I8" i="85" s="1"/>
  <c r="G7" i="85"/>
  <c r="I7" i="85" s="1"/>
  <c r="G5" i="85"/>
  <c r="I5" i="85" s="1"/>
  <c r="G4" i="85"/>
  <c r="I4" i="85" s="1"/>
  <c r="G3" i="85"/>
  <c r="I3" i="85" s="1"/>
  <c r="G39" i="84"/>
  <c r="I39" i="84" s="1"/>
  <c r="F39" i="84"/>
  <c r="L38" i="84"/>
  <c r="M38" i="84" s="1"/>
  <c r="G38" i="84"/>
  <c r="I38" i="84" s="1"/>
  <c r="L37" i="84"/>
  <c r="M37" i="84" s="1"/>
  <c r="G37" i="84"/>
  <c r="I37" i="84" s="1"/>
  <c r="L36" i="84"/>
  <c r="M36" i="84" s="1"/>
  <c r="G36" i="84"/>
  <c r="I36" i="84" s="1"/>
  <c r="G35" i="84"/>
  <c r="I35" i="84" s="1"/>
  <c r="G34" i="84"/>
  <c r="I34" i="84" s="1"/>
  <c r="L33" i="84"/>
  <c r="M33" i="84" s="1"/>
  <c r="G33" i="84"/>
  <c r="I33" i="84" s="1"/>
  <c r="F33" i="84"/>
  <c r="G32" i="84"/>
  <c r="I32" i="84" s="1"/>
  <c r="G31" i="84"/>
  <c r="I31" i="84" s="1"/>
  <c r="G30" i="84"/>
  <c r="I30" i="84" s="1"/>
  <c r="G29" i="84"/>
  <c r="I29" i="84" s="1"/>
  <c r="G28" i="84"/>
  <c r="I28" i="84" s="1"/>
  <c r="G27" i="84"/>
  <c r="I27" i="84" s="1"/>
  <c r="G26" i="84"/>
  <c r="I26" i="84" s="1"/>
  <c r="G25" i="84"/>
  <c r="I25" i="84" s="1"/>
  <c r="G24" i="84"/>
  <c r="I24" i="84" s="1"/>
  <c r="G23" i="84"/>
  <c r="I23" i="84" s="1"/>
  <c r="G22" i="84"/>
  <c r="I22" i="84" s="1"/>
  <c r="G21" i="84"/>
  <c r="I21" i="84" s="1"/>
  <c r="G20" i="84"/>
  <c r="I20" i="84" s="1"/>
  <c r="G18" i="84"/>
  <c r="I18" i="84" s="1"/>
  <c r="G17" i="84"/>
  <c r="I17" i="84" s="1"/>
  <c r="G15" i="84"/>
  <c r="I15" i="84" s="1"/>
  <c r="G14" i="84"/>
  <c r="I14" i="84" s="1"/>
  <c r="G13" i="84"/>
  <c r="I13" i="84" s="1"/>
  <c r="G12" i="84"/>
  <c r="I12" i="84" s="1"/>
  <c r="G11" i="84"/>
  <c r="I11" i="84" s="1"/>
  <c r="G10" i="84"/>
  <c r="I10" i="84" s="1"/>
  <c r="G9" i="84"/>
  <c r="I9" i="84" s="1"/>
  <c r="G8" i="84"/>
  <c r="I8" i="84" s="1"/>
  <c r="G7" i="84"/>
  <c r="I7" i="84" s="1"/>
  <c r="G5" i="84"/>
  <c r="I5" i="84" s="1"/>
  <c r="G4" i="84"/>
  <c r="I4" i="84" s="1"/>
  <c r="G3" i="84"/>
  <c r="I3" i="84" s="1"/>
  <c r="G39" i="83"/>
  <c r="I39" i="83" s="1"/>
  <c r="F39" i="83"/>
  <c r="L38" i="83"/>
  <c r="M38" i="83" s="1"/>
  <c r="G38" i="83"/>
  <c r="I38" i="83" s="1"/>
  <c r="L37" i="83"/>
  <c r="M37" i="83" s="1"/>
  <c r="G37" i="83"/>
  <c r="I37" i="83" s="1"/>
  <c r="L36" i="83"/>
  <c r="M36" i="83" s="1"/>
  <c r="G36" i="83"/>
  <c r="I36" i="83" s="1"/>
  <c r="G35" i="83"/>
  <c r="I35" i="83" s="1"/>
  <c r="G34" i="83"/>
  <c r="I34" i="83" s="1"/>
  <c r="L33" i="83"/>
  <c r="M33" i="83" s="1"/>
  <c r="G33" i="83"/>
  <c r="I33" i="83" s="1"/>
  <c r="F33" i="83"/>
  <c r="G32" i="83"/>
  <c r="I32" i="83" s="1"/>
  <c r="G31" i="83"/>
  <c r="I31" i="83" s="1"/>
  <c r="G30" i="83"/>
  <c r="I30" i="83" s="1"/>
  <c r="G29" i="83"/>
  <c r="I29" i="83" s="1"/>
  <c r="G28" i="83"/>
  <c r="I28" i="83" s="1"/>
  <c r="G27" i="83"/>
  <c r="I27" i="83" s="1"/>
  <c r="G26" i="83"/>
  <c r="I26" i="83" s="1"/>
  <c r="G25" i="83"/>
  <c r="I25" i="83" s="1"/>
  <c r="G24" i="83"/>
  <c r="I24" i="83" s="1"/>
  <c r="G23" i="83"/>
  <c r="I23" i="83" s="1"/>
  <c r="G22" i="83"/>
  <c r="I22" i="83" s="1"/>
  <c r="G21" i="83"/>
  <c r="I21" i="83" s="1"/>
  <c r="G20" i="83"/>
  <c r="I20" i="83" s="1"/>
  <c r="G18" i="83"/>
  <c r="I18" i="83" s="1"/>
  <c r="G17" i="83"/>
  <c r="I17" i="83" s="1"/>
  <c r="G15" i="83"/>
  <c r="I15" i="83" s="1"/>
  <c r="G14" i="83"/>
  <c r="I14" i="83" s="1"/>
  <c r="G13" i="83"/>
  <c r="I13" i="83" s="1"/>
  <c r="G12" i="83"/>
  <c r="I12" i="83" s="1"/>
  <c r="G11" i="83"/>
  <c r="I11" i="83" s="1"/>
  <c r="G10" i="83"/>
  <c r="I10" i="83" s="1"/>
  <c r="G9" i="83"/>
  <c r="I9" i="83" s="1"/>
  <c r="G8" i="83"/>
  <c r="I8" i="83" s="1"/>
  <c r="G7" i="83"/>
  <c r="I7" i="83" s="1"/>
  <c r="G5" i="83"/>
  <c r="I5" i="83" s="1"/>
  <c r="G4" i="83"/>
  <c r="I4" i="83" s="1"/>
  <c r="G3" i="83"/>
  <c r="I3" i="83" s="1"/>
  <c r="G39" i="82"/>
  <c r="F39" i="82"/>
  <c r="L38" i="82"/>
  <c r="M38" i="82" s="1"/>
  <c r="G38" i="82"/>
  <c r="L37" i="82"/>
  <c r="M37" i="82" s="1"/>
  <c r="G37" i="82"/>
  <c r="L36" i="82"/>
  <c r="M36" i="82" s="1"/>
  <c r="G36" i="82"/>
  <c r="G35" i="82"/>
  <c r="G34" i="82"/>
  <c r="L33" i="82"/>
  <c r="M33" i="82" s="1"/>
  <c r="G33" i="82"/>
  <c r="F33" i="82"/>
  <c r="G32" i="82"/>
  <c r="G31" i="82"/>
  <c r="G30" i="82"/>
  <c r="G29" i="82"/>
  <c r="G28" i="82"/>
  <c r="G27" i="82"/>
  <c r="G26" i="82"/>
  <c r="G25" i="82"/>
  <c r="G24" i="82"/>
  <c r="G23" i="82"/>
  <c r="G22" i="82"/>
  <c r="G21" i="82"/>
  <c r="G20" i="82"/>
  <c r="G18" i="82"/>
  <c r="G17" i="82"/>
  <c r="G15" i="82"/>
  <c r="G14" i="82"/>
  <c r="G13" i="82"/>
  <c r="G12" i="82"/>
  <c r="G11" i="82"/>
  <c r="G10" i="82"/>
  <c r="G9" i="82"/>
  <c r="G8" i="82"/>
  <c r="G7" i="82"/>
  <c r="G5" i="82"/>
  <c r="G4" i="82"/>
  <c r="G3" i="82"/>
  <c r="G39" i="81"/>
  <c r="I39" i="81" s="1"/>
  <c r="F39" i="81"/>
  <c r="L38" i="81"/>
  <c r="M38" i="81" s="1"/>
  <c r="G38" i="81"/>
  <c r="I38" i="81" s="1"/>
  <c r="L37" i="81"/>
  <c r="M37" i="81" s="1"/>
  <c r="G37" i="81"/>
  <c r="I37" i="81" s="1"/>
  <c r="L36" i="81"/>
  <c r="M36" i="81" s="1"/>
  <c r="G36" i="81"/>
  <c r="I36" i="81" s="1"/>
  <c r="G35" i="81"/>
  <c r="I35" i="81" s="1"/>
  <c r="G34" i="81"/>
  <c r="I34" i="81" s="1"/>
  <c r="L33" i="81"/>
  <c r="M33" i="81" s="1"/>
  <c r="G33" i="81"/>
  <c r="I33" i="81" s="1"/>
  <c r="F33" i="81"/>
  <c r="G32" i="81"/>
  <c r="I32" i="81" s="1"/>
  <c r="G31" i="81"/>
  <c r="I31" i="81" s="1"/>
  <c r="G30" i="81"/>
  <c r="I30" i="81" s="1"/>
  <c r="G29" i="81"/>
  <c r="I29" i="81" s="1"/>
  <c r="G28" i="81"/>
  <c r="I28" i="81" s="1"/>
  <c r="G27" i="81"/>
  <c r="I27" i="81" s="1"/>
  <c r="G26" i="81"/>
  <c r="I26" i="81" s="1"/>
  <c r="G25" i="81"/>
  <c r="I25" i="81" s="1"/>
  <c r="G24" i="81"/>
  <c r="I24" i="81" s="1"/>
  <c r="G23" i="81"/>
  <c r="I23" i="81" s="1"/>
  <c r="G22" i="81"/>
  <c r="I22" i="81" s="1"/>
  <c r="G21" i="81"/>
  <c r="I21" i="81" s="1"/>
  <c r="G20" i="81"/>
  <c r="I20" i="81" s="1"/>
  <c r="G18" i="81"/>
  <c r="I18" i="81" s="1"/>
  <c r="G17" i="81"/>
  <c r="I17" i="81" s="1"/>
  <c r="G15" i="81"/>
  <c r="I15" i="81" s="1"/>
  <c r="G14" i="81"/>
  <c r="I14" i="81" s="1"/>
  <c r="G13" i="81"/>
  <c r="I13" i="81" s="1"/>
  <c r="G12" i="81"/>
  <c r="I12" i="81" s="1"/>
  <c r="G11" i="81"/>
  <c r="I11" i="81" s="1"/>
  <c r="G10" i="81"/>
  <c r="I10" i="81" s="1"/>
  <c r="G9" i="81"/>
  <c r="I9" i="81" s="1"/>
  <c r="G8" i="81"/>
  <c r="I8" i="81" s="1"/>
  <c r="G7" i="81"/>
  <c r="I7" i="81" s="1"/>
  <c r="G5" i="81"/>
  <c r="I5" i="81" s="1"/>
  <c r="G4" i="81"/>
  <c r="I4" i="81" s="1"/>
  <c r="G3" i="81"/>
  <c r="I3" i="81" s="1"/>
  <c r="G39" i="80"/>
  <c r="F39" i="80"/>
  <c r="K38" i="80"/>
  <c r="G38" i="80"/>
  <c r="K37" i="80"/>
  <c r="G37" i="80"/>
  <c r="K36" i="80"/>
  <c r="G36" i="80"/>
  <c r="G35" i="80"/>
  <c r="G34" i="80"/>
  <c r="K33" i="80"/>
  <c r="G33" i="80"/>
  <c r="F33" i="80"/>
  <c r="G32" i="80"/>
  <c r="G31" i="80"/>
  <c r="G30" i="80"/>
  <c r="G29" i="80"/>
  <c r="G28" i="80"/>
  <c r="G27" i="80"/>
  <c r="G26" i="80"/>
  <c r="G25" i="80"/>
  <c r="G24" i="80"/>
  <c r="G23" i="80"/>
  <c r="G22" i="80"/>
  <c r="G21" i="80"/>
  <c r="G20" i="80"/>
  <c r="G18" i="80"/>
  <c r="G17" i="80"/>
  <c r="G15" i="80"/>
  <c r="G14" i="80"/>
  <c r="G13" i="80"/>
  <c r="G12" i="80"/>
  <c r="G11" i="80"/>
  <c r="G10" i="80"/>
  <c r="G9" i="80"/>
  <c r="G8" i="80"/>
  <c r="G7" i="80"/>
  <c r="G5" i="80"/>
  <c r="G4" i="80"/>
  <c r="G3" i="80"/>
  <c r="F39" i="79"/>
  <c r="E39" i="79"/>
  <c r="J38" i="79"/>
  <c r="F38" i="79"/>
  <c r="J37" i="79"/>
  <c r="F37" i="79"/>
  <c r="J36" i="79"/>
  <c r="F36" i="79"/>
  <c r="F35" i="79"/>
  <c r="F34" i="79"/>
  <c r="J33" i="79"/>
  <c r="F33" i="79"/>
  <c r="E33" i="79"/>
  <c r="F32" i="79"/>
  <c r="F31" i="79"/>
  <c r="F30" i="79"/>
  <c r="F29" i="79"/>
  <c r="F28" i="79"/>
  <c r="F27" i="79"/>
  <c r="F26" i="79"/>
  <c r="F25" i="79"/>
  <c r="F24" i="79"/>
  <c r="F23" i="79"/>
  <c r="F22" i="79"/>
  <c r="F21" i="79"/>
  <c r="F20" i="79"/>
  <c r="F18" i="79"/>
  <c r="F17" i="79"/>
  <c r="F15" i="79"/>
  <c r="F14" i="79"/>
  <c r="F13" i="79"/>
  <c r="F12" i="79"/>
  <c r="F11" i="79"/>
  <c r="F10" i="79"/>
  <c r="F9" i="79"/>
  <c r="F8" i="79"/>
  <c r="F7" i="79"/>
  <c r="F5" i="79"/>
  <c r="F4" i="79"/>
  <c r="F3" i="79"/>
  <c r="F39" i="78"/>
  <c r="E39" i="78"/>
  <c r="J38" i="78"/>
  <c r="F38" i="78"/>
  <c r="J37" i="78"/>
  <c r="F37" i="78"/>
  <c r="J36" i="78"/>
  <c r="F36" i="78"/>
  <c r="F35" i="78"/>
  <c r="F34" i="78"/>
  <c r="J33" i="78"/>
  <c r="F33" i="78"/>
  <c r="E33" i="78"/>
  <c r="F32" i="78"/>
  <c r="F31" i="78"/>
  <c r="F30" i="78"/>
  <c r="F29" i="78"/>
  <c r="F28" i="78"/>
  <c r="F27" i="78"/>
  <c r="F26" i="78"/>
  <c r="F25" i="78"/>
  <c r="F24" i="78"/>
  <c r="F23" i="78"/>
  <c r="F22" i="78"/>
  <c r="F21" i="78"/>
  <c r="F20" i="78"/>
  <c r="F18" i="78"/>
  <c r="F17" i="78"/>
  <c r="F15" i="78"/>
  <c r="F14" i="78"/>
  <c r="F13" i="78"/>
  <c r="F12" i="78"/>
  <c r="F11" i="78"/>
  <c r="F10" i="78"/>
  <c r="F9" i="78"/>
  <c r="F8" i="78"/>
  <c r="F7" i="78"/>
  <c r="F5" i="78"/>
  <c r="F4" i="78"/>
  <c r="F3" i="78"/>
  <c r="F39" i="77"/>
  <c r="E39" i="77"/>
  <c r="J38" i="77"/>
  <c r="F38" i="77"/>
  <c r="J37" i="77"/>
  <c r="F37" i="77"/>
  <c r="J36" i="77"/>
  <c r="F36" i="77"/>
  <c r="F35" i="77"/>
  <c r="F34" i="77"/>
  <c r="J33" i="77"/>
  <c r="F33" i="77"/>
  <c r="E33" i="77"/>
  <c r="F32" i="77"/>
  <c r="F31" i="77"/>
  <c r="F30" i="77"/>
  <c r="F29" i="77"/>
  <c r="F28" i="77"/>
  <c r="F27" i="77"/>
  <c r="F26" i="77"/>
  <c r="F25" i="77"/>
  <c r="F24" i="77"/>
  <c r="F23" i="77"/>
  <c r="F22" i="77"/>
  <c r="F21" i="77"/>
  <c r="F20" i="77"/>
  <c r="F18" i="77"/>
  <c r="F17" i="77"/>
  <c r="F15" i="77"/>
  <c r="F14" i="77"/>
  <c r="F13" i="77"/>
  <c r="F12" i="77"/>
  <c r="F11" i="77"/>
  <c r="F10" i="77"/>
  <c r="F9" i="77"/>
  <c r="F8" i="77"/>
  <c r="F7" i="77"/>
  <c r="F5" i="77"/>
  <c r="F4" i="77"/>
  <c r="F3" i="77"/>
  <c r="F39" i="76"/>
  <c r="E39" i="76"/>
  <c r="J38" i="76"/>
  <c r="F38" i="76"/>
  <c r="J37" i="76"/>
  <c r="F37" i="76"/>
  <c r="J36" i="76"/>
  <c r="F36" i="76"/>
  <c r="F35" i="76"/>
  <c r="F34" i="76"/>
  <c r="J33" i="76"/>
  <c r="F33" i="76"/>
  <c r="E33" i="76"/>
  <c r="F32" i="76"/>
  <c r="F31" i="76"/>
  <c r="F30" i="76"/>
  <c r="F29" i="76"/>
  <c r="F28" i="76"/>
  <c r="F27" i="76"/>
  <c r="F26" i="76"/>
  <c r="F25" i="76"/>
  <c r="F24" i="76"/>
  <c r="F23" i="76"/>
  <c r="F22" i="76"/>
  <c r="F21" i="76"/>
  <c r="F20" i="76"/>
  <c r="F4" i="76"/>
  <c r="F5" i="76"/>
  <c r="F7" i="76"/>
  <c r="F8" i="76"/>
  <c r="F9" i="76"/>
  <c r="F10" i="76"/>
  <c r="F11" i="76"/>
  <c r="F12" i="76"/>
  <c r="F13" i="76"/>
  <c r="F14" i="76"/>
  <c r="F15" i="76"/>
  <c r="F17" i="76"/>
  <c r="F18" i="76"/>
  <c r="F3" i="76"/>
  <c r="F38" i="75"/>
  <c r="F37" i="75"/>
  <c r="F36" i="75"/>
  <c r="F35" i="75"/>
  <c r="F34" i="75"/>
  <c r="F32" i="75"/>
  <c r="F31" i="75"/>
  <c r="F30" i="75"/>
  <c r="F29" i="75"/>
  <c r="F28" i="75"/>
  <c r="F27" i="75"/>
  <c r="F26" i="75"/>
  <c r="F25" i="75"/>
  <c r="F24" i="75"/>
  <c r="F23" i="75"/>
  <c r="F22" i="75"/>
  <c r="F21" i="75"/>
  <c r="F20" i="75"/>
  <c r="F18" i="75"/>
  <c r="F17" i="75"/>
  <c r="F15" i="75"/>
  <c r="F14" i="75"/>
  <c r="F13" i="75"/>
  <c r="F12" i="75"/>
  <c r="F11" i="75"/>
  <c r="F10" i="75"/>
  <c r="F9" i="75"/>
  <c r="F8" i="75"/>
  <c r="F7" i="75"/>
  <c r="F3" i="75"/>
  <c r="G40" i="75"/>
  <c r="F38" i="74"/>
  <c r="F37" i="74"/>
  <c r="F36" i="74"/>
  <c r="F35" i="74"/>
  <c r="F34" i="74"/>
  <c r="F32" i="74"/>
  <c r="F31" i="74"/>
  <c r="F30" i="74"/>
  <c r="F29" i="74"/>
  <c r="F28" i="74"/>
  <c r="F27" i="74"/>
  <c r="F26" i="74"/>
  <c r="F25" i="74"/>
  <c r="F24" i="74"/>
  <c r="F23" i="74"/>
  <c r="F22" i="74"/>
  <c r="F21" i="74"/>
  <c r="F20" i="74"/>
  <c r="F18" i="74"/>
  <c r="F17" i="74"/>
  <c r="F15" i="74"/>
  <c r="F14" i="74"/>
  <c r="F13" i="74"/>
  <c r="F12" i="74"/>
  <c r="F11" i="74"/>
  <c r="F10" i="74"/>
  <c r="F9" i="74"/>
  <c r="F8" i="74"/>
  <c r="F7" i="74"/>
  <c r="F3" i="74"/>
  <c r="G40" i="74"/>
  <c r="F38" i="73"/>
  <c r="F37" i="73"/>
  <c r="F36" i="73"/>
  <c r="F35" i="73"/>
  <c r="F34" i="73"/>
  <c r="F32" i="73"/>
  <c r="F31" i="73"/>
  <c r="F30" i="73"/>
  <c r="F29" i="73"/>
  <c r="F28" i="73"/>
  <c r="F27" i="73"/>
  <c r="F26" i="73"/>
  <c r="F25" i="73"/>
  <c r="F24" i="73"/>
  <c r="F23" i="73"/>
  <c r="F22" i="73"/>
  <c r="F21" i="73"/>
  <c r="F20" i="73"/>
  <c r="F18" i="73"/>
  <c r="F17" i="73"/>
  <c r="F15" i="73"/>
  <c r="F14" i="73"/>
  <c r="F13" i="73"/>
  <c r="F12" i="73"/>
  <c r="F11" i="73"/>
  <c r="F10" i="73"/>
  <c r="F9" i="73"/>
  <c r="F8" i="73"/>
  <c r="F7" i="73"/>
  <c r="F3" i="73"/>
  <c r="G40" i="73"/>
  <c r="F38" i="72"/>
  <c r="F37" i="72"/>
  <c r="F36" i="72"/>
  <c r="F35" i="72"/>
  <c r="F34" i="72"/>
  <c r="F32" i="72"/>
  <c r="F31" i="72"/>
  <c r="F30" i="72"/>
  <c r="F29" i="72"/>
  <c r="F28" i="72"/>
  <c r="F27" i="72"/>
  <c r="F26" i="72"/>
  <c r="F25" i="72"/>
  <c r="F24" i="72"/>
  <c r="F23" i="72"/>
  <c r="F22" i="72"/>
  <c r="F21" i="72"/>
  <c r="F20" i="72"/>
  <c r="F18" i="72"/>
  <c r="F17" i="72"/>
  <c r="F15" i="72"/>
  <c r="F14" i="72"/>
  <c r="F13" i="72"/>
  <c r="F12" i="72"/>
  <c r="F11" i="72"/>
  <c r="F10" i="72"/>
  <c r="F9" i="72"/>
  <c r="F8" i="72"/>
  <c r="F7" i="72"/>
  <c r="F3" i="72"/>
  <c r="G40" i="72"/>
  <c r="F38" i="71"/>
  <c r="F37" i="71"/>
  <c r="F36" i="71"/>
  <c r="F35" i="71"/>
  <c r="F34" i="71"/>
  <c r="F32" i="71"/>
  <c r="F31" i="71"/>
  <c r="F30" i="71"/>
  <c r="F29" i="71"/>
  <c r="F28" i="71"/>
  <c r="F27" i="71"/>
  <c r="F26" i="71"/>
  <c r="F25" i="71"/>
  <c r="F24" i="71"/>
  <c r="F23" i="71"/>
  <c r="F22" i="71"/>
  <c r="F21" i="71"/>
  <c r="F20" i="71"/>
  <c r="F18" i="71"/>
  <c r="F17" i="71"/>
  <c r="F15" i="71"/>
  <c r="F14" i="71"/>
  <c r="F13" i="71"/>
  <c r="F12" i="71"/>
  <c r="F11" i="71"/>
  <c r="F10" i="71"/>
  <c r="F9" i="71"/>
  <c r="F8" i="71"/>
  <c r="F7" i="71"/>
  <c r="F3" i="71"/>
  <c r="G40" i="71"/>
  <c r="F35" i="70"/>
  <c r="F38" i="70"/>
  <c r="F37" i="70"/>
  <c r="F36" i="70"/>
  <c r="F34" i="70"/>
  <c r="F32" i="70"/>
  <c r="F31" i="70"/>
  <c r="F30" i="70"/>
  <c r="F29" i="70"/>
  <c r="F28" i="70"/>
  <c r="F27" i="70"/>
  <c r="F26" i="70"/>
  <c r="F25" i="70"/>
  <c r="F24" i="70"/>
  <c r="F23" i="70"/>
  <c r="F22" i="70"/>
  <c r="F21" i="70"/>
  <c r="F20" i="70"/>
  <c r="F18" i="70"/>
  <c r="F17" i="70"/>
  <c r="F15" i="70"/>
  <c r="F14" i="70"/>
  <c r="F13" i="70"/>
  <c r="F12" i="70"/>
  <c r="F11" i="70"/>
  <c r="F10" i="70"/>
  <c r="F9" i="70"/>
  <c r="F8" i="70"/>
  <c r="F7" i="70"/>
  <c r="F3" i="70"/>
  <c r="G40" i="70"/>
  <c r="J40" i="70" s="1"/>
  <c r="E38" i="69"/>
  <c r="E37" i="69"/>
  <c r="E36" i="69"/>
  <c r="E35" i="69"/>
  <c r="E34" i="69"/>
  <c r="E32" i="69"/>
  <c r="E31" i="69"/>
  <c r="E30" i="69"/>
  <c r="E29" i="69"/>
  <c r="E28" i="69"/>
  <c r="E27" i="69"/>
  <c r="E26" i="69"/>
  <c r="E25" i="69"/>
  <c r="E24" i="69"/>
  <c r="E23" i="69"/>
  <c r="E22" i="69"/>
  <c r="E21" i="69"/>
  <c r="E20" i="69"/>
  <c r="E18" i="69"/>
  <c r="E17" i="69"/>
  <c r="E15" i="69"/>
  <c r="E14" i="69"/>
  <c r="E13" i="69"/>
  <c r="E12" i="69"/>
  <c r="E11" i="69"/>
  <c r="E10" i="69"/>
  <c r="E9" i="69"/>
  <c r="E8" i="69"/>
  <c r="E7" i="69"/>
  <c r="E3" i="69"/>
  <c r="F40" i="69"/>
  <c r="E38" i="68"/>
  <c r="E37" i="68"/>
  <c r="E36" i="68"/>
  <c r="E35" i="68"/>
  <c r="E34" i="68"/>
  <c r="E32" i="68"/>
  <c r="E31" i="68"/>
  <c r="E30" i="68"/>
  <c r="E29" i="68"/>
  <c r="E28" i="68"/>
  <c r="E27" i="68"/>
  <c r="E26" i="68"/>
  <c r="E25" i="68"/>
  <c r="E24" i="68"/>
  <c r="E23" i="68"/>
  <c r="E22" i="68"/>
  <c r="E21" i="68"/>
  <c r="E20" i="68"/>
  <c r="E18" i="68"/>
  <c r="E17" i="68"/>
  <c r="E15" i="68"/>
  <c r="E14" i="68"/>
  <c r="E13" i="68"/>
  <c r="E12" i="68"/>
  <c r="E11" i="68"/>
  <c r="E10" i="68"/>
  <c r="E9" i="68"/>
  <c r="E8" i="68"/>
  <c r="E7" i="68"/>
  <c r="E3" i="68"/>
  <c r="F40" i="68"/>
  <c r="E38" i="67"/>
  <c r="E37" i="67"/>
  <c r="E36" i="67"/>
  <c r="E35" i="67"/>
  <c r="E34" i="67"/>
  <c r="E32" i="67"/>
  <c r="E31" i="67"/>
  <c r="E30" i="67"/>
  <c r="E29" i="67"/>
  <c r="E28" i="67"/>
  <c r="E27" i="67"/>
  <c r="E26" i="67"/>
  <c r="E25" i="67"/>
  <c r="E24" i="67"/>
  <c r="E23" i="67"/>
  <c r="E22" i="67"/>
  <c r="E21" i="67"/>
  <c r="E20" i="67"/>
  <c r="E18" i="67"/>
  <c r="E17" i="67"/>
  <c r="E15" i="67"/>
  <c r="E14" i="67"/>
  <c r="E13" i="67"/>
  <c r="E12" i="67"/>
  <c r="E11" i="67"/>
  <c r="E10" i="67"/>
  <c r="E9" i="67"/>
  <c r="E8" i="67"/>
  <c r="E7" i="67"/>
  <c r="E3" i="67"/>
  <c r="F40" i="67"/>
  <c r="E38" i="66"/>
  <c r="E37" i="66"/>
  <c r="E36" i="66"/>
  <c r="E35" i="66"/>
  <c r="E34" i="66"/>
  <c r="E32" i="66"/>
  <c r="E31" i="66"/>
  <c r="E30" i="66"/>
  <c r="E29" i="66"/>
  <c r="E28" i="66"/>
  <c r="E27" i="66"/>
  <c r="E26" i="66"/>
  <c r="E25" i="66"/>
  <c r="E24" i="66"/>
  <c r="E23" i="66"/>
  <c r="E22" i="66"/>
  <c r="E21" i="66"/>
  <c r="E20" i="66"/>
  <c r="E18" i="66"/>
  <c r="E17" i="66"/>
  <c r="E15" i="66"/>
  <c r="E14" i="66"/>
  <c r="E13" i="66"/>
  <c r="E12" i="66"/>
  <c r="E11" i="66"/>
  <c r="E10" i="66"/>
  <c r="E9" i="66"/>
  <c r="E8" i="66"/>
  <c r="E7" i="66"/>
  <c r="E3" i="66"/>
  <c r="F40" i="66"/>
  <c r="F40" i="65"/>
  <c r="E38" i="65"/>
  <c r="E37" i="65"/>
  <c r="E36" i="65"/>
  <c r="E35" i="65"/>
  <c r="E34" i="65"/>
  <c r="E32" i="65"/>
  <c r="E31" i="65"/>
  <c r="E30" i="65"/>
  <c r="E29" i="65"/>
  <c r="E28" i="65"/>
  <c r="E27" i="65"/>
  <c r="E26" i="65"/>
  <c r="E25" i="65"/>
  <c r="E24" i="65"/>
  <c r="E23" i="65"/>
  <c r="E22" i="65"/>
  <c r="E21" i="65"/>
  <c r="E20" i="65"/>
  <c r="E18" i="65"/>
  <c r="E17" i="65"/>
  <c r="E15" i="65"/>
  <c r="E14" i="65"/>
  <c r="E13" i="65"/>
  <c r="E12" i="65"/>
  <c r="E11" i="65"/>
  <c r="E10" i="65"/>
  <c r="E9" i="65"/>
  <c r="E8" i="65"/>
  <c r="E7" i="65"/>
  <c r="E3" i="65"/>
  <c r="F40" i="2"/>
  <c r="X40" i="73" l="1"/>
  <c r="T40" i="73"/>
  <c r="S40" i="73"/>
  <c r="R40" i="73"/>
  <c r="J40" i="73"/>
  <c r="X40" i="75"/>
  <c r="J40" i="75"/>
  <c r="J40" i="74"/>
  <c r="X40" i="74"/>
  <c r="I17" i="86"/>
  <c r="G46" i="86"/>
  <c r="I20" i="86"/>
  <c r="G49" i="86"/>
  <c r="I21" i="86"/>
  <c r="G50" i="86"/>
  <c r="I26" i="82"/>
  <c r="I14" i="82"/>
  <c r="I28" i="82"/>
  <c r="I37" i="82"/>
  <c r="I36" i="82"/>
  <c r="I27" i="82"/>
  <c r="I15" i="82"/>
  <c r="I29" i="82"/>
  <c r="I3" i="82"/>
  <c r="I30" i="82"/>
  <c r="I38" i="82"/>
  <c r="I31" i="82"/>
  <c r="I5" i="82"/>
  <c r="I20" i="82"/>
  <c r="I32" i="82"/>
  <c r="I7" i="82"/>
  <c r="I21" i="82"/>
  <c r="I39" i="82"/>
  <c r="I4" i="82"/>
  <c r="I8" i="82"/>
  <c r="I22" i="82"/>
  <c r="I33" i="82"/>
  <c r="I9" i="82"/>
  <c r="I23" i="82"/>
  <c r="I12" i="82"/>
  <c r="I13" i="82"/>
  <c r="I10" i="82"/>
  <c r="I24" i="82"/>
  <c r="I34" i="82"/>
  <c r="I11" i="82"/>
  <c r="I25" i="82"/>
  <c r="I35" i="82"/>
  <c r="H40" i="65"/>
  <c r="H40" i="68"/>
  <c r="H40" i="67"/>
  <c r="H40" i="66"/>
  <c r="H40" i="69"/>
  <c r="J40" i="72"/>
  <c r="H40" i="2"/>
  <c r="L25" i="65"/>
  <c r="K25" i="65"/>
  <c r="L30" i="69"/>
  <c r="K30" i="69"/>
  <c r="O35" i="73"/>
  <c r="J29" i="81"/>
  <c r="L29" i="65"/>
  <c r="K29" i="65"/>
  <c r="L11" i="66"/>
  <c r="K11" i="66"/>
  <c r="L29" i="66"/>
  <c r="K29" i="66"/>
  <c r="L18" i="67"/>
  <c r="K18" i="67"/>
  <c r="L32" i="67"/>
  <c r="K32" i="67"/>
  <c r="L3" i="68"/>
  <c r="K3" i="68"/>
  <c r="L24" i="68"/>
  <c r="K24" i="68"/>
  <c r="L22" i="69"/>
  <c r="K22" i="69"/>
  <c r="L35" i="69"/>
  <c r="K35" i="69"/>
  <c r="P7" i="70"/>
  <c r="P26" i="70"/>
  <c r="P13" i="71"/>
  <c r="P30" i="71"/>
  <c r="P22" i="72"/>
  <c r="P35" i="72"/>
  <c r="O7" i="73"/>
  <c r="O26" i="73"/>
  <c r="O15" i="74"/>
  <c r="O31" i="74"/>
  <c r="O23" i="75"/>
  <c r="O39" i="75"/>
  <c r="H15" i="76"/>
  <c r="I15" i="76"/>
  <c r="I20" i="76"/>
  <c r="H20" i="76"/>
  <c r="I32" i="76"/>
  <c r="H32" i="76"/>
  <c r="I13" i="77"/>
  <c r="H13" i="77"/>
  <c r="I25" i="77"/>
  <c r="H25" i="77"/>
  <c r="I35" i="77"/>
  <c r="H35" i="77"/>
  <c r="H30" i="78"/>
  <c r="I30" i="78"/>
  <c r="I38" i="78"/>
  <c r="H38" i="78"/>
  <c r="I11" i="79"/>
  <c r="H11" i="79"/>
  <c r="I23" i="79"/>
  <c r="H23" i="79"/>
  <c r="L33" i="79"/>
  <c r="K33" i="79"/>
  <c r="J4" i="80"/>
  <c r="I4" i="80"/>
  <c r="I17" i="80"/>
  <c r="J17" i="80"/>
  <c r="J28" i="80"/>
  <c r="I28" i="80"/>
  <c r="J37" i="80"/>
  <c r="I37" i="80"/>
  <c r="J9" i="81"/>
  <c r="J21" i="81"/>
  <c r="J39" i="81"/>
  <c r="J14" i="82"/>
  <c r="J26" i="82"/>
  <c r="J36" i="82"/>
  <c r="J7" i="83"/>
  <c r="J31" i="83"/>
  <c r="N38" i="83"/>
  <c r="J12" i="84"/>
  <c r="J24" i="84"/>
  <c r="J34" i="84"/>
  <c r="J5" i="85"/>
  <c r="J18" i="85"/>
  <c r="J29" i="85"/>
  <c r="N37" i="85"/>
  <c r="J10" i="86"/>
  <c r="J22" i="86"/>
  <c r="J33" i="86"/>
  <c r="L13" i="69"/>
  <c r="K13" i="69"/>
  <c r="J5" i="81"/>
  <c r="L11" i="65"/>
  <c r="K11" i="65"/>
  <c r="K30" i="65"/>
  <c r="L30" i="65"/>
  <c r="L13" i="66"/>
  <c r="K13" i="66"/>
  <c r="L30" i="66"/>
  <c r="K30" i="66"/>
  <c r="L21" i="67"/>
  <c r="K21" i="67"/>
  <c r="L34" i="67"/>
  <c r="K34" i="67"/>
  <c r="L5" i="68"/>
  <c r="K5" i="68"/>
  <c r="L25" i="68"/>
  <c r="K25" i="68"/>
  <c r="L23" i="69"/>
  <c r="K23" i="69"/>
  <c r="L39" i="69"/>
  <c r="K39" i="69"/>
  <c r="P9" i="70"/>
  <c r="P27" i="70"/>
  <c r="P15" i="71"/>
  <c r="P31" i="71"/>
  <c r="P23" i="72"/>
  <c r="P39" i="72"/>
  <c r="O9" i="73"/>
  <c r="O27" i="73"/>
  <c r="O18" i="74"/>
  <c r="O32" i="74"/>
  <c r="O3" i="75"/>
  <c r="O24" i="75"/>
  <c r="H14" i="76"/>
  <c r="I14" i="76"/>
  <c r="H21" i="76"/>
  <c r="I21" i="76"/>
  <c r="I39" i="76"/>
  <c r="H39" i="76"/>
  <c r="I14" i="77"/>
  <c r="H14" i="77"/>
  <c r="H26" i="77"/>
  <c r="I26" i="77"/>
  <c r="I36" i="77"/>
  <c r="H36" i="77"/>
  <c r="I7" i="78"/>
  <c r="H7" i="78"/>
  <c r="H31" i="78"/>
  <c r="I31" i="78"/>
  <c r="L38" i="78"/>
  <c r="K38" i="78"/>
  <c r="I12" i="79"/>
  <c r="H12" i="79"/>
  <c r="I24" i="79"/>
  <c r="H24" i="79"/>
  <c r="I34" i="79"/>
  <c r="H34" i="79"/>
  <c r="J5" i="80"/>
  <c r="I5" i="80"/>
  <c r="J18" i="80"/>
  <c r="I18" i="80"/>
  <c r="I29" i="80"/>
  <c r="J29" i="80"/>
  <c r="M37" i="80"/>
  <c r="L37" i="80"/>
  <c r="J10" i="81"/>
  <c r="J22" i="81"/>
  <c r="J33" i="81"/>
  <c r="J3" i="82"/>
  <c r="J15" i="82"/>
  <c r="J27" i="82"/>
  <c r="N36" i="82"/>
  <c r="J8" i="83"/>
  <c r="J20" i="83"/>
  <c r="J32" i="83"/>
  <c r="J13" i="84"/>
  <c r="J25" i="84"/>
  <c r="J35" i="84"/>
  <c r="J30" i="85"/>
  <c r="J38" i="85"/>
  <c r="J11" i="86"/>
  <c r="J23" i="86"/>
  <c r="N33" i="86"/>
  <c r="P35" i="70"/>
  <c r="O31" i="75"/>
  <c r="I14" i="78"/>
  <c r="H14" i="78"/>
  <c r="L15" i="66"/>
  <c r="K15" i="66"/>
  <c r="L22" i="67"/>
  <c r="K22" i="67"/>
  <c r="L35" i="67"/>
  <c r="K35" i="67"/>
  <c r="L7" i="68"/>
  <c r="K7" i="68"/>
  <c r="L26" i="68"/>
  <c r="K26" i="68"/>
  <c r="K3" i="69"/>
  <c r="L3" i="69"/>
  <c r="L24" i="69"/>
  <c r="K24" i="69"/>
  <c r="P10" i="70"/>
  <c r="P28" i="70"/>
  <c r="P18" i="71"/>
  <c r="P32" i="71"/>
  <c r="P3" i="72"/>
  <c r="P24" i="72"/>
  <c r="O10" i="73"/>
  <c r="O28" i="73"/>
  <c r="O21" i="74"/>
  <c r="O34" i="74"/>
  <c r="O5" i="75"/>
  <c r="O25" i="75"/>
  <c r="H13" i="76"/>
  <c r="I13" i="76"/>
  <c r="H22" i="76"/>
  <c r="I22" i="76"/>
  <c r="I33" i="76"/>
  <c r="H33" i="76"/>
  <c r="I3" i="77"/>
  <c r="H3" i="77"/>
  <c r="I15" i="77"/>
  <c r="H15" i="77"/>
  <c r="I27" i="77"/>
  <c r="H27" i="77"/>
  <c r="L36" i="77"/>
  <c r="K36" i="77"/>
  <c r="I8" i="78"/>
  <c r="H8" i="78"/>
  <c r="I20" i="78"/>
  <c r="H20" i="78"/>
  <c r="I32" i="78"/>
  <c r="H32" i="78"/>
  <c r="I13" i="79"/>
  <c r="H13" i="79"/>
  <c r="I25" i="79"/>
  <c r="H25" i="79"/>
  <c r="I35" i="79"/>
  <c r="H35" i="79"/>
  <c r="I30" i="80"/>
  <c r="J30" i="80"/>
  <c r="J38" i="80"/>
  <c r="I38" i="80"/>
  <c r="J11" i="81"/>
  <c r="J23" i="81"/>
  <c r="N33" i="81"/>
  <c r="J4" i="82"/>
  <c r="I17" i="82"/>
  <c r="J17" i="82"/>
  <c r="J28" i="82"/>
  <c r="J37" i="82"/>
  <c r="J9" i="83"/>
  <c r="J21" i="83"/>
  <c r="J39" i="83"/>
  <c r="J14" i="84"/>
  <c r="J26" i="84"/>
  <c r="J36" i="84"/>
  <c r="J7" i="85"/>
  <c r="J31" i="85"/>
  <c r="N38" i="85"/>
  <c r="J12" i="86"/>
  <c r="J24" i="86"/>
  <c r="J34" i="86"/>
  <c r="L25" i="66"/>
  <c r="K25" i="66"/>
  <c r="L32" i="68"/>
  <c r="K32" i="68"/>
  <c r="O9" i="74"/>
  <c r="J18" i="81"/>
  <c r="L10" i="65"/>
  <c r="K10" i="65"/>
  <c r="L31" i="66"/>
  <c r="K31" i="66"/>
  <c r="L18" i="65"/>
  <c r="K18" i="65"/>
  <c r="L32" i="65"/>
  <c r="K32" i="65"/>
  <c r="L18" i="66"/>
  <c r="K18" i="66"/>
  <c r="L32" i="66"/>
  <c r="K32" i="66"/>
  <c r="K3" i="67"/>
  <c r="L3" i="67"/>
  <c r="L23" i="67"/>
  <c r="K23" i="67"/>
  <c r="L39" i="67"/>
  <c r="K39" i="67"/>
  <c r="L9" i="68"/>
  <c r="K9" i="68"/>
  <c r="L27" i="68"/>
  <c r="K27" i="68"/>
  <c r="L5" i="69"/>
  <c r="K5" i="69"/>
  <c r="L25" i="69"/>
  <c r="K25" i="69"/>
  <c r="P11" i="70"/>
  <c r="P29" i="70"/>
  <c r="P21" i="71"/>
  <c r="P34" i="71"/>
  <c r="P5" i="72"/>
  <c r="P25" i="72"/>
  <c r="O11" i="73"/>
  <c r="O29" i="73"/>
  <c r="O22" i="74"/>
  <c r="O35" i="74"/>
  <c r="O7" i="75"/>
  <c r="O26" i="75"/>
  <c r="H12" i="76"/>
  <c r="I12" i="76"/>
  <c r="I23" i="76"/>
  <c r="H23" i="76"/>
  <c r="L33" i="76"/>
  <c r="K33" i="76"/>
  <c r="I4" i="77"/>
  <c r="H4" i="77"/>
  <c r="I17" i="77"/>
  <c r="H17" i="77"/>
  <c r="I28" i="77"/>
  <c r="H28" i="77"/>
  <c r="I37" i="77"/>
  <c r="H37" i="77"/>
  <c r="I9" i="78"/>
  <c r="H9" i="78"/>
  <c r="I21" i="78"/>
  <c r="H21" i="78"/>
  <c r="I39" i="78"/>
  <c r="H39" i="78"/>
  <c r="I14" i="79"/>
  <c r="H14" i="79"/>
  <c r="I26" i="79"/>
  <c r="H26" i="79"/>
  <c r="I36" i="79"/>
  <c r="H36" i="79"/>
  <c r="J7" i="80"/>
  <c r="I7" i="80"/>
  <c r="J31" i="80"/>
  <c r="I31" i="80"/>
  <c r="M38" i="80"/>
  <c r="L38" i="80"/>
  <c r="J12" i="81"/>
  <c r="J24" i="81"/>
  <c r="J34" i="81"/>
  <c r="J5" i="82"/>
  <c r="I18" i="82"/>
  <c r="J18" i="82"/>
  <c r="J29" i="82"/>
  <c r="N37" i="82"/>
  <c r="J10" i="83"/>
  <c r="J22" i="83"/>
  <c r="J33" i="83"/>
  <c r="J3" i="84"/>
  <c r="J15" i="84"/>
  <c r="J27" i="84"/>
  <c r="N36" i="84"/>
  <c r="J8" i="85"/>
  <c r="J20" i="85"/>
  <c r="J32" i="85"/>
  <c r="J13" i="86"/>
  <c r="J25" i="86"/>
  <c r="J35" i="86"/>
  <c r="L5" i="65"/>
  <c r="K5" i="65"/>
  <c r="O27" i="74"/>
  <c r="H37" i="76"/>
  <c r="I37" i="76"/>
  <c r="I21" i="77"/>
  <c r="H21" i="77"/>
  <c r="H39" i="77"/>
  <c r="I39" i="77"/>
  <c r="I34" i="80"/>
  <c r="J34" i="80"/>
  <c r="L31" i="65"/>
  <c r="K31" i="65"/>
  <c r="L21" i="65"/>
  <c r="K21" i="65"/>
  <c r="L34" i="65"/>
  <c r="K34" i="65"/>
  <c r="L21" i="66"/>
  <c r="K21" i="66"/>
  <c r="L34" i="66"/>
  <c r="K34" i="66"/>
  <c r="L5" i="67"/>
  <c r="K5" i="67"/>
  <c r="L24" i="67"/>
  <c r="K24" i="67"/>
  <c r="L10" i="68"/>
  <c r="K10" i="68"/>
  <c r="L28" i="68"/>
  <c r="K28" i="68"/>
  <c r="L7" i="69"/>
  <c r="K7" i="69"/>
  <c r="L26" i="69"/>
  <c r="K26" i="69"/>
  <c r="P13" i="70"/>
  <c r="P30" i="70"/>
  <c r="P22" i="71"/>
  <c r="P35" i="71"/>
  <c r="P7" i="72"/>
  <c r="P26" i="72"/>
  <c r="O13" i="73"/>
  <c r="O30" i="73"/>
  <c r="O23" i="74"/>
  <c r="O39" i="74"/>
  <c r="O9" i="75"/>
  <c r="O27" i="75"/>
  <c r="H11" i="76"/>
  <c r="I11" i="76"/>
  <c r="I24" i="76"/>
  <c r="H24" i="76"/>
  <c r="H34" i="76"/>
  <c r="I34" i="76"/>
  <c r="I5" i="77"/>
  <c r="H5" i="77"/>
  <c r="I18" i="77"/>
  <c r="H18" i="77"/>
  <c r="I29" i="77"/>
  <c r="H29" i="77"/>
  <c r="L37" i="77"/>
  <c r="K37" i="77"/>
  <c r="I10" i="78"/>
  <c r="H10" i="78"/>
  <c r="I22" i="78"/>
  <c r="H22" i="78"/>
  <c r="I33" i="78"/>
  <c r="H33" i="78"/>
  <c r="I3" i="79"/>
  <c r="H3" i="79"/>
  <c r="I15" i="79"/>
  <c r="H15" i="79"/>
  <c r="I27" i="79"/>
  <c r="H27" i="79"/>
  <c r="L36" i="79"/>
  <c r="K36" i="79"/>
  <c r="J8" i="80"/>
  <c r="I8" i="80"/>
  <c r="J20" i="80"/>
  <c r="I20" i="80"/>
  <c r="J32" i="80"/>
  <c r="I32" i="80"/>
  <c r="J13" i="81"/>
  <c r="J25" i="81"/>
  <c r="J35" i="81"/>
  <c r="J30" i="82"/>
  <c r="J38" i="82"/>
  <c r="J11" i="83"/>
  <c r="J23" i="83"/>
  <c r="N33" i="83"/>
  <c r="J4" i="84"/>
  <c r="J17" i="84"/>
  <c r="J28" i="84"/>
  <c r="J37" i="84"/>
  <c r="J9" i="85"/>
  <c r="J21" i="85"/>
  <c r="J39" i="85"/>
  <c r="J14" i="86"/>
  <c r="J26" i="86"/>
  <c r="J36" i="86"/>
  <c r="L10" i="67"/>
  <c r="K10" i="67"/>
  <c r="P22" i="70"/>
  <c r="P7" i="71"/>
  <c r="H7" i="76"/>
  <c r="I7" i="76"/>
  <c r="J10" i="82"/>
  <c r="L15" i="65"/>
  <c r="K15" i="65"/>
  <c r="L22" i="65"/>
  <c r="K22" i="65"/>
  <c r="L35" i="65"/>
  <c r="K35" i="65"/>
  <c r="L22" i="66"/>
  <c r="K22" i="66"/>
  <c r="L35" i="66"/>
  <c r="K35" i="66"/>
  <c r="L7" i="67"/>
  <c r="K7" i="67"/>
  <c r="L25" i="67"/>
  <c r="K25" i="67"/>
  <c r="L11" i="68"/>
  <c r="K11" i="68"/>
  <c r="L29" i="68"/>
  <c r="K29" i="68"/>
  <c r="L9" i="69"/>
  <c r="K9" i="69"/>
  <c r="L27" i="69"/>
  <c r="K27" i="69"/>
  <c r="P15" i="70"/>
  <c r="P31" i="70"/>
  <c r="J40" i="71"/>
  <c r="P23" i="71"/>
  <c r="P39" i="71"/>
  <c r="P9" i="72"/>
  <c r="P27" i="72"/>
  <c r="O15" i="73"/>
  <c r="O31" i="73"/>
  <c r="O24" i="74"/>
  <c r="O10" i="75"/>
  <c r="O28" i="75"/>
  <c r="I10" i="76"/>
  <c r="H10" i="76"/>
  <c r="H25" i="76"/>
  <c r="I25" i="76"/>
  <c r="I35" i="76"/>
  <c r="H35" i="76"/>
  <c r="I30" i="77"/>
  <c r="H30" i="77"/>
  <c r="I38" i="77"/>
  <c r="H38" i="77"/>
  <c r="H11" i="78"/>
  <c r="I11" i="78"/>
  <c r="I23" i="78"/>
  <c r="H23" i="78"/>
  <c r="L33" i="78"/>
  <c r="K33" i="78"/>
  <c r="H4" i="79"/>
  <c r="I4" i="79"/>
  <c r="I17" i="79"/>
  <c r="H17" i="79"/>
  <c r="I28" i="79"/>
  <c r="H28" i="79"/>
  <c r="I37" i="79"/>
  <c r="H37" i="79"/>
  <c r="I9" i="80"/>
  <c r="J9" i="80"/>
  <c r="J21" i="80"/>
  <c r="I21" i="80"/>
  <c r="J39" i="80"/>
  <c r="I39" i="80"/>
  <c r="J14" i="81"/>
  <c r="J26" i="81"/>
  <c r="J36" i="81"/>
  <c r="J7" i="82"/>
  <c r="J31" i="82"/>
  <c r="N38" i="82"/>
  <c r="J12" i="83"/>
  <c r="J24" i="83"/>
  <c r="J34" i="83"/>
  <c r="J5" i="84"/>
  <c r="J18" i="84"/>
  <c r="J29" i="84"/>
  <c r="N37" i="84"/>
  <c r="J10" i="85"/>
  <c r="J22" i="85"/>
  <c r="J33" i="85"/>
  <c r="J3" i="86"/>
  <c r="J15" i="86"/>
  <c r="J27" i="86"/>
  <c r="N36" i="86"/>
  <c r="L5" i="66"/>
  <c r="K5" i="66"/>
  <c r="O22" i="73"/>
  <c r="L23" i="65"/>
  <c r="K23" i="65"/>
  <c r="L39" i="65"/>
  <c r="K39" i="65"/>
  <c r="L23" i="66"/>
  <c r="K23" i="66"/>
  <c r="L39" i="66"/>
  <c r="K39" i="66"/>
  <c r="L8" i="67"/>
  <c r="K8" i="67"/>
  <c r="L26" i="67"/>
  <c r="K26" i="67"/>
  <c r="L13" i="68"/>
  <c r="K13" i="68"/>
  <c r="L30" i="68"/>
  <c r="K30" i="68"/>
  <c r="L10" i="69"/>
  <c r="K10" i="69"/>
  <c r="L28" i="69"/>
  <c r="K28" i="69"/>
  <c r="P18" i="70"/>
  <c r="P32" i="70"/>
  <c r="P3" i="71"/>
  <c r="P24" i="71"/>
  <c r="P10" i="72"/>
  <c r="P28" i="72"/>
  <c r="O18" i="73"/>
  <c r="O32" i="73"/>
  <c r="O5" i="74"/>
  <c r="O25" i="74"/>
  <c r="O11" i="75"/>
  <c r="O29" i="75"/>
  <c r="I9" i="76"/>
  <c r="H9" i="76"/>
  <c r="H26" i="76"/>
  <c r="I26" i="76"/>
  <c r="I36" i="76"/>
  <c r="H36" i="76"/>
  <c r="I7" i="77"/>
  <c r="H7" i="77"/>
  <c r="I31" i="77"/>
  <c r="H31" i="77"/>
  <c r="L38" i="77"/>
  <c r="K38" i="77"/>
  <c r="I12" i="78"/>
  <c r="H12" i="78"/>
  <c r="I24" i="78"/>
  <c r="H24" i="78"/>
  <c r="I34" i="78"/>
  <c r="H34" i="78"/>
  <c r="H5" i="79"/>
  <c r="I5" i="79"/>
  <c r="H18" i="79"/>
  <c r="I18" i="79"/>
  <c r="H29" i="79"/>
  <c r="I29" i="79"/>
  <c r="L37" i="79"/>
  <c r="K37" i="79"/>
  <c r="J10" i="80"/>
  <c r="I10" i="80"/>
  <c r="I22" i="80"/>
  <c r="J22" i="80"/>
  <c r="J33" i="80"/>
  <c r="I33" i="80"/>
  <c r="J3" i="81"/>
  <c r="J15" i="81"/>
  <c r="J27" i="81"/>
  <c r="N36" i="81"/>
  <c r="J8" i="82"/>
  <c r="J20" i="82"/>
  <c r="J32" i="82"/>
  <c r="J13" i="83"/>
  <c r="J25" i="83"/>
  <c r="J35" i="83"/>
  <c r="J30" i="84"/>
  <c r="J38" i="84"/>
  <c r="J11" i="85"/>
  <c r="J23" i="85"/>
  <c r="N33" i="85"/>
  <c r="J4" i="86"/>
  <c r="J17" i="86"/>
  <c r="J28" i="86"/>
  <c r="J37" i="86"/>
  <c r="P26" i="71"/>
  <c r="O15" i="75"/>
  <c r="L3" i="65"/>
  <c r="K3" i="65"/>
  <c r="L24" i="65"/>
  <c r="K24" i="65"/>
  <c r="L3" i="66"/>
  <c r="K3" i="66"/>
  <c r="L24" i="66"/>
  <c r="K24" i="66"/>
  <c r="L9" i="67"/>
  <c r="K9" i="67"/>
  <c r="L27" i="67"/>
  <c r="K27" i="67"/>
  <c r="L15" i="68"/>
  <c r="K15" i="68"/>
  <c r="L31" i="68"/>
  <c r="K31" i="68"/>
  <c r="L11" i="69"/>
  <c r="K11" i="69"/>
  <c r="L29" i="69"/>
  <c r="K29" i="69"/>
  <c r="P21" i="70"/>
  <c r="P34" i="70"/>
  <c r="P5" i="71"/>
  <c r="P25" i="71"/>
  <c r="P11" i="72"/>
  <c r="P29" i="72"/>
  <c r="O21" i="73"/>
  <c r="O34" i="73"/>
  <c r="O7" i="74"/>
  <c r="O26" i="74"/>
  <c r="O13" i="75"/>
  <c r="O30" i="75"/>
  <c r="I3" i="76"/>
  <c r="H3" i="76"/>
  <c r="I8" i="76"/>
  <c r="H8" i="76"/>
  <c r="H27" i="76"/>
  <c r="I27" i="76"/>
  <c r="L36" i="76"/>
  <c r="K36" i="76"/>
  <c r="I8" i="77"/>
  <c r="H8" i="77"/>
  <c r="I20" i="77"/>
  <c r="H20" i="77"/>
  <c r="I32" i="77"/>
  <c r="H32" i="77"/>
  <c r="I13" i="78"/>
  <c r="H13" i="78"/>
  <c r="I25" i="78"/>
  <c r="H25" i="78"/>
  <c r="I35" i="78"/>
  <c r="H35" i="78"/>
  <c r="H30" i="79"/>
  <c r="I30" i="79"/>
  <c r="I38" i="79"/>
  <c r="H38" i="79"/>
  <c r="I11" i="80"/>
  <c r="J11" i="80"/>
  <c r="J23" i="80"/>
  <c r="I23" i="80"/>
  <c r="M33" i="80"/>
  <c r="L33" i="80"/>
  <c r="J4" i="81"/>
  <c r="J17" i="81"/>
  <c r="J28" i="81"/>
  <c r="J37" i="81"/>
  <c r="J9" i="82"/>
  <c r="J21" i="82"/>
  <c r="J39" i="82"/>
  <c r="J14" i="83"/>
  <c r="J26" i="83"/>
  <c r="J36" i="83"/>
  <c r="J7" i="84"/>
  <c r="J31" i="84"/>
  <c r="N38" i="84"/>
  <c r="J12" i="85"/>
  <c r="J24" i="85"/>
  <c r="J34" i="85"/>
  <c r="J5" i="86"/>
  <c r="J18" i="86"/>
  <c r="J29" i="86"/>
  <c r="N37" i="86"/>
  <c r="J33" i="82"/>
  <c r="J3" i="83"/>
  <c r="J15" i="83"/>
  <c r="J27" i="83"/>
  <c r="N36" i="83"/>
  <c r="J8" i="84"/>
  <c r="J20" i="84"/>
  <c r="J32" i="84"/>
  <c r="J13" i="85"/>
  <c r="J25" i="85"/>
  <c r="J35" i="85"/>
  <c r="J30" i="86"/>
  <c r="J38" i="86"/>
  <c r="P30" i="72"/>
  <c r="I9" i="77"/>
  <c r="H9" i="77"/>
  <c r="I26" i="78"/>
  <c r="H26" i="78"/>
  <c r="I7" i="79"/>
  <c r="H7" i="79"/>
  <c r="H31" i="79"/>
  <c r="I31" i="79"/>
  <c r="L38" i="79"/>
  <c r="K38" i="79"/>
  <c r="J12" i="80"/>
  <c r="I12" i="80"/>
  <c r="J24" i="80"/>
  <c r="I24" i="80"/>
  <c r="J22" i="82"/>
  <c r="L7" i="65"/>
  <c r="K7" i="65"/>
  <c r="L26" i="65"/>
  <c r="K26" i="65"/>
  <c r="L7" i="66"/>
  <c r="K7" i="66"/>
  <c r="L26" i="66"/>
  <c r="K26" i="66"/>
  <c r="L11" i="67"/>
  <c r="K11" i="67"/>
  <c r="L29" i="67"/>
  <c r="K29" i="67"/>
  <c r="L21" i="68"/>
  <c r="K21" i="68"/>
  <c r="L34" i="68"/>
  <c r="K34" i="68"/>
  <c r="K15" i="69"/>
  <c r="L15" i="69"/>
  <c r="L31" i="69"/>
  <c r="K31" i="69"/>
  <c r="P23" i="70"/>
  <c r="P39" i="70"/>
  <c r="P9" i="71"/>
  <c r="P27" i="71"/>
  <c r="P15" i="72"/>
  <c r="P31" i="72"/>
  <c r="O23" i="73"/>
  <c r="O39" i="73"/>
  <c r="O10" i="74"/>
  <c r="O28" i="74"/>
  <c r="O18" i="75"/>
  <c r="O32" i="75"/>
  <c r="H29" i="76"/>
  <c r="I29" i="76"/>
  <c r="L37" i="76"/>
  <c r="K37" i="76"/>
  <c r="I10" i="77"/>
  <c r="H10" i="77"/>
  <c r="I22" i="77"/>
  <c r="H22" i="77"/>
  <c r="I33" i="77"/>
  <c r="H33" i="77"/>
  <c r="I3" i="78"/>
  <c r="H3" i="78"/>
  <c r="I15" i="78"/>
  <c r="H15" i="78"/>
  <c r="I27" i="78"/>
  <c r="H27" i="78"/>
  <c r="L36" i="78"/>
  <c r="K36" i="78"/>
  <c r="I8" i="79"/>
  <c r="H8" i="79"/>
  <c r="I20" i="79"/>
  <c r="H20" i="79"/>
  <c r="I32" i="79"/>
  <c r="H32" i="79"/>
  <c r="J13" i="80"/>
  <c r="I13" i="80"/>
  <c r="J25" i="80"/>
  <c r="I25" i="80"/>
  <c r="J35" i="80"/>
  <c r="I35" i="80"/>
  <c r="J30" i="81"/>
  <c r="J38" i="81"/>
  <c r="J11" i="82"/>
  <c r="J23" i="82"/>
  <c r="N33" i="82"/>
  <c r="J4" i="83"/>
  <c r="J17" i="83"/>
  <c r="J28" i="83"/>
  <c r="J37" i="83"/>
  <c r="J9" i="84"/>
  <c r="J21" i="84"/>
  <c r="J39" i="84"/>
  <c r="J14" i="85"/>
  <c r="J26" i="85"/>
  <c r="J36" i="85"/>
  <c r="J7" i="86"/>
  <c r="J31" i="86"/>
  <c r="N38" i="86"/>
  <c r="L28" i="67"/>
  <c r="K28" i="67"/>
  <c r="P13" i="72"/>
  <c r="L8" i="65"/>
  <c r="K8" i="65"/>
  <c r="L27" i="65"/>
  <c r="K27" i="65"/>
  <c r="L9" i="66"/>
  <c r="K9" i="66"/>
  <c r="L27" i="66"/>
  <c r="K27" i="66"/>
  <c r="L13" i="67"/>
  <c r="K13" i="67"/>
  <c r="L30" i="67"/>
  <c r="K30" i="67"/>
  <c r="L22" i="68"/>
  <c r="K22" i="68"/>
  <c r="L35" i="68"/>
  <c r="K35" i="68"/>
  <c r="L18" i="69"/>
  <c r="K18" i="69"/>
  <c r="L32" i="69"/>
  <c r="K32" i="69"/>
  <c r="P3" i="70"/>
  <c r="P24" i="70"/>
  <c r="P10" i="71"/>
  <c r="P28" i="71"/>
  <c r="P18" i="72"/>
  <c r="P32" i="72"/>
  <c r="O3" i="73"/>
  <c r="O24" i="73"/>
  <c r="O11" i="74"/>
  <c r="O29" i="74"/>
  <c r="O21" i="75"/>
  <c r="O34" i="75"/>
  <c r="I18" i="76"/>
  <c r="H18" i="76"/>
  <c r="I5" i="76"/>
  <c r="H5" i="76"/>
  <c r="H30" i="76"/>
  <c r="I30" i="76"/>
  <c r="I38" i="76"/>
  <c r="H38" i="76"/>
  <c r="I11" i="77"/>
  <c r="H11" i="77"/>
  <c r="I23" i="77"/>
  <c r="H23" i="77"/>
  <c r="L33" i="77"/>
  <c r="K33" i="77"/>
  <c r="I4" i="78"/>
  <c r="H4" i="78"/>
  <c r="I17" i="78"/>
  <c r="H17" i="78"/>
  <c r="I28" i="78"/>
  <c r="H28" i="78"/>
  <c r="I37" i="78"/>
  <c r="H37" i="78"/>
  <c r="I9" i="79"/>
  <c r="H9" i="79"/>
  <c r="I21" i="79"/>
  <c r="H21" i="79"/>
  <c r="I39" i="79"/>
  <c r="H39" i="79"/>
  <c r="J14" i="80"/>
  <c r="I14" i="80"/>
  <c r="J26" i="80"/>
  <c r="I26" i="80"/>
  <c r="J36" i="80"/>
  <c r="I36" i="80"/>
  <c r="J7" i="81"/>
  <c r="J31" i="81"/>
  <c r="N38" i="81"/>
  <c r="J12" i="82"/>
  <c r="J24" i="82"/>
  <c r="J34" i="82"/>
  <c r="J5" i="83"/>
  <c r="J18" i="83"/>
  <c r="J29" i="83"/>
  <c r="N37" i="83"/>
  <c r="J10" i="84"/>
  <c r="J22" i="84"/>
  <c r="J33" i="84"/>
  <c r="J3" i="85"/>
  <c r="J15" i="85"/>
  <c r="J27" i="85"/>
  <c r="N36" i="85"/>
  <c r="J8" i="86"/>
  <c r="J20" i="86"/>
  <c r="J32" i="86"/>
  <c r="L18" i="68"/>
  <c r="K18" i="68"/>
  <c r="H28" i="76"/>
  <c r="I28" i="76"/>
  <c r="I36" i="78"/>
  <c r="H36" i="78"/>
  <c r="N37" i="81"/>
  <c r="L9" i="65"/>
  <c r="K9" i="65"/>
  <c r="L28" i="65"/>
  <c r="K28" i="65"/>
  <c r="L10" i="66"/>
  <c r="K10" i="66"/>
  <c r="K28" i="66"/>
  <c r="L28" i="66"/>
  <c r="K15" i="67"/>
  <c r="L15" i="67"/>
  <c r="L31" i="67"/>
  <c r="K31" i="67"/>
  <c r="L23" i="68"/>
  <c r="K23" i="68"/>
  <c r="L39" i="68"/>
  <c r="K39" i="68"/>
  <c r="L21" i="69"/>
  <c r="K21" i="69"/>
  <c r="L34" i="69"/>
  <c r="K34" i="69"/>
  <c r="P5" i="70"/>
  <c r="P25" i="70"/>
  <c r="P11" i="71"/>
  <c r="P29" i="71"/>
  <c r="P21" i="72"/>
  <c r="P34" i="72"/>
  <c r="O5" i="73"/>
  <c r="O25" i="73"/>
  <c r="O13" i="74"/>
  <c r="O30" i="74"/>
  <c r="O22" i="75"/>
  <c r="O35" i="75"/>
  <c r="I17" i="76"/>
  <c r="H17" i="76"/>
  <c r="I4" i="76"/>
  <c r="H4" i="76"/>
  <c r="I31" i="76"/>
  <c r="H31" i="76"/>
  <c r="L38" i="76"/>
  <c r="K38" i="76"/>
  <c r="I12" i="77"/>
  <c r="H12" i="77"/>
  <c r="I24" i="77"/>
  <c r="H24" i="77"/>
  <c r="I34" i="77"/>
  <c r="H34" i="77"/>
  <c r="I5" i="78"/>
  <c r="H5" i="78"/>
  <c r="H18" i="78"/>
  <c r="I18" i="78"/>
  <c r="H29" i="78"/>
  <c r="I29" i="78"/>
  <c r="L37" i="78"/>
  <c r="K37" i="78"/>
  <c r="I10" i="79"/>
  <c r="H10" i="79"/>
  <c r="I22" i="79"/>
  <c r="H22" i="79"/>
  <c r="I33" i="79"/>
  <c r="H33" i="79"/>
  <c r="J3" i="80"/>
  <c r="I3" i="80"/>
  <c r="J15" i="80"/>
  <c r="I15" i="80"/>
  <c r="J27" i="80"/>
  <c r="I27" i="80"/>
  <c r="M36" i="80"/>
  <c r="L36" i="80"/>
  <c r="J8" i="81"/>
  <c r="J20" i="81"/>
  <c r="J32" i="81"/>
  <c r="J13" i="82"/>
  <c r="J25" i="82"/>
  <c r="J35" i="82"/>
  <c r="J30" i="83"/>
  <c r="J38" i="83"/>
  <c r="J11" i="84"/>
  <c r="J23" i="84"/>
  <c r="N33" i="84"/>
  <c r="J4" i="85"/>
  <c r="J17" i="85"/>
  <c r="J28" i="85"/>
  <c r="J37" i="85"/>
  <c r="J9" i="86"/>
  <c r="J21" i="86"/>
  <c r="J39" i="86"/>
  <c r="G40" i="85"/>
  <c r="I40" i="85" s="1"/>
  <c r="G40" i="83"/>
  <c r="I40" i="83" s="1"/>
  <c r="F36" i="89"/>
  <c r="F9" i="89"/>
  <c r="F15" i="90"/>
  <c r="F29" i="90"/>
  <c r="E10" i="88"/>
  <c r="E24" i="88"/>
  <c r="E37" i="88"/>
  <c r="F7" i="89"/>
  <c r="F21" i="89"/>
  <c r="F34" i="89"/>
  <c r="F3" i="90"/>
  <c r="F20" i="90"/>
  <c r="F32" i="90"/>
  <c r="E23" i="88"/>
  <c r="F21" i="90"/>
  <c r="E12" i="88"/>
  <c r="F37" i="89"/>
  <c r="F35" i="90"/>
  <c r="E13" i="88"/>
  <c r="E27" i="88"/>
  <c r="F10" i="89"/>
  <c r="F24" i="89"/>
  <c r="F38" i="89"/>
  <c r="F9" i="90"/>
  <c r="F23" i="90"/>
  <c r="F36" i="90"/>
  <c r="E38" i="88"/>
  <c r="E26" i="88"/>
  <c r="F22" i="90"/>
  <c r="E28" i="88"/>
  <c r="F11" i="89"/>
  <c r="F25" i="89"/>
  <c r="F35" i="89"/>
  <c r="F10" i="90"/>
  <c r="F24" i="90"/>
  <c r="F37" i="90"/>
  <c r="F8" i="89"/>
  <c r="F34" i="90"/>
  <c r="F8" i="90"/>
  <c r="E14" i="88"/>
  <c r="E15" i="88"/>
  <c r="E29" i="88"/>
  <c r="F12" i="89"/>
  <c r="F26" i="89"/>
  <c r="F11" i="90"/>
  <c r="F25" i="90"/>
  <c r="F38" i="90"/>
  <c r="E9" i="88"/>
  <c r="F32" i="89"/>
  <c r="E11" i="88"/>
  <c r="F7" i="90"/>
  <c r="F23" i="89"/>
  <c r="E17" i="88"/>
  <c r="E30" i="88"/>
  <c r="F13" i="89"/>
  <c r="F27" i="89"/>
  <c r="F12" i="90"/>
  <c r="F26" i="90"/>
  <c r="F3" i="89"/>
  <c r="F31" i="90"/>
  <c r="E25" i="88"/>
  <c r="E18" i="88"/>
  <c r="E31" i="88"/>
  <c r="F14" i="89"/>
  <c r="F28" i="89"/>
  <c r="F13" i="90"/>
  <c r="F27" i="90"/>
  <c r="E3" i="88"/>
  <c r="E20" i="88"/>
  <c r="E32" i="88"/>
  <c r="F15" i="89"/>
  <c r="F29" i="89"/>
  <c r="F14" i="90"/>
  <c r="F28" i="90"/>
  <c r="F20" i="89"/>
  <c r="F18" i="90"/>
  <c r="F22" i="89"/>
  <c r="E7" i="88"/>
  <c r="E21" i="88"/>
  <c r="E34" i="88"/>
  <c r="F17" i="89"/>
  <c r="F30" i="89"/>
  <c r="E36" i="88"/>
  <c r="E8" i="88"/>
  <c r="E22" i="88"/>
  <c r="E35" i="88"/>
  <c r="F18" i="89"/>
  <c r="F31" i="89"/>
  <c r="F17" i="90"/>
  <c r="F30" i="90"/>
  <c r="Q26" i="90"/>
  <c r="Q15" i="90"/>
  <c r="Q27" i="90"/>
  <c r="J9" i="88"/>
  <c r="J21" i="88"/>
  <c r="Q25" i="90"/>
  <c r="L26" i="89"/>
  <c r="M26" i="89" s="1"/>
  <c r="J28" i="88"/>
  <c r="J3" i="88"/>
  <c r="Q18" i="90"/>
  <c r="J26" i="88"/>
  <c r="L24" i="89"/>
  <c r="M24" i="89" s="1"/>
  <c r="J29" i="88"/>
  <c r="Q11" i="90"/>
  <c r="Q23" i="90"/>
  <c r="J15" i="88"/>
  <c r="L13" i="89"/>
  <c r="M13" i="89" s="1"/>
  <c r="J5" i="88"/>
  <c r="J25" i="88"/>
  <c r="Q30" i="90"/>
  <c r="J13" i="88"/>
  <c r="J27" i="88"/>
  <c r="L25" i="89"/>
  <c r="M25" i="89" s="1"/>
  <c r="J30" i="88"/>
  <c r="J32" i="88"/>
  <c r="L32" i="89"/>
  <c r="M32" i="89" s="1"/>
  <c r="J7" i="88"/>
  <c r="L7" i="89"/>
  <c r="M7" i="89" s="1"/>
  <c r="L9" i="89"/>
  <c r="M9" i="89" s="1"/>
  <c r="L21" i="89"/>
  <c r="M21" i="89" s="1"/>
  <c r="L34" i="89"/>
  <c r="M34" i="89" s="1"/>
  <c r="J18" i="88"/>
  <c r="Q24" i="90"/>
  <c r="J31" i="88"/>
  <c r="L31" i="89"/>
  <c r="M31" i="89" s="1"/>
  <c r="Q13" i="90"/>
  <c r="L10" i="89"/>
  <c r="M10" i="89" s="1"/>
  <c r="L22" i="89"/>
  <c r="M22" i="89" s="1"/>
  <c r="L35" i="89"/>
  <c r="M35" i="89" s="1"/>
  <c r="Q28" i="90"/>
  <c r="L11" i="89"/>
  <c r="M11" i="89" s="1"/>
  <c r="L23" i="89"/>
  <c r="M23" i="89" s="1"/>
  <c r="L39" i="89"/>
  <c r="M39" i="89" s="1"/>
  <c r="Q5" i="90"/>
  <c r="Q29" i="90"/>
  <c r="J34" i="88"/>
  <c r="L3" i="89"/>
  <c r="M3" i="89" s="1"/>
  <c r="L15" i="89"/>
  <c r="M15" i="89" s="1"/>
  <c r="L27" i="89"/>
  <c r="M27" i="89" s="1"/>
  <c r="Q7" i="90"/>
  <c r="Q31" i="90"/>
  <c r="J10" i="88"/>
  <c r="J22" i="88"/>
  <c r="J35" i="88"/>
  <c r="L28" i="89"/>
  <c r="M28" i="89" s="1"/>
  <c r="Q32" i="90"/>
  <c r="J11" i="88"/>
  <c r="J23" i="88"/>
  <c r="J39" i="88"/>
  <c r="L5" i="89"/>
  <c r="M5" i="89" s="1"/>
  <c r="L29" i="89"/>
  <c r="M29" i="89" s="1"/>
  <c r="Q9" i="90"/>
  <c r="Q21" i="90"/>
  <c r="J24" i="88"/>
  <c r="L18" i="89"/>
  <c r="M18" i="89" s="1"/>
  <c r="L30" i="89"/>
  <c r="M30" i="89" s="1"/>
  <c r="Q10" i="90"/>
  <c r="Q22" i="90"/>
  <c r="F40" i="71"/>
  <c r="F40" i="74"/>
  <c r="G40" i="86"/>
  <c r="I40" i="86" s="1"/>
  <c r="G40" i="84"/>
  <c r="I40" i="84" s="1"/>
  <c r="G40" i="82"/>
  <c r="G40" i="81"/>
  <c r="I40" i="81" s="1"/>
  <c r="G40" i="80"/>
  <c r="F40" i="79"/>
  <c r="F40" i="78"/>
  <c r="F40" i="77"/>
  <c r="F40" i="76"/>
  <c r="F40" i="75"/>
  <c r="F40" i="73"/>
  <c r="F40" i="72"/>
  <c r="F40" i="70"/>
  <c r="E40" i="69"/>
  <c r="E40" i="68"/>
  <c r="E40" i="67"/>
  <c r="E40" i="65"/>
  <c r="E40" i="66"/>
  <c r="F6" i="71"/>
  <c r="F5" i="71"/>
  <c r="F6" i="74"/>
  <c r="F5" i="74"/>
  <c r="F6" i="73"/>
  <c r="F5" i="73"/>
  <c r="F6" i="72"/>
  <c r="F5" i="72"/>
  <c r="F6" i="70"/>
  <c r="F5" i="70"/>
  <c r="E6" i="69"/>
  <c r="E5" i="69"/>
  <c r="E6" i="68"/>
  <c r="E5" i="68"/>
  <c r="E6" i="67"/>
  <c r="E5" i="67"/>
  <c r="E6" i="66"/>
  <c r="E5" i="66"/>
  <c r="E6" i="65"/>
  <c r="E5" i="65"/>
  <c r="F6" i="75"/>
  <c r="F5" i="75"/>
  <c r="E6" i="2"/>
  <c r="E5" i="2"/>
  <c r="J50" i="86" l="1"/>
  <c r="I50" i="86"/>
  <c r="J49" i="86"/>
  <c r="I49" i="86"/>
  <c r="I46" i="86"/>
  <c r="J46" i="86"/>
  <c r="H40" i="77"/>
  <c r="H40" i="79"/>
  <c r="H40" i="78"/>
  <c r="I40" i="80"/>
  <c r="I40" i="82"/>
  <c r="H40" i="76"/>
  <c r="N31" i="89"/>
  <c r="L35" i="88"/>
  <c r="K35" i="88"/>
  <c r="N26" i="89"/>
  <c r="L24" i="88"/>
  <c r="K24" i="88"/>
  <c r="L22" i="88"/>
  <c r="K22" i="88"/>
  <c r="N11" i="89"/>
  <c r="N9" i="89"/>
  <c r="N13" i="89"/>
  <c r="R25" i="90"/>
  <c r="N3" i="89"/>
  <c r="N24" i="89"/>
  <c r="L23" i="88"/>
  <c r="K23" i="88"/>
  <c r="L34" i="88"/>
  <c r="K34" i="88"/>
  <c r="L31" i="88"/>
  <c r="K31" i="88"/>
  <c r="K26" i="88"/>
  <c r="L26" i="88"/>
  <c r="R22" i="90"/>
  <c r="N18" i="89"/>
  <c r="N23" i="89"/>
  <c r="N21" i="89"/>
  <c r="L5" i="88"/>
  <c r="K5" i="88"/>
  <c r="L10" i="88"/>
  <c r="K10" i="88"/>
  <c r="R28" i="90"/>
  <c r="N7" i="89"/>
  <c r="L15" i="88"/>
  <c r="K15" i="88"/>
  <c r="L21" i="88"/>
  <c r="K21" i="88"/>
  <c r="R31" i="90"/>
  <c r="R21" i="90"/>
  <c r="L7" i="88"/>
  <c r="K7" i="88"/>
  <c r="R9" i="90"/>
  <c r="R7" i="90"/>
  <c r="N22" i="89"/>
  <c r="N32" i="89"/>
  <c r="R23" i="90"/>
  <c r="R27" i="90"/>
  <c r="N35" i="89"/>
  <c r="N29" i="89"/>
  <c r="N27" i="89"/>
  <c r="N10" i="89"/>
  <c r="L32" i="88"/>
  <c r="K32" i="88"/>
  <c r="R11" i="90"/>
  <c r="R15" i="90"/>
  <c r="L9" i="88"/>
  <c r="K9" i="88"/>
  <c r="N5" i="89"/>
  <c r="N15" i="89"/>
  <c r="R13" i="90"/>
  <c r="L30" i="88"/>
  <c r="K30" i="88"/>
  <c r="L29" i="88"/>
  <c r="K29" i="88"/>
  <c r="R26" i="90"/>
  <c r="L39" i="88"/>
  <c r="K39" i="88"/>
  <c r="N25" i="89"/>
  <c r="R10" i="90"/>
  <c r="R32" i="90"/>
  <c r="R5" i="90"/>
  <c r="L18" i="88"/>
  <c r="K18" i="88"/>
  <c r="R30" i="90"/>
  <c r="L3" i="88"/>
  <c r="K3" i="88"/>
  <c r="K27" i="88"/>
  <c r="L27" i="88"/>
  <c r="L11" i="88"/>
  <c r="K11" i="88"/>
  <c r="R29" i="90"/>
  <c r="R24" i="90"/>
  <c r="L13" i="88"/>
  <c r="K13" i="88"/>
  <c r="R18" i="90"/>
  <c r="N30" i="89"/>
  <c r="N28" i="89"/>
  <c r="N39" i="89"/>
  <c r="N34" i="89"/>
  <c r="L25" i="88"/>
  <c r="K25" i="88"/>
  <c r="L28" i="88"/>
  <c r="K28" i="88"/>
  <c r="E6" i="87"/>
  <c r="F6" i="90"/>
  <c r="E5" i="87"/>
  <c r="E5" i="88"/>
  <c r="F5" i="90"/>
  <c r="F5" i="89"/>
  <c r="F40" i="90"/>
  <c r="E6" i="88"/>
  <c r="F6" i="89"/>
  <c r="F40" i="89"/>
  <c r="E40" i="88"/>
  <c r="I40" i="69"/>
  <c r="K40" i="75"/>
  <c r="E4" i="65"/>
  <c r="E16" i="65" s="1"/>
  <c r="E19" i="65" s="1"/>
  <c r="F6" i="85"/>
  <c r="F6" i="82"/>
  <c r="F6" i="81"/>
  <c r="E6" i="79"/>
  <c r="E6" i="77"/>
  <c r="E6" i="76"/>
  <c r="E6" i="78"/>
  <c r="F6" i="84"/>
  <c r="F6" i="86"/>
  <c r="F6" i="80"/>
  <c r="F6" i="83"/>
  <c r="E4" i="69"/>
  <c r="E16" i="69" s="1"/>
  <c r="E19" i="69" s="1"/>
  <c r="K40" i="72"/>
  <c r="E4" i="66"/>
  <c r="E16" i="66" s="1"/>
  <c r="E19" i="66" s="1"/>
  <c r="F4" i="70"/>
  <c r="F16" i="70" s="1"/>
  <c r="F19" i="70" s="1"/>
  <c r="F4" i="71"/>
  <c r="F16" i="71" s="1"/>
  <c r="F19" i="71" s="1"/>
  <c r="E4" i="2"/>
  <c r="E4" i="67"/>
  <c r="E16" i="67" s="1"/>
  <c r="E19" i="67" s="1"/>
  <c r="F4" i="72"/>
  <c r="F16" i="72" s="1"/>
  <c r="F19" i="72" s="1"/>
  <c r="F4" i="74"/>
  <c r="F16" i="74" s="1"/>
  <c r="F19" i="74" s="1"/>
  <c r="F5" i="83"/>
  <c r="F5" i="80"/>
  <c r="E5" i="76"/>
  <c r="F5" i="85"/>
  <c r="F5" i="82"/>
  <c r="F5" i="81"/>
  <c r="E5" i="77"/>
  <c r="E5" i="79"/>
  <c r="F5" i="86"/>
  <c r="F5" i="84"/>
  <c r="E5" i="78"/>
  <c r="F4" i="75"/>
  <c r="F16" i="75" s="1"/>
  <c r="F19" i="75" s="1"/>
  <c r="E4" i="68"/>
  <c r="E16" i="68" s="1"/>
  <c r="E19" i="68" s="1"/>
  <c r="F4" i="73"/>
  <c r="F16" i="73" s="1"/>
  <c r="F19" i="73" s="1"/>
  <c r="K40" i="74"/>
  <c r="K40" i="73"/>
  <c r="K40" i="71"/>
  <c r="K40" i="70"/>
  <c r="I40" i="67"/>
  <c r="I40" i="68"/>
  <c r="I40" i="66"/>
  <c r="I40" i="65"/>
  <c r="Q38" i="34"/>
  <c r="T38" i="34" s="1"/>
  <c r="Q39" i="34"/>
  <c r="T39" i="34" s="1"/>
  <c r="E38" i="2"/>
  <c r="E38" i="87" s="1"/>
  <c r="E37" i="2"/>
  <c r="E37" i="87" s="1"/>
  <c r="E36" i="2"/>
  <c r="E36" i="87" s="1"/>
  <c r="E35" i="2"/>
  <c r="E35" i="87" s="1"/>
  <c r="E34" i="2"/>
  <c r="E34" i="87" s="1"/>
  <c r="E32" i="2"/>
  <c r="E32" i="87" s="1"/>
  <c r="E31" i="2"/>
  <c r="E31" i="87" s="1"/>
  <c r="E30" i="2"/>
  <c r="E30" i="87" s="1"/>
  <c r="E29" i="2"/>
  <c r="E29" i="87" s="1"/>
  <c r="E28" i="2"/>
  <c r="E28" i="87" s="1"/>
  <c r="E27" i="2"/>
  <c r="E27" i="87" s="1"/>
  <c r="E26" i="2"/>
  <c r="E26" i="87" s="1"/>
  <c r="E25" i="2"/>
  <c r="E25" i="87" s="1"/>
  <c r="E24" i="2"/>
  <c r="E24" i="87" s="1"/>
  <c r="E23" i="2"/>
  <c r="E23" i="87" s="1"/>
  <c r="E22" i="2"/>
  <c r="E22" i="87" s="1"/>
  <c r="E21" i="2"/>
  <c r="E21" i="87" s="1"/>
  <c r="E20" i="2"/>
  <c r="E20" i="87" s="1"/>
  <c r="E18" i="2"/>
  <c r="E18" i="87" s="1"/>
  <c r="E17" i="2"/>
  <c r="E17" i="87" s="1"/>
  <c r="E15" i="2"/>
  <c r="E15" i="87" s="1"/>
  <c r="E14" i="2"/>
  <c r="E14" i="87" s="1"/>
  <c r="E13" i="2"/>
  <c r="E13" i="87" s="1"/>
  <c r="E12" i="2"/>
  <c r="E12" i="87" s="1"/>
  <c r="E11" i="2"/>
  <c r="E11" i="87" s="1"/>
  <c r="E10" i="2"/>
  <c r="E10" i="87" s="1"/>
  <c r="E9" i="2"/>
  <c r="E9" i="87" s="1"/>
  <c r="E8" i="2"/>
  <c r="E8" i="87" s="1"/>
  <c r="E7" i="2"/>
  <c r="E7" i="87" s="1"/>
  <c r="E3" i="87"/>
  <c r="E16" i="2" l="1"/>
  <c r="E19" i="2" s="1"/>
  <c r="L26" i="2"/>
  <c r="K26" i="2"/>
  <c r="L20" i="67"/>
  <c r="L40" i="67" s="1"/>
  <c r="K20" i="67"/>
  <c r="L17" i="67"/>
  <c r="K17" i="67"/>
  <c r="L7" i="2"/>
  <c r="K7" i="2"/>
  <c r="L27" i="2"/>
  <c r="K27" i="2"/>
  <c r="L20" i="66"/>
  <c r="L40" i="66" s="1"/>
  <c r="K20" i="66"/>
  <c r="L17" i="66"/>
  <c r="K17" i="66"/>
  <c r="L9" i="2"/>
  <c r="K9" i="2"/>
  <c r="L28" i="2"/>
  <c r="K28" i="2"/>
  <c r="L17" i="68"/>
  <c r="K17" i="68"/>
  <c r="L29" i="2"/>
  <c r="K29" i="2"/>
  <c r="L10" i="2"/>
  <c r="K10" i="2"/>
  <c r="L20" i="2"/>
  <c r="K20" i="2"/>
  <c r="L11" i="2"/>
  <c r="K11" i="2"/>
  <c r="L30" i="2"/>
  <c r="K30" i="2"/>
  <c r="L20" i="68"/>
  <c r="L40" i="68" s="1"/>
  <c r="K20" i="68"/>
  <c r="L17" i="2"/>
  <c r="K17" i="2"/>
  <c r="O20" i="75"/>
  <c r="O40" i="75" s="1"/>
  <c r="O17" i="75"/>
  <c r="L14" i="2"/>
  <c r="L15" i="2"/>
  <c r="K15" i="2"/>
  <c r="L31" i="2"/>
  <c r="K31" i="2"/>
  <c r="L17" i="65"/>
  <c r="K17" i="65"/>
  <c r="L13" i="2"/>
  <c r="L18" i="2"/>
  <c r="K18" i="2"/>
  <c r="L32" i="2"/>
  <c r="K32" i="2"/>
  <c r="L20" i="65"/>
  <c r="L40" i="65" s="1"/>
  <c r="K20" i="65"/>
  <c r="O20" i="73"/>
  <c r="O40" i="73" s="1"/>
  <c r="O17" i="73"/>
  <c r="L12" i="2"/>
  <c r="L21" i="2"/>
  <c r="K21" i="2"/>
  <c r="L34" i="2"/>
  <c r="K34" i="2"/>
  <c r="O20" i="74"/>
  <c r="O40" i="74" s="1"/>
  <c r="P20" i="72"/>
  <c r="P40" i="72" s="1"/>
  <c r="P17" i="72"/>
  <c r="L8" i="2"/>
  <c r="K8" i="2"/>
  <c r="L22" i="2"/>
  <c r="K22" i="2"/>
  <c r="L35" i="2"/>
  <c r="K35" i="2"/>
  <c r="P20" i="71"/>
  <c r="P40" i="71" s="1"/>
  <c r="P17" i="71"/>
  <c r="L6" i="2"/>
  <c r="K6" i="2"/>
  <c r="L23" i="2"/>
  <c r="K23" i="2"/>
  <c r="K39" i="2"/>
  <c r="L39" i="2"/>
  <c r="P20" i="70"/>
  <c r="P40" i="70" s="1"/>
  <c r="L3" i="2"/>
  <c r="K3" i="2"/>
  <c r="L24" i="2"/>
  <c r="K24" i="2"/>
  <c r="L5" i="2"/>
  <c r="K5" i="2"/>
  <c r="O17" i="74"/>
  <c r="P17" i="70"/>
  <c r="L20" i="69"/>
  <c r="L40" i="69" s="1"/>
  <c r="K20" i="69"/>
  <c r="L17" i="69"/>
  <c r="K17" i="69"/>
  <c r="L4" i="2"/>
  <c r="K4" i="2"/>
  <c r="L25" i="2"/>
  <c r="K25" i="2"/>
  <c r="E76" i="34"/>
  <c r="P76" i="34"/>
  <c r="I76" i="34"/>
  <c r="H76" i="34"/>
  <c r="O76" i="34"/>
  <c r="N76" i="34"/>
  <c r="J76" i="34"/>
  <c r="M76" i="34"/>
  <c r="L76" i="34"/>
  <c r="G76" i="34"/>
  <c r="K76" i="34"/>
  <c r="F76" i="34"/>
  <c r="E75" i="34"/>
  <c r="P75" i="34"/>
  <c r="H75" i="34"/>
  <c r="O75" i="34"/>
  <c r="I75" i="34"/>
  <c r="N75" i="34"/>
  <c r="J75" i="34"/>
  <c r="M75" i="34"/>
  <c r="G75" i="34"/>
  <c r="L75" i="34"/>
  <c r="K75" i="34"/>
  <c r="F75" i="34"/>
  <c r="F4" i="89"/>
  <c r="F16" i="89" s="1"/>
  <c r="F19" i="89" s="1"/>
  <c r="E40" i="87"/>
  <c r="J40" i="89"/>
  <c r="I40" i="88"/>
  <c r="J40" i="90"/>
  <c r="E4" i="88"/>
  <c r="E16" i="88" s="1"/>
  <c r="E19" i="88" s="1"/>
  <c r="F4" i="90"/>
  <c r="F16" i="90" s="1"/>
  <c r="F19" i="90" s="1"/>
  <c r="E4" i="87"/>
  <c r="E16" i="87" s="1"/>
  <c r="E19" i="87" s="1"/>
  <c r="J40" i="65"/>
  <c r="K40" i="65" s="1"/>
  <c r="Q17" i="90"/>
  <c r="M40" i="74"/>
  <c r="N40" i="74" s="1"/>
  <c r="M40" i="71"/>
  <c r="M40" i="72"/>
  <c r="M40" i="70"/>
  <c r="L20" i="89"/>
  <c r="M20" i="89" s="1"/>
  <c r="L17" i="89"/>
  <c r="M17" i="89" s="1"/>
  <c r="Q20" i="90"/>
  <c r="J40" i="69"/>
  <c r="K40" i="69" s="1"/>
  <c r="J40" i="68"/>
  <c r="K40" i="68" s="1"/>
  <c r="J40" i="67"/>
  <c r="K40" i="67" s="1"/>
  <c r="J20" i="88"/>
  <c r="J17" i="88"/>
  <c r="M40" i="75"/>
  <c r="N40" i="75" s="1"/>
  <c r="J40" i="66"/>
  <c r="K40" i="66" s="1"/>
  <c r="J32" i="87"/>
  <c r="L32" i="82"/>
  <c r="M32" i="82" s="1"/>
  <c r="J32" i="78"/>
  <c r="L32" i="85"/>
  <c r="M32" i="85" s="1"/>
  <c r="K32" i="80"/>
  <c r="L32" i="83"/>
  <c r="M32" i="83" s="1"/>
  <c r="J32" i="79"/>
  <c r="J32" i="76"/>
  <c r="L32" i="86"/>
  <c r="M32" i="86" s="1"/>
  <c r="J32" i="77"/>
  <c r="L32" i="81"/>
  <c r="M32" i="81" s="1"/>
  <c r="L32" i="84"/>
  <c r="M32" i="84" s="1"/>
  <c r="J34" i="87"/>
  <c r="J34" i="77"/>
  <c r="L34" i="86"/>
  <c r="M34" i="86" s="1"/>
  <c r="L34" i="81"/>
  <c r="M34" i="81" s="1"/>
  <c r="K34" i="80"/>
  <c r="L34" i="85"/>
  <c r="M34" i="85" s="1"/>
  <c r="L34" i="84"/>
  <c r="M34" i="84" s="1"/>
  <c r="L34" i="83"/>
  <c r="M34" i="83" s="1"/>
  <c r="J34" i="79"/>
  <c r="L34" i="82"/>
  <c r="M34" i="82" s="1"/>
  <c r="J34" i="78"/>
  <c r="J34" i="76"/>
  <c r="J22" i="87"/>
  <c r="J22" i="79"/>
  <c r="J22" i="76"/>
  <c r="J22" i="77"/>
  <c r="L22" i="83"/>
  <c r="M22" i="83" s="1"/>
  <c r="L22" i="82"/>
  <c r="M22" i="82" s="1"/>
  <c r="K22" i="80"/>
  <c r="L22" i="85"/>
  <c r="M22" i="85" s="1"/>
  <c r="L22" i="81"/>
  <c r="M22" i="81" s="1"/>
  <c r="J22" i="78"/>
  <c r="L22" i="84"/>
  <c r="M22" i="84" s="1"/>
  <c r="L22" i="86"/>
  <c r="M22" i="86" s="1"/>
  <c r="J23" i="87"/>
  <c r="L23" i="86"/>
  <c r="M23" i="86" s="1"/>
  <c r="J23" i="79"/>
  <c r="L23" i="82"/>
  <c r="M23" i="82" s="1"/>
  <c r="L23" i="85"/>
  <c r="M23" i="85" s="1"/>
  <c r="J23" i="77"/>
  <c r="K23" i="80"/>
  <c r="L23" i="83"/>
  <c r="M23" i="83" s="1"/>
  <c r="L23" i="81"/>
  <c r="M23" i="81" s="1"/>
  <c r="J23" i="78"/>
  <c r="L23" i="84"/>
  <c r="M23" i="84" s="1"/>
  <c r="J23" i="76"/>
  <c r="J26" i="87"/>
  <c r="L26" i="82"/>
  <c r="M26" i="82" s="1"/>
  <c r="J26" i="78"/>
  <c r="L26" i="85"/>
  <c r="M26" i="85" s="1"/>
  <c r="K26" i="80"/>
  <c r="L26" i="83"/>
  <c r="M26" i="83" s="1"/>
  <c r="J26" i="76"/>
  <c r="L26" i="86"/>
  <c r="M26" i="86" s="1"/>
  <c r="J26" i="77"/>
  <c r="L26" i="84"/>
  <c r="M26" i="84" s="1"/>
  <c r="L26" i="81"/>
  <c r="M26" i="81" s="1"/>
  <c r="J26" i="79"/>
  <c r="J15" i="87"/>
  <c r="L15" i="84"/>
  <c r="M15" i="84" s="1"/>
  <c r="L15" i="81"/>
  <c r="M15" i="81" s="1"/>
  <c r="L15" i="82"/>
  <c r="M15" i="82" s="1"/>
  <c r="J15" i="78"/>
  <c r="L15" i="85"/>
  <c r="M15" i="85" s="1"/>
  <c r="J15" i="79"/>
  <c r="L15" i="86"/>
  <c r="M15" i="86" s="1"/>
  <c r="J15" i="77"/>
  <c r="K15" i="80"/>
  <c r="L15" i="83"/>
  <c r="M15" i="83" s="1"/>
  <c r="J15" i="76"/>
  <c r="J17" i="87"/>
  <c r="L17" i="82"/>
  <c r="J17" i="78"/>
  <c r="L17" i="85"/>
  <c r="M17" i="85" s="1"/>
  <c r="L17" i="83"/>
  <c r="M17" i="83" s="1"/>
  <c r="L17" i="81"/>
  <c r="M17" i="81" s="1"/>
  <c r="L17" i="84"/>
  <c r="M17" i="84" s="1"/>
  <c r="K17" i="80"/>
  <c r="J17" i="76"/>
  <c r="J17" i="79"/>
  <c r="L17" i="86"/>
  <c r="J17" i="77"/>
  <c r="J28" i="87"/>
  <c r="J28" i="79"/>
  <c r="J28" i="76"/>
  <c r="J28" i="77"/>
  <c r="L28" i="85"/>
  <c r="M28" i="85" s="1"/>
  <c r="L28" i="84"/>
  <c r="M28" i="84" s="1"/>
  <c r="L28" i="83"/>
  <c r="M28" i="83" s="1"/>
  <c r="K28" i="80"/>
  <c r="J28" i="78"/>
  <c r="L28" i="82"/>
  <c r="M28" i="82" s="1"/>
  <c r="L28" i="86"/>
  <c r="M28" i="86" s="1"/>
  <c r="L28" i="81"/>
  <c r="M28" i="81" s="1"/>
  <c r="J8" i="76"/>
  <c r="J21" i="87"/>
  <c r="L21" i="83"/>
  <c r="M21" i="83" s="1"/>
  <c r="J21" i="79"/>
  <c r="J21" i="76"/>
  <c r="J21" i="77"/>
  <c r="L21" i="85"/>
  <c r="M21" i="85" s="1"/>
  <c r="L21" i="84"/>
  <c r="M21" i="84" s="1"/>
  <c r="L21" i="86"/>
  <c r="K21" i="80"/>
  <c r="L21" i="82"/>
  <c r="M21" i="82" s="1"/>
  <c r="L21" i="81"/>
  <c r="M21" i="81" s="1"/>
  <c r="J21" i="78"/>
  <c r="J10" i="87"/>
  <c r="L10" i="82"/>
  <c r="M10" i="82" s="1"/>
  <c r="J10" i="78"/>
  <c r="L10" i="85"/>
  <c r="M10" i="85" s="1"/>
  <c r="L10" i="83"/>
  <c r="M10" i="83" s="1"/>
  <c r="J10" i="76"/>
  <c r="K10" i="80"/>
  <c r="L10" i="86"/>
  <c r="M10" i="86" s="1"/>
  <c r="L10" i="84"/>
  <c r="M10" i="84" s="1"/>
  <c r="L10" i="81"/>
  <c r="M10" i="81" s="1"/>
  <c r="J10" i="79"/>
  <c r="J10" i="77"/>
  <c r="J24" i="87"/>
  <c r="L24" i="86"/>
  <c r="M24" i="86" s="1"/>
  <c r="L24" i="84"/>
  <c r="M24" i="84" s="1"/>
  <c r="L24" i="81"/>
  <c r="M24" i="81" s="1"/>
  <c r="L24" i="82"/>
  <c r="M24" i="82" s="1"/>
  <c r="J24" i="78"/>
  <c r="J24" i="76"/>
  <c r="K24" i="80"/>
  <c r="J24" i="79"/>
  <c r="L24" i="85"/>
  <c r="M24" i="85" s="1"/>
  <c r="J24" i="77"/>
  <c r="L24" i="83"/>
  <c r="M24" i="83" s="1"/>
  <c r="J25" i="87"/>
  <c r="L25" i="84"/>
  <c r="M25" i="84" s="1"/>
  <c r="L25" i="81"/>
  <c r="M25" i="81" s="1"/>
  <c r="L25" i="82"/>
  <c r="M25" i="82" s="1"/>
  <c r="J25" i="78"/>
  <c r="L25" i="85"/>
  <c r="M25" i="85" s="1"/>
  <c r="K25" i="80"/>
  <c r="J25" i="79"/>
  <c r="L25" i="86"/>
  <c r="M25" i="86" s="1"/>
  <c r="J25" i="77"/>
  <c r="J25" i="76"/>
  <c r="L25" i="83"/>
  <c r="M25" i="83" s="1"/>
  <c r="J5" i="87"/>
  <c r="L5" i="83"/>
  <c r="K5" i="80"/>
  <c r="J5" i="77"/>
  <c r="L5" i="82"/>
  <c r="M5" i="82" s="1"/>
  <c r="J5" i="79"/>
  <c r="J5" i="78"/>
  <c r="L5" i="86"/>
  <c r="M5" i="86" s="1"/>
  <c r="L5" i="85"/>
  <c r="M5" i="85" s="1"/>
  <c r="L5" i="84"/>
  <c r="M5" i="84" s="1"/>
  <c r="L5" i="81"/>
  <c r="M5" i="81" s="1"/>
  <c r="J5" i="76"/>
  <c r="J29" i="87"/>
  <c r="L29" i="86"/>
  <c r="M29" i="86" s="1"/>
  <c r="L29" i="83"/>
  <c r="M29" i="83" s="1"/>
  <c r="L29" i="82"/>
  <c r="M29" i="82" s="1"/>
  <c r="L29" i="81"/>
  <c r="M29" i="81" s="1"/>
  <c r="J29" i="78"/>
  <c r="L29" i="84"/>
  <c r="M29" i="84" s="1"/>
  <c r="J29" i="76"/>
  <c r="L29" i="85"/>
  <c r="M29" i="85" s="1"/>
  <c r="J29" i="77"/>
  <c r="J29" i="79"/>
  <c r="K29" i="80"/>
  <c r="J39" i="87"/>
  <c r="L39" i="86"/>
  <c r="M39" i="86" s="1"/>
  <c r="L39" i="84"/>
  <c r="M39" i="84" s="1"/>
  <c r="L39" i="81"/>
  <c r="M39" i="81" s="1"/>
  <c r="L39" i="83"/>
  <c r="M39" i="83" s="1"/>
  <c r="J39" i="79"/>
  <c r="L39" i="82"/>
  <c r="M39" i="82" s="1"/>
  <c r="J39" i="76"/>
  <c r="L39" i="85"/>
  <c r="M39" i="85" s="1"/>
  <c r="J39" i="77"/>
  <c r="J39" i="78"/>
  <c r="K39" i="80"/>
  <c r="J27" i="87"/>
  <c r="L27" i="83"/>
  <c r="M27" i="83" s="1"/>
  <c r="J27" i="79"/>
  <c r="J27" i="76"/>
  <c r="J27" i="77"/>
  <c r="L27" i="86"/>
  <c r="M27" i="86" s="1"/>
  <c r="J27" i="78"/>
  <c r="L27" i="81"/>
  <c r="M27" i="81" s="1"/>
  <c r="K27" i="80"/>
  <c r="L27" i="85"/>
  <c r="M27" i="85" s="1"/>
  <c r="L27" i="84"/>
  <c r="M27" i="84" s="1"/>
  <c r="L27" i="82"/>
  <c r="M27" i="82" s="1"/>
  <c r="J18" i="87"/>
  <c r="J18" i="79"/>
  <c r="L18" i="86"/>
  <c r="M18" i="86" s="1"/>
  <c r="L18" i="82"/>
  <c r="J18" i="76"/>
  <c r="J18" i="78"/>
  <c r="L18" i="85"/>
  <c r="M18" i="85" s="1"/>
  <c r="J18" i="77"/>
  <c r="L18" i="84"/>
  <c r="M18" i="84" s="1"/>
  <c r="L18" i="81"/>
  <c r="M18" i="81" s="1"/>
  <c r="K18" i="80"/>
  <c r="L18" i="83"/>
  <c r="M18" i="83" s="1"/>
  <c r="J30" i="87"/>
  <c r="L30" i="86"/>
  <c r="M30" i="86" s="1"/>
  <c r="L30" i="84"/>
  <c r="M30" i="84" s="1"/>
  <c r="L30" i="81"/>
  <c r="M30" i="81" s="1"/>
  <c r="L30" i="82"/>
  <c r="M30" i="82" s="1"/>
  <c r="J30" i="79"/>
  <c r="J30" i="78"/>
  <c r="J30" i="76"/>
  <c r="K30" i="80"/>
  <c r="L30" i="85"/>
  <c r="M30" i="85" s="1"/>
  <c r="J30" i="77"/>
  <c r="L30" i="83"/>
  <c r="M30" i="83" s="1"/>
  <c r="J20" i="87"/>
  <c r="L20" i="82"/>
  <c r="M20" i="82" s="1"/>
  <c r="J20" i="78"/>
  <c r="L20" i="85"/>
  <c r="M20" i="85" s="1"/>
  <c r="K20" i="80"/>
  <c r="L20" i="83"/>
  <c r="M20" i="83" s="1"/>
  <c r="L20" i="86"/>
  <c r="J20" i="77"/>
  <c r="L20" i="81"/>
  <c r="M20" i="81" s="1"/>
  <c r="L20" i="84"/>
  <c r="M20" i="84" s="1"/>
  <c r="J20" i="76"/>
  <c r="J20" i="79"/>
  <c r="J40" i="2"/>
  <c r="K40" i="2" s="1"/>
  <c r="J9" i="87"/>
  <c r="L9" i="84"/>
  <c r="M9" i="84" s="1"/>
  <c r="L9" i="81"/>
  <c r="M9" i="81" s="1"/>
  <c r="L9" i="82"/>
  <c r="M9" i="82" s="1"/>
  <c r="J9" i="78"/>
  <c r="L9" i="85"/>
  <c r="M9" i="85" s="1"/>
  <c r="L9" i="83"/>
  <c r="M9" i="83" s="1"/>
  <c r="K9" i="80"/>
  <c r="J9" i="77"/>
  <c r="L9" i="86"/>
  <c r="M9" i="86" s="1"/>
  <c r="J9" i="76"/>
  <c r="J9" i="79"/>
  <c r="J35" i="87"/>
  <c r="L35" i="86"/>
  <c r="M35" i="86" s="1"/>
  <c r="L35" i="84"/>
  <c r="M35" i="84" s="1"/>
  <c r="L35" i="81"/>
  <c r="M35" i="81" s="1"/>
  <c r="L35" i="83"/>
  <c r="M35" i="83" s="1"/>
  <c r="L35" i="82"/>
  <c r="M35" i="82" s="1"/>
  <c r="J35" i="79"/>
  <c r="J35" i="77"/>
  <c r="K35" i="80"/>
  <c r="J35" i="76"/>
  <c r="L35" i="85"/>
  <c r="M35" i="85" s="1"/>
  <c r="J35" i="78"/>
  <c r="J11" i="87"/>
  <c r="L11" i="83"/>
  <c r="M11" i="83" s="1"/>
  <c r="J11" i="76"/>
  <c r="K11" i="80"/>
  <c r="J11" i="77"/>
  <c r="L11" i="82"/>
  <c r="M11" i="82" s="1"/>
  <c r="J11" i="78"/>
  <c r="L11" i="85"/>
  <c r="M11" i="85" s="1"/>
  <c r="L11" i="84"/>
  <c r="M11" i="84" s="1"/>
  <c r="L11" i="81"/>
  <c r="M11" i="81" s="1"/>
  <c r="J11" i="79"/>
  <c r="M11" i="86"/>
  <c r="J3" i="87"/>
  <c r="L3" i="84"/>
  <c r="M3" i="84" s="1"/>
  <c r="L3" i="81"/>
  <c r="M3" i="81" s="1"/>
  <c r="L3" i="82"/>
  <c r="M3" i="82" s="1"/>
  <c r="J3" i="78"/>
  <c r="J3" i="76"/>
  <c r="K3" i="80"/>
  <c r="J3" i="79"/>
  <c r="J3" i="77"/>
  <c r="L3" i="83"/>
  <c r="J7" i="87"/>
  <c r="M7" i="86"/>
  <c r="J7" i="79"/>
  <c r="J7" i="78"/>
  <c r="L7" i="85"/>
  <c r="M7" i="85" s="1"/>
  <c r="L7" i="81"/>
  <c r="M7" i="81" s="1"/>
  <c r="L7" i="83"/>
  <c r="M7" i="83" s="1"/>
  <c r="L7" i="84"/>
  <c r="M7" i="84" s="1"/>
  <c r="J7" i="77"/>
  <c r="L7" i="82"/>
  <c r="M7" i="82" s="1"/>
  <c r="K7" i="80"/>
  <c r="J7" i="76"/>
  <c r="J31" i="87"/>
  <c r="L31" i="84"/>
  <c r="M31" i="84" s="1"/>
  <c r="L31" i="81"/>
  <c r="M31" i="81" s="1"/>
  <c r="L31" i="82"/>
  <c r="M31" i="82" s="1"/>
  <c r="J31" i="78"/>
  <c r="L31" i="85"/>
  <c r="M31" i="85" s="1"/>
  <c r="K31" i="80"/>
  <c r="J31" i="79"/>
  <c r="J31" i="76"/>
  <c r="L31" i="86"/>
  <c r="M31" i="86" s="1"/>
  <c r="J31" i="77"/>
  <c r="L31" i="83"/>
  <c r="M31" i="83" s="1"/>
  <c r="E22" i="76"/>
  <c r="E22" i="77"/>
  <c r="F22" i="82"/>
  <c r="F22" i="81"/>
  <c r="E22" i="78"/>
  <c r="F22" i="84"/>
  <c r="F22" i="83"/>
  <c r="E22" i="79"/>
  <c r="F22" i="80"/>
  <c r="F22" i="86"/>
  <c r="F22" i="85"/>
  <c r="F10" i="85"/>
  <c r="F10" i="81"/>
  <c r="E10" i="77"/>
  <c r="E10" i="76"/>
  <c r="F10" i="80"/>
  <c r="F10" i="86"/>
  <c r="E10" i="78"/>
  <c r="F10" i="84"/>
  <c r="F10" i="82"/>
  <c r="E10" i="79"/>
  <c r="F10" i="83"/>
  <c r="E24" i="79"/>
  <c r="F24" i="83"/>
  <c r="F24" i="80"/>
  <c r="F24" i="86"/>
  <c r="F24" i="85"/>
  <c r="E24" i="77"/>
  <c r="E24" i="76"/>
  <c r="F24" i="82"/>
  <c r="F24" i="81"/>
  <c r="F24" i="84"/>
  <c r="E24" i="78"/>
  <c r="F37" i="86"/>
  <c r="F37" i="85"/>
  <c r="E37" i="76"/>
  <c r="F37" i="80"/>
  <c r="E37" i="78"/>
  <c r="F37" i="82"/>
  <c r="F37" i="84"/>
  <c r="E37" i="79"/>
  <c r="F37" i="83"/>
  <c r="E37" i="77"/>
  <c r="F37" i="81"/>
  <c r="F25" i="80"/>
  <c r="E25" i="77"/>
  <c r="F25" i="86"/>
  <c r="F25" i="85"/>
  <c r="F25" i="82"/>
  <c r="E25" i="76"/>
  <c r="F25" i="81"/>
  <c r="E25" i="78"/>
  <c r="F25" i="84"/>
  <c r="E25" i="79"/>
  <c r="F25" i="83"/>
  <c r="F11" i="86"/>
  <c r="E11" i="76"/>
  <c r="E11" i="78"/>
  <c r="F11" i="84"/>
  <c r="F11" i="82"/>
  <c r="F11" i="83"/>
  <c r="E11" i="79"/>
  <c r="E11" i="77"/>
  <c r="F11" i="81"/>
  <c r="F11" i="85"/>
  <c r="F11" i="80"/>
  <c r="F26" i="82"/>
  <c r="E26" i="76"/>
  <c r="F26" i="81"/>
  <c r="E26" i="79"/>
  <c r="E26" i="78"/>
  <c r="F26" i="84"/>
  <c r="F26" i="83"/>
  <c r="F26" i="86"/>
  <c r="E26" i="77"/>
  <c r="F26" i="85"/>
  <c r="F26" i="80"/>
  <c r="E27" i="79"/>
  <c r="E27" i="78"/>
  <c r="F27" i="84"/>
  <c r="E27" i="77"/>
  <c r="F27" i="83"/>
  <c r="F27" i="80"/>
  <c r="F27" i="86"/>
  <c r="F27" i="85"/>
  <c r="F27" i="82"/>
  <c r="E27" i="76"/>
  <c r="F27" i="81"/>
  <c r="F29" i="86"/>
  <c r="F29" i="85"/>
  <c r="F29" i="82"/>
  <c r="F29" i="81"/>
  <c r="E29" i="76"/>
  <c r="E29" i="79"/>
  <c r="E29" i="78"/>
  <c r="F29" i="84"/>
  <c r="E29" i="77"/>
  <c r="F29" i="80"/>
  <c r="F29" i="83"/>
  <c r="F30" i="81"/>
  <c r="E30" i="79"/>
  <c r="E30" i="76"/>
  <c r="E30" i="78"/>
  <c r="F30" i="84"/>
  <c r="E30" i="77"/>
  <c r="F30" i="80"/>
  <c r="F30" i="83"/>
  <c r="F30" i="86"/>
  <c r="F30" i="82"/>
  <c r="F30" i="85"/>
  <c r="F14" i="85"/>
  <c r="F14" i="86"/>
  <c r="E14" i="79"/>
  <c r="E14" i="78"/>
  <c r="F14" i="84"/>
  <c r="F14" i="82"/>
  <c r="F14" i="80"/>
  <c r="E14" i="77"/>
  <c r="E14" i="76"/>
  <c r="F14" i="83"/>
  <c r="F14" i="81"/>
  <c r="E17" i="78"/>
  <c r="E17" i="76"/>
  <c r="F17" i="84"/>
  <c r="F17" i="82"/>
  <c r="E17" i="77"/>
  <c r="F17" i="81"/>
  <c r="F17" i="83"/>
  <c r="F17" i="85"/>
  <c r="F17" i="86"/>
  <c r="E17" i="79"/>
  <c r="F17" i="80"/>
  <c r="F38" i="80"/>
  <c r="E38" i="79"/>
  <c r="E38" i="78"/>
  <c r="F38" i="82"/>
  <c r="F38" i="84"/>
  <c r="F38" i="83"/>
  <c r="F38" i="81"/>
  <c r="E38" i="77"/>
  <c r="F38" i="86"/>
  <c r="F38" i="85"/>
  <c r="E38" i="76"/>
  <c r="E15" i="79"/>
  <c r="E15" i="78"/>
  <c r="F15" i="84"/>
  <c r="F15" i="82"/>
  <c r="F15" i="80"/>
  <c r="E15" i="77"/>
  <c r="F15" i="81"/>
  <c r="F15" i="83"/>
  <c r="F15" i="85"/>
  <c r="F15" i="86"/>
  <c r="E15" i="76"/>
  <c r="E31" i="77"/>
  <c r="E31" i="78"/>
  <c r="F31" i="84"/>
  <c r="F31" i="80"/>
  <c r="F31" i="83"/>
  <c r="F31" i="82"/>
  <c r="F31" i="86"/>
  <c r="F31" i="85"/>
  <c r="F31" i="81"/>
  <c r="E31" i="79"/>
  <c r="E31" i="76"/>
  <c r="F3" i="81"/>
  <c r="E3" i="79"/>
  <c r="E3" i="77"/>
  <c r="E3" i="78"/>
  <c r="F3" i="84"/>
  <c r="F3" i="86"/>
  <c r="F3" i="83"/>
  <c r="F3" i="80"/>
  <c r="E3" i="76"/>
  <c r="F3" i="85"/>
  <c r="F3" i="82"/>
  <c r="F20" i="83"/>
  <c r="F20" i="80"/>
  <c r="F20" i="86"/>
  <c r="F49" i="86" s="1"/>
  <c r="F20" i="85"/>
  <c r="E20" i="79"/>
  <c r="E20" i="76"/>
  <c r="F20" i="81"/>
  <c r="E20" i="77"/>
  <c r="F20" i="82"/>
  <c r="F20" i="84"/>
  <c r="E20" i="78"/>
  <c r="F32" i="80"/>
  <c r="F32" i="83"/>
  <c r="F32" i="82"/>
  <c r="F32" i="86"/>
  <c r="F32" i="85"/>
  <c r="E32" i="79"/>
  <c r="F32" i="81"/>
  <c r="E32" i="76"/>
  <c r="F32" i="84"/>
  <c r="E32" i="78"/>
  <c r="E32" i="77"/>
  <c r="E12" i="78"/>
  <c r="F12" i="84"/>
  <c r="E12" i="79"/>
  <c r="F12" i="82"/>
  <c r="F12" i="83"/>
  <c r="E12" i="77"/>
  <c r="E12" i="76"/>
  <c r="F12" i="81"/>
  <c r="F12" i="80"/>
  <c r="F12" i="85"/>
  <c r="F12" i="86"/>
  <c r="E13" i="77"/>
  <c r="F13" i="83"/>
  <c r="F13" i="81"/>
  <c r="F13" i="80"/>
  <c r="F13" i="85"/>
  <c r="E13" i="76"/>
  <c r="F13" i="86"/>
  <c r="F13" i="82"/>
  <c r="E13" i="79"/>
  <c r="F13" i="84"/>
  <c r="E13" i="78"/>
  <c r="E28" i="77"/>
  <c r="F28" i="83"/>
  <c r="F28" i="80"/>
  <c r="F28" i="86"/>
  <c r="F28" i="85"/>
  <c r="F28" i="82"/>
  <c r="E28" i="76"/>
  <c r="F28" i="81"/>
  <c r="E28" i="79"/>
  <c r="F28" i="84"/>
  <c r="E28" i="78"/>
  <c r="F18" i="86"/>
  <c r="F18" i="80"/>
  <c r="E18" i="79"/>
  <c r="F18" i="82"/>
  <c r="E18" i="78"/>
  <c r="E18" i="77"/>
  <c r="E18" i="76"/>
  <c r="F18" i="84"/>
  <c r="F18" i="81"/>
  <c r="F18" i="83"/>
  <c r="F18" i="85"/>
  <c r="E7" i="78"/>
  <c r="F7" i="86"/>
  <c r="F7" i="84"/>
  <c r="F7" i="80"/>
  <c r="E7" i="76"/>
  <c r="F7" i="83"/>
  <c r="F7" i="82"/>
  <c r="F7" i="85"/>
  <c r="F7" i="81"/>
  <c r="E7" i="77"/>
  <c r="E7" i="79"/>
  <c r="F21" i="80"/>
  <c r="F21" i="86"/>
  <c r="F21" i="85"/>
  <c r="E21" i="79"/>
  <c r="E21" i="76"/>
  <c r="E21" i="77"/>
  <c r="F21" i="82"/>
  <c r="F21" i="81"/>
  <c r="E21" i="78"/>
  <c r="F21" i="84"/>
  <c r="F21" i="83"/>
  <c r="E34" i="76"/>
  <c r="E34" i="77"/>
  <c r="E34" i="78"/>
  <c r="F34" i="84"/>
  <c r="F34" i="80"/>
  <c r="F34" i="82"/>
  <c r="F34" i="83"/>
  <c r="E34" i="79"/>
  <c r="F34" i="86"/>
  <c r="F34" i="81"/>
  <c r="F34" i="85"/>
  <c r="F35" i="80"/>
  <c r="E35" i="78"/>
  <c r="F35" i="84"/>
  <c r="F35" i="82"/>
  <c r="E35" i="79"/>
  <c r="F35" i="83"/>
  <c r="F35" i="81"/>
  <c r="F35" i="86"/>
  <c r="F35" i="85"/>
  <c r="E35" i="77"/>
  <c r="E35" i="76"/>
  <c r="E8" i="78"/>
  <c r="F8" i="86"/>
  <c r="F8" i="84"/>
  <c r="F8" i="83"/>
  <c r="F8" i="82"/>
  <c r="F8" i="85"/>
  <c r="E8" i="79"/>
  <c r="F8" i="81"/>
  <c r="E8" i="77"/>
  <c r="E8" i="76"/>
  <c r="F8" i="80"/>
  <c r="F9" i="83"/>
  <c r="F9" i="82"/>
  <c r="F9" i="85"/>
  <c r="F9" i="81"/>
  <c r="E9" i="79"/>
  <c r="E9" i="77"/>
  <c r="F9" i="80"/>
  <c r="F9" i="86"/>
  <c r="E9" i="78"/>
  <c r="E9" i="76"/>
  <c r="F9" i="84"/>
  <c r="F23" i="81"/>
  <c r="E23" i="78"/>
  <c r="F23" i="84"/>
  <c r="F23" i="83"/>
  <c r="E23" i="79"/>
  <c r="F23" i="80"/>
  <c r="F23" i="86"/>
  <c r="F23" i="85"/>
  <c r="E23" i="77"/>
  <c r="E23" i="76"/>
  <c r="F23" i="82"/>
  <c r="F36" i="83"/>
  <c r="F36" i="81"/>
  <c r="F36" i="86"/>
  <c r="F36" i="85"/>
  <c r="E36" i="77"/>
  <c r="E36" i="76"/>
  <c r="F36" i="82"/>
  <c r="F36" i="80"/>
  <c r="F36" i="84"/>
  <c r="E36" i="79"/>
  <c r="E36" i="78"/>
  <c r="E4" i="78"/>
  <c r="E4" i="76"/>
  <c r="F4" i="84"/>
  <c r="F4" i="86"/>
  <c r="F4" i="83"/>
  <c r="F4" i="80"/>
  <c r="F4" i="85"/>
  <c r="F4" i="82"/>
  <c r="F4" i="81"/>
  <c r="E4" i="77"/>
  <c r="E4" i="79"/>
  <c r="E16" i="76" l="1"/>
  <c r="E19" i="76" s="1"/>
  <c r="E16" i="77"/>
  <c r="E19" i="77" s="1"/>
  <c r="E16" i="79"/>
  <c r="E19" i="79" s="1"/>
  <c r="E16" i="78"/>
  <c r="E19" i="78" s="1"/>
  <c r="N40" i="72"/>
  <c r="O40" i="72"/>
  <c r="F50" i="86"/>
  <c r="L46" i="86"/>
  <c r="M17" i="86"/>
  <c r="F46" i="86"/>
  <c r="L50" i="86"/>
  <c r="M21" i="86"/>
  <c r="L49" i="86"/>
  <c r="M20" i="86"/>
  <c r="N40" i="71"/>
  <c r="O40" i="71"/>
  <c r="O40" i="70"/>
  <c r="N40" i="70"/>
  <c r="F16" i="83"/>
  <c r="F19" i="83" s="1"/>
  <c r="F16" i="84"/>
  <c r="F19" i="84" s="1"/>
  <c r="F16" i="82"/>
  <c r="F19" i="82" s="1"/>
  <c r="F16" i="86"/>
  <c r="F16" i="85"/>
  <c r="F19" i="85" s="1"/>
  <c r="F16" i="80"/>
  <c r="F19" i="80" s="1"/>
  <c r="F16" i="81"/>
  <c r="L16" i="2"/>
  <c r="L19" i="2" s="1"/>
  <c r="N7" i="85"/>
  <c r="N3" i="81"/>
  <c r="N35" i="84"/>
  <c r="N9" i="81"/>
  <c r="N20" i="85"/>
  <c r="N30" i="81"/>
  <c r="N18" i="82"/>
  <c r="M18" i="82"/>
  <c r="L27" i="76"/>
  <c r="K27" i="76"/>
  <c r="N39" i="81"/>
  <c r="N29" i="82"/>
  <c r="L5" i="77"/>
  <c r="K5" i="77"/>
  <c r="N25" i="82"/>
  <c r="N24" i="81"/>
  <c r="N31" i="82"/>
  <c r="L7" i="78"/>
  <c r="K7" i="78"/>
  <c r="N3" i="84"/>
  <c r="N11" i="83"/>
  <c r="N35" i="86"/>
  <c r="N9" i="84"/>
  <c r="L20" i="78"/>
  <c r="K20" i="78"/>
  <c r="N30" i="84"/>
  <c r="N18" i="86"/>
  <c r="L27" i="79"/>
  <c r="K27" i="79"/>
  <c r="N39" i="84"/>
  <c r="N29" i="83"/>
  <c r="M5" i="80"/>
  <c r="L5" i="80"/>
  <c r="N25" i="81"/>
  <c r="N24" i="84"/>
  <c r="L10" i="78"/>
  <c r="K10" i="78"/>
  <c r="L21" i="79"/>
  <c r="K21" i="79"/>
  <c r="L28" i="77"/>
  <c r="K28" i="77"/>
  <c r="N17" i="85"/>
  <c r="N15" i="82"/>
  <c r="N26" i="85"/>
  <c r="N23" i="82"/>
  <c r="L22" i="77"/>
  <c r="K22" i="77"/>
  <c r="N34" i="81"/>
  <c r="N32" i="85"/>
  <c r="N31" i="81"/>
  <c r="N29" i="86"/>
  <c r="N21" i="83"/>
  <c r="L28" i="76"/>
  <c r="K28" i="76"/>
  <c r="N31" i="84"/>
  <c r="L9" i="79"/>
  <c r="K9" i="79"/>
  <c r="N17" i="82"/>
  <c r="M17" i="82"/>
  <c r="N20" i="82"/>
  <c r="N25" i="84"/>
  <c r="N15" i="81"/>
  <c r="N34" i="86"/>
  <c r="N7" i="86"/>
  <c r="L28" i="79"/>
  <c r="K28" i="79"/>
  <c r="N23" i="86"/>
  <c r="K31" i="87"/>
  <c r="L31" i="87"/>
  <c r="L7" i="87"/>
  <c r="K7" i="87"/>
  <c r="L11" i="79"/>
  <c r="K11" i="79"/>
  <c r="N35" i="85"/>
  <c r="L9" i="76"/>
  <c r="K9" i="76"/>
  <c r="L20" i="79"/>
  <c r="K20" i="79"/>
  <c r="N30" i="83"/>
  <c r="N18" i="83"/>
  <c r="N27" i="82"/>
  <c r="M39" i="80"/>
  <c r="L39" i="80"/>
  <c r="M29" i="80"/>
  <c r="L29" i="80"/>
  <c r="L5" i="76"/>
  <c r="K5" i="76"/>
  <c r="N25" i="83"/>
  <c r="N24" i="83"/>
  <c r="L10" i="77"/>
  <c r="K10" i="77"/>
  <c r="L21" i="78"/>
  <c r="K21" i="78"/>
  <c r="L8" i="76"/>
  <c r="K8" i="76"/>
  <c r="L28" i="87"/>
  <c r="K28" i="87"/>
  <c r="L17" i="87"/>
  <c r="K17" i="87"/>
  <c r="K15" i="87"/>
  <c r="L15" i="87"/>
  <c r="K26" i="87"/>
  <c r="L26" i="87"/>
  <c r="K23" i="87"/>
  <c r="L23" i="87"/>
  <c r="K22" i="87"/>
  <c r="L22" i="87"/>
  <c r="K34" i="87"/>
  <c r="L34" i="87"/>
  <c r="L32" i="87"/>
  <c r="K32" i="87"/>
  <c r="L3" i="87"/>
  <c r="K3" i="87"/>
  <c r="L18" i="79"/>
  <c r="K18" i="79"/>
  <c r="N27" i="83"/>
  <c r="N5" i="83"/>
  <c r="M5" i="83"/>
  <c r="N11" i="86"/>
  <c r="L20" i="87"/>
  <c r="K20" i="87"/>
  <c r="L30" i="87"/>
  <c r="K30" i="87"/>
  <c r="K18" i="87"/>
  <c r="L18" i="87"/>
  <c r="L27" i="87"/>
  <c r="K27" i="87"/>
  <c r="L39" i="87"/>
  <c r="K39" i="87"/>
  <c r="L29" i="87"/>
  <c r="K29" i="87"/>
  <c r="L5" i="87"/>
  <c r="K5" i="87"/>
  <c r="L25" i="87"/>
  <c r="K25" i="87"/>
  <c r="K10" i="87"/>
  <c r="L10" i="87"/>
  <c r="L21" i="87"/>
  <c r="K21" i="87"/>
  <c r="N15" i="84"/>
  <c r="L34" i="77"/>
  <c r="K34" i="77"/>
  <c r="N31" i="83"/>
  <c r="L7" i="76"/>
  <c r="K7" i="76"/>
  <c r="N3" i="83"/>
  <c r="M3" i="83"/>
  <c r="N11" i="81"/>
  <c r="L35" i="76"/>
  <c r="K35" i="76"/>
  <c r="N9" i="86"/>
  <c r="L20" i="76"/>
  <c r="K20" i="76"/>
  <c r="L30" i="77"/>
  <c r="K30" i="77"/>
  <c r="M18" i="80"/>
  <c r="L18" i="80"/>
  <c r="N27" i="84"/>
  <c r="L39" i="78"/>
  <c r="K39" i="78"/>
  <c r="L29" i="79"/>
  <c r="K29" i="79"/>
  <c r="N5" i="81"/>
  <c r="L25" i="76"/>
  <c r="K25" i="76"/>
  <c r="L24" i="77"/>
  <c r="K24" i="77"/>
  <c r="L10" i="79"/>
  <c r="K10" i="79"/>
  <c r="N21" i="81"/>
  <c r="N28" i="81"/>
  <c r="L17" i="77"/>
  <c r="K17" i="77"/>
  <c r="L15" i="76"/>
  <c r="K15" i="76"/>
  <c r="L26" i="79"/>
  <c r="K26" i="79"/>
  <c r="L23" i="76"/>
  <c r="K23" i="76"/>
  <c r="N22" i="86"/>
  <c r="L34" i="76"/>
  <c r="K34" i="76"/>
  <c r="N32" i="84"/>
  <c r="L7" i="79"/>
  <c r="K7" i="79"/>
  <c r="L9" i="87"/>
  <c r="K9" i="87"/>
  <c r="N30" i="86"/>
  <c r="N39" i="86"/>
  <c r="N10" i="82"/>
  <c r="L17" i="78"/>
  <c r="K17" i="78"/>
  <c r="L22" i="76"/>
  <c r="K22" i="76"/>
  <c r="L32" i="78"/>
  <c r="K32" i="78"/>
  <c r="L31" i="77"/>
  <c r="K31" i="77"/>
  <c r="M7" i="80"/>
  <c r="L7" i="80"/>
  <c r="L3" i="77"/>
  <c r="K3" i="77"/>
  <c r="N11" i="84"/>
  <c r="M35" i="80"/>
  <c r="L35" i="80"/>
  <c r="L9" i="77"/>
  <c r="K9" i="77"/>
  <c r="N20" i="84"/>
  <c r="N30" i="85"/>
  <c r="N18" i="81"/>
  <c r="N27" i="85"/>
  <c r="K39" i="77"/>
  <c r="L39" i="77"/>
  <c r="L29" i="77"/>
  <c r="K29" i="77"/>
  <c r="N5" i="84"/>
  <c r="L25" i="77"/>
  <c r="K25" i="77"/>
  <c r="N24" i="85"/>
  <c r="N10" i="81"/>
  <c r="N21" i="82"/>
  <c r="N28" i="86"/>
  <c r="N17" i="86"/>
  <c r="N15" i="83"/>
  <c r="N26" i="81"/>
  <c r="N23" i="84"/>
  <c r="N22" i="84"/>
  <c r="L34" i="78"/>
  <c r="K34" i="78"/>
  <c r="N32" i="81"/>
  <c r="R20" i="90"/>
  <c r="R40" i="90" s="1"/>
  <c r="R17" i="90"/>
  <c r="L24" i="87"/>
  <c r="K24" i="87"/>
  <c r="N26" i="82"/>
  <c r="L22" i="79"/>
  <c r="K22" i="79"/>
  <c r="N32" i="82"/>
  <c r="N31" i="86"/>
  <c r="N7" i="82"/>
  <c r="L3" i="79"/>
  <c r="K3" i="79"/>
  <c r="N11" i="85"/>
  <c r="L35" i="77"/>
  <c r="K35" i="77"/>
  <c r="M9" i="80"/>
  <c r="L9" i="80"/>
  <c r="N20" i="81"/>
  <c r="M30" i="80"/>
  <c r="L30" i="80"/>
  <c r="N18" i="84"/>
  <c r="M27" i="80"/>
  <c r="L27" i="80"/>
  <c r="N39" i="85"/>
  <c r="N29" i="85"/>
  <c r="N5" i="85"/>
  <c r="N25" i="86"/>
  <c r="L24" i="79"/>
  <c r="K24" i="79"/>
  <c r="N10" i="84"/>
  <c r="M21" i="80"/>
  <c r="L21" i="80"/>
  <c r="N28" i="82"/>
  <c r="L17" i="79"/>
  <c r="K17" i="79"/>
  <c r="M15" i="80"/>
  <c r="L15" i="80"/>
  <c r="N26" i="84"/>
  <c r="L23" i="78"/>
  <c r="K23" i="78"/>
  <c r="L22" i="78"/>
  <c r="K22" i="78"/>
  <c r="N34" i="82"/>
  <c r="L32" i="77"/>
  <c r="K32" i="77"/>
  <c r="L11" i="87"/>
  <c r="K11" i="87"/>
  <c r="N24" i="86"/>
  <c r="L26" i="78"/>
  <c r="K26" i="78"/>
  <c r="L23" i="79"/>
  <c r="K23" i="79"/>
  <c r="L35" i="78"/>
  <c r="K35" i="78"/>
  <c r="L31" i="76"/>
  <c r="K31" i="76"/>
  <c r="L7" i="77"/>
  <c r="K7" i="77"/>
  <c r="M3" i="80"/>
  <c r="L3" i="80"/>
  <c r="L11" i="78"/>
  <c r="K11" i="78"/>
  <c r="L35" i="79"/>
  <c r="K35" i="79"/>
  <c r="N9" i="83"/>
  <c r="L20" i="77"/>
  <c r="K20" i="77"/>
  <c r="L30" i="76"/>
  <c r="K30" i="76"/>
  <c r="L18" i="77"/>
  <c r="K18" i="77"/>
  <c r="N27" i="81"/>
  <c r="L39" i="76"/>
  <c r="K39" i="76"/>
  <c r="L29" i="76"/>
  <c r="K29" i="76"/>
  <c r="N5" i="86"/>
  <c r="L25" i="79"/>
  <c r="K25" i="79"/>
  <c r="M24" i="80"/>
  <c r="L24" i="80"/>
  <c r="N10" i="86"/>
  <c r="N21" i="86"/>
  <c r="L28" i="78"/>
  <c r="K28" i="78"/>
  <c r="L17" i="76"/>
  <c r="K17" i="76"/>
  <c r="L15" i="77"/>
  <c r="K15" i="77"/>
  <c r="K26" i="77"/>
  <c r="L26" i="77"/>
  <c r="N23" i="81"/>
  <c r="N22" i="81"/>
  <c r="L34" i="79"/>
  <c r="K34" i="79"/>
  <c r="N32" i="86"/>
  <c r="N17" i="89"/>
  <c r="L35" i="87"/>
  <c r="K35" i="87"/>
  <c r="L31" i="79"/>
  <c r="K31" i="79"/>
  <c r="N7" i="84"/>
  <c r="L3" i="76"/>
  <c r="K3" i="76"/>
  <c r="N11" i="82"/>
  <c r="N35" i="82"/>
  <c r="N9" i="85"/>
  <c r="N20" i="86"/>
  <c r="L30" i="78"/>
  <c r="K30" i="78"/>
  <c r="N18" i="85"/>
  <c r="L27" i="78"/>
  <c r="K27" i="78"/>
  <c r="N39" i="82"/>
  <c r="N29" i="84"/>
  <c r="L5" i="78"/>
  <c r="K5" i="78"/>
  <c r="M25" i="80"/>
  <c r="L25" i="80"/>
  <c r="L24" i="76"/>
  <c r="K24" i="76"/>
  <c r="M10" i="80"/>
  <c r="L10" i="80"/>
  <c r="N21" i="84"/>
  <c r="M28" i="80"/>
  <c r="L28" i="80"/>
  <c r="M17" i="80"/>
  <c r="L17" i="80"/>
  <c r="N15" i="86"/>
  <c r="N26" i="86"/>
  <c r="N23" i="83"/>
  <c r="N22" i="85"/>
  <c r="N34" i="83"/>
  <c r="L32" i="76"/>
  <c r="K32" i="76"/>
  <c r="L17" i="88"/>
  <c r="K17" i="88"/>
  <c r="N20" i="89"/>
  <c r="N40" i="89" s="1"/>
  <c r="M31" i="80"/>
  <c r="L31" i="80"/>
  <c r="N7" i="83"/>
  <c r="K3" i="78"/>
  <c r="L3" i="78"/>
  <c r="L11" i="77"/>
  <c r="K11" i="77"/>
  <c r="N35" i="83"/>
  <c r="L9" i="78"/>
  <c r="K9" i="78"/>
  <c r="N20" i="83"/>
  <c r="L30" i="79"/>
  <c r="K30" i="79"/>
  <c r="L18" i="78"/>
  <c r="K18" i="78"/>
  <c r="N27" i="86"/>
  <c r="L39" i="79"/>
  <c r="K39" i="79"/>
  <c r="L29" i="78"/>
  <c r="K29" i="78"/>
  <c r="L5" i="79"/>
  <c r="K5" i="79"/>
  <c r="N25" i="85"/>
  <c r="L24" i="78"/>
  <c r="K24" i="78"/>
  <c r="L10" i="76"/>
  <c r="K10" i="76"/>
  <c r="N21" i="85"/>
  <c r="N28" i="83"/>
  <c r="N17" i="84"/>
  <c r="K15" i="79"/>
  <c r="L15" i="79"/>
  <c r="L26" i="76"/>
  <c r="K26" i="76"/>
  <c r="M23" i="80"/>
  <c r="L23" i="80"/>
  <c r="M22" i="80"/>
  <c r="L22" i="80"/>
  <c r="N34" i="84"/>
  <c r="L32" i="79"/>
  <c r="K32" i="79"/>
  <c r="L20" i="88"/>
  <c r="L40" i="88" s="1"/>
  <c r="K20" i="88"/>
  <c r="N31" i="85"/>
  <c r="N7" i="81"/>
  <c r="N3" i="82"/>
  <c r="M11" i="80"/>
  <c r="L11" i="80"/>
  <c r="N35" i="81"/>
  <c r="N9" i="82"/>
  <c r="M20" i="80"/>
  <c r="L20" i="80"/>
  <c r="N30" i="82"/>
  <c r="L18" i="76"/>
  <c r="K18" i="76"/>
  <c r="L27" i="77"/>
  <c r="K27" i="77"/>
  <c r="N39" i="83"/>
  <c r="N29" i="81"/>
  <c r="N5" i="82"/>
  <c r="L25" i="78"/>
  <c r="K25" i="78"/>
  <c r="N24" i="82"/>
  <c r="N10" i="83"/>
  <c r="L21" i="77"/>
  <c r="K21" i="77"/>
  <c r="N28" i="84"/>
  <c r="N17" i="81"/>
  <c r="N15" i="85"/>
  <c r="N26" i="83"/>
  <c r="L23" i="77"/>
  <c r="K23" i="77"/>
  <c r="N22" i="82"/>
  <c r="N34" i="85"/>
  <c r="N32" i="83"/>
  <c r="L31" i="78"/>
  <c r="K31" i="78"/>
  <c r="L11" i="76"/>
  <c r="K11" i="76"/>
  <c r="N10" i="85"/>
  <c r="L21" i="76"/>
  <c r="K21" i="76"/>
  <c r="N28" i="85"/>
  <c r="N17" i="83"/>
  <c r="K15" i="78"/>
  <c r="L15" i="78"/>
  <c r="M26" i="80"/>
  <c r="L26" i="80"/>
  <c r="N23" i="85"/>
  <c r="N22" i="83"/>
  <c r="M34" i="80"/>
  <c r="L34" i="80"/>
  <c r="M32" i="80"/>
  <c r="L32" i="80"/>
  <c r="Q75" i="34"/>
  <c r="Q76" i="34"/>
  <c r="I40" i="87"/>
  <c r="J40" i="88"/>
  <c r="K40" i="88" s="1"/>
  <c r="P40" i="90"/>
  <c r="Q40" i="90" s="1"/>
  <c r="L40" i="89"/>
  <c r="M40" i="89" s="1"/>
  <c r="J40" i="77"/>
  <c r="K40" i="77" s="1"/>
  <c r="L40" i="86"/>
  <c r="M40" i="86" s="1"/>
  <c r="K40" i="80"/>
  <c r="L40" i="80" s="1"/>
  <c r="L40" i="85"/>
  <c r="M40" i="85" s="1"/>
  <c r="J40" i="78"/>
  <c r="K40" i="78" s="1"/>
  <c r="L40" i="82"/>
  <c r="M40" i="82" s="1"/>
  <c r="L40" i="84"/>
  <c r="M40" i="84" s="1"/>
  <c r="L40" i="2"/>
  <c r="L40" i="83"/>
  <c r="M40" i="83" s="1"/>
  <c r="J40" i="76"/>
  <c r="K40" i="76" s="1"/>
  <c r="L40" i="81"/>
  <c r="M40" i="81" s="1"/>
  <c r="J40" i="87"/>
  <c r="K40" i="87" s="1"/>
  <c r="J40" i="79"/>
  <c r="K40" i="79" s="1"/>
  <c r="F40" i="83"/>
  <c r="F41" i="74"/>
  <c r="E40" i="78"/>
  <c r="E40" i="77"/>
  <c r="F40" i="84"/>
  <c r="F40" i="82"/>
  <c r="F41" i="72"/>
  <c r="F40" i="81"/>
  <c r="E41" i="66"/>
  <c r="E41" i="69"/>
  <c r="E40" i="76"/>
  <c r="E40" i="79"/>
  <c r="E41" i="65"/>
  <c r="F41" i="75"/>
  <c r="F41" i="73"/>
  <c r="F40" i="85"/>
  <c r="F41" i="71"/>
  <c r="E41" i="68"/>
  <c r="F41" i="70"/>
  <c r="F40" i="80"/>
  <c r="E41" i="67"/>
  <c r="F40" i="86"/>
  <c r="I40" i="2"/>
  <c r="Q34" i="34"/>
  <c r="T34" i="34" s="1"/>
  <c r="F1" i="34"/>
  <c r="G1" i="34" s="1"/>
  <c r="H1" i="34" s="1"/>
  <c r="I1" i="34" s="1"/>
  <c r="J1" i="34" s="1"/>
  <c r="K1" i="34" s="1"/>
  <c r="L1" i="34" s="1"/>
  <c r="M1" i="34" s="1"/>
  <c r="N1" i="34" s="1"/>
  <c r="O1" i="34" s="1"/>
  <c r="P1" i="34" s="1"/>
  <c r="N49" i="86" l="1"/>
  <c r="M49" i="86"/>
  <c r="N50" i="86"/>
  <c r="M50" i="86"/>
  <c r="F19" i="86"/>
  <c r="F41" i="86" s="1"/>
  <c r="F42" i="86" s="1"/>
  <c r="F45" i="86"/>
  <c r="N46" i="86"/>
  <c r="M46" i="86"/>
  <c r="F19" i="81"/>
  <c r="F41" i="81" s="1"/>
  <c r="E71" i="34"/>
  <c r="P71" i="34"/>
  <c r="H71" i="34"/>
  <c r="O71" i="34"/>
  <c r="I71" i="34"/>
  <c r="N71" i="34"/>
  <c r="J71" i="34"/>
  <c r="G71" i="34"/>
  <c r="M71" i="34"/>
  <c r="L71" i="34"/>
  <c r="K71" i="34"/>
  <c r="F71" i="34"/>
  <c r="F41" i="89"/>
  <c r="F43" i="89" s="1"/>
  <c r="E41" i="87"/>
  <c r="E42" i="87" s="1"/>
  <c r="E41" i="88"/>
  <c r="F41" i="90"/>
  <c r="J42" i="88"/>
  <c r="L42" i="89"/>
  <c r="L40" i="78"/>
  <c r="J42" i="87"/>
  <c r="N40" i="81"/>
  <c r="N40" i="82"/>
  <c r="K42" i="80"/>
  <c r="L42" i="83"/>
  <c r="J42" i="76"/>
  <c r="L42" i="82"/>
  <c r="L42" i="85"/>
  <c r="L40" i="76"/>
  <c r="L40" i="79"/>
  <c r="N40" i="83"/>
  <c r="L42" i="81"/>
  <c r="J42" i="79"/>
  <c r="L40" i="77"/>
  <c r="N40" i="84"/>
  <c r="N40" i="86"/>
  <c r="J42" i="77"/>
  <c r="M40" i="80"/>
  <c r="L40" i="87"/>
  <c r="N40" i="85"/>
  <c r="L42" i="84"/>
  <c r="J42" i="78"/>
  <c r="F43" i="73"/>
  <c r="F42" i="73"/>
  <c r="E41" i="77"/>
  <c r="E42" i="77" s="1"/>
  <c r="F43" i="74"/>
  <c r="F42" i="74"/>
  <c r="F41" i="83"/>
  <c r="I40" i="78"/>
  <c r="J40" i="86"/>
  <c r="F42" i="72"/>
  <c r="J40" i="83"/>
  <c r="J40" i="82"/>
  <c r="J40" i="85"/>
  <c r="F41" i="85"/>
  <c r="F42" i="85" s="1"/>
  <c r="E41" i="76"/>
  <c r="E43" i="66"/>
  <c r="E42" i="66"/>
  <c r="F42" i="71"/>
  <c r="I40" i="79"/>
  <c r="J40" i="80"/>
  <c r="F41" i="80"/>
  <c r="F42" i="80" s="1"/>
  <c r="F41" i="82"/>
  <c r="F42" i="82" s="1"/>
  <c r="J40" i="81"/>
  <c r="E41" i="79"/>
  <c r="E42" i="79" s="1"/>
  <c r="F43" i="75"/>
  <c r="F42" i="75"/>
  <c r="J40" i="84"/>
  <c r="E42" i="65"/>
  <c r="E43" i="65"/>
  <c r="F41" i="84"/>
  <c r="E41" i="78"/>
  <c r="E42" i="78" s="1"/>
  <c r="E43" i="68"/>
  <c r="E42" i="68"/>
  <c r="I40" i="77"/>
  <c r="E43" i="67"/>
  <c r="E42" i="67"/>
  <c r="F43" i="70"/>
  <c r="F42" i="70"/>
  <c r="E43" i="69"/>
  <c r="E42" i="69"/>
  <c r="I40" i="76"/>
  <c r="Q35" i="34"/>
  <c r="T35" i="34" s="1"/>
  <c r="Q36" i="34"/>
  <c r="T36" i="34" s="1"/>
  <c r="Q33" i="34"/>
  <c r="T33" i="34" s="1"/>
  <c r="Q32" i="34"/>
  <c r="T32" i="34" s="1"/>
  <c r="Q31" i="34"/>
  <c r="T31" i="34" s="1"/>
  <c r="Q30" i="34"/>
  <c r="T30" i="34" s="1"/>
  <c r="Q29" i="34"/>
  <c r="T29" i="34" s="1"/>
  <c r="Q28" i="34"/>
  <c r="Q27" i="34"/>
  <c r="Q26" i="34"/>
  <c r="Q25" i="34"/>
  <c r="Q24" i="34"/>
  <c r="Q23" i="34"/>
  <c r="F47" i="86" l="1"/>
  <c r="F51" i="86" s="1"/>
  <c r="F42" i="81"/>
  <c r="Q71" i="34"/>
  <c r="E62" i="34"/>
  <c r="P62" i="34"/>
  <c r="H62" i="34"/>
  <c r="O62" i="34"/>
  <c r="I62" i="34"/>
  <c r="N62" i="34"/>
  <c r="J62" i="34"/>
  <c r="M62" i="34"/>
  <c r="G62" i="34"/>
  <c r="L62" i="34"/>
  <c r="K62" i="34"/>
  <c r="F62" i="34"/>
  <c r="E66" i="34"/>
  <c r="P66" i="34"/>
  <c r="H66" i="34"/>
  <c r="O66" i="34"/>
  <c r="I66" i="34"/>
  <c r="N66" i="34"/>
  <c r="J66" i="34"/>
  <c r="M66" i="34"/>
  <c r="G66" i="34"/>
  <c r="L66" i="34"/>
  <c r="K66" i="34"/>
  <c r="F66" i="34"/>
  <c r="E68" i="34"/>
  <c r="P68" i="34"/>
  <c r="H68" i="34"/>
  <c r="O68" i="34"/>
  <c r="I68" i="34"/>
  <c r="N68" i="34"/>
  <c r="J68" i="34"/>
  <c r="M68" i="34"/>
  <c r="L68" i="34"/>
  <c r="G68" i="34"/>
  <c r="K68" i="34"/>
  <c r="F68" i="34"/>
  <c r="E65" i="34"/>
  <c r="P65" i="34"/>
  <c r="I65" i="34"/>
  <c r="H65" i="34"/>
  <c r="O65" i="34"/>
  <c r="N65" i="34"/>
  <c r="J65" i="34"/>
  <c r="M65" i="34"/>
  <c r="L65" i="34"/>
  <c r="K65" i="34"/>
  <c r="F65" i="34"/>
  <c r="G65" i="34"/>
  <c r="E64" i="34"/>
  <c r="P64" i="34"/>
  <c r="H64" i="34"/>
  <c r="O64" i="34"/>
  <c r="I64" i="34"/>
  <c r="N64" i="34"/>
  <c r="J64" i="34"/>
  <c r="M64" i="34"/>
  <c r="L64" i="34"/>
  <c r="G64" i="34"/>
  <c r="K64" i="34"/>
  <c r="F64" i="34"/>
  <c r="E70" i="34"/>
  <c r="P70" i="34"/>
  <c r="H70" i="34"/>
  <c r="O70" i="34"/>
  <c r="I70" i="34"/>
  <c r="N70" i="34"/>
  <c r="J70" i="34"/>
  <c r="M70" i="34"/>
  <c r="L70" i="34"/>
  <c r="G70" i="34"/>
  <c r="K70" i="34"/>
  <c r="F70" i="34"/>
  <c r="E63" i="34"/>
  <c r="P63" i="34"/>
  <c r="H63" i="34"/>
  <c r="O63" i="34"/>
  <c r="I63" i="34"/>
  <c r="N63" i="34"/>
  <c r="J63" i="34"/>
  <c r="M63" i="34"/>
  <c r="L63" i="34"/>
  <c r="K63" i="34"/>
  <c r="G63" i="34"/>
  <c r="F63" i="34"/>
  <c r="E59" i="34"/>
  <c r="P59" i="34"/>
  <c r="H59" i="34"/>
  <c r="O59" i="34"/>
  <c r="I59" i="34"/>
  <c r="N59" i="34"/>
  <c r="J59" i="34"/>
  <c r="M59" i="34"/>
  <c r="G59" i="34"/>
  <c r="L59" i="34"/>
  <c r="K59" i="34"/>
  <c r="F59" i="34"/>
  <c r="E61" i="34"/>
  <c r="P61" i="34"/>
  <c r="I61" i="34"/>
  <c r="O61" i="34"/>
  <c r="N61" i="34"/>
  <c r="J61" i="34"/>
  <c r="M61" i="34"/>
  <c r="L61" i="34"/>
  <c r="G61" i="34"/>
  <c r="K61" i="34"/>
  <c r="H61" i="34"/>
  <c r="F61" i="34"/>
  <c r="E67" i="34"/>
  <c r="P67" i="34"/>
  <c r="H67" i="34"/>
  <c r="O67" i="34"/>
  <c r="I67" i="34"/>
  <c r="N67" i="34"/>
  <c r="J67" i="34"/>
  <c r="M67" i="34"/>
  <c r="L67" i="34"/>
  <c r="G67" i="34"/>
  <c r="K67" i="34"/>
  <c r="F67" i="34"/>
  <c r="E69" i="34"/>
  <c r="P69" i="34"/>
  <c r="H69" i="34"/>
  <c r="O69" i="34"/>
  <c r="I69" i="34"/>
  <c r="N69" i="34"/>
  <c r="J69" i="34"/>
  <c r="M69" i="34"/>
  <c r="L69" i="34"/>
  <c r="G69" i="34"/>
  <c r="K69" i="34"/>
  <c r="F69" i="34"/>
  <c r="E73" i="34"/>
  <c r="P73" i="34"/>
  <c r="H73" i="34"/>
  <c r="O73" i="34"/>
  <c r="I73" i="34"/>
  <c r="N73" i="34"/>
  <c r="J73" i="34"/>
  <c r="M73" i="34"/>
  <c r="L73" i="34"/>
  <c r="G73" i="34"/>
  <c r="K73" i="34"/>
  <c r="F73" i="34"/>
  <c r="E60" i="34"/>
  <c r="P60" i="34"/>
  <c r="O60" i="34"/>
  <c r="I60" i="34"/>
  <c r="N60" i="34"/>
  <c r="J60" i="34"/>
  <c r="M60" i="34"/>
  <c r="L60" i="34"/>
  <c r="K60" i="34"/>
  <c r="G60" i="34"/>
  <c r="F60" i="34"/>
  <c r="H60" i="34"/>
  <c r="E72" i="34"/>
  <c r="P72" i="34"/>
  <c r="H72" i="34"/>
  <c r="O72" i="34"/>
  <c r="I72" i="34"/>
  <c r="N72" i="34"/>
  <c r="J72" i="34"/>
  <c r="M72" i="34"/>
  <c r="L72" i="34"/>
  <c r="K72" i="34"/>
  <c r="G72" i="34"/>
  <c r="F72" i="34"/>
  <c r="F42" i="89"/>
  <c r="F43" i="90"/>
  <c r="F42" i="90"/>
  <c r="E43" i="88"/>
  <c r="E42" i="88"/>
  <c r="E42" i="76"/>
  <c r="F42" i="84"/>
  <c r="F42" i="83"/>
  <c r="F2" i="34"/>
  <c r="Q72" i="34" l="1"/>
  <c r="Q73" i="34"/>
  <c r="Q67" i="34"/>
  <c r="Q61" i="34"/>
  <c r="Q59" i="34"/>
  <c r="Q63" i="34"/>
  <c r="Q70" i="34"/>
  <c r="Q64" i="34"/>
  <c r="Q65" i="34"/>
  <c r="Q68" i="34"/>
  <c r="Q66" i="34"/>
  <c r="Q62" i="34"/>
  <c r="Q60" i="34"/>
  <c r="Q69" i="34"/>
  <c r="G2" i="34"/>
  <c r="H2" i="34" s="1"/>
  <c r="L14" i="65" l="1"/>
  <c r="L4" i="65"/>
  <c r="K4" i="65"/>
  <c r="L6" i="65"/>
  <c r="K6" i="65"/>
  <c r="L12" i="65"/>
  <c r="L13" i="65"/>
  <c r="K13" i="65"/>
  <c r="J14" i="76"/>
  <c r="J6" i="76"/>
  <c r="J4" i="76"/>
  <c r="J12" i="76"/>
  <c r="L13" i="84"/>
  <c r="M13" i="84" s="1"/>
  <c r="J13" i="77"/>
  <c r="L13" i="86"/>
  <c r="M13" i="86" s="1"/>
  <c r="J13" i="79"/>
  <c r="L13" i="85"/>
  <c r="M13" i="85" s="1"/>
  <c r="K13" i="80"/>
  <c r="L13" i="82"/>
  <c r="M13" i="82" s="1"/>
  <c r="J13" i="76"/>
  <c r="L13" i="83"/>
  <c r="M13" i="83" s="1"/>
  <c r="J13" i="87"/>
  <c r="L13" i="81"/>
  <c r="M13" i="81" s="1"/>
  <c r="J13" i="78"/>
  <c r="I2" i="34"/>
  <c r="L16" i="65" l="1"/>
  <c r="L19" i="65" s="1"/>
  <c r="J16" i="76"/>
  <c r="J19" i="76" s="1"/>
  <c r="L4" i="67"/>
  <c r="K4" i="67"/>
  <c r="L6" i="67"/>
  <c r="K6" i="67"/>
  <c r="L13" i="78"/>
  <c r="K13" i="78"/>
  <c r="L4" i="76"/>
  <c r="K4" i="76"/>
  <c r="L13" i="87"/>
  <c r="L6" i="76"/>
  <c r="K6" i="76"/>
  <c r="L13" i="76"/>
  <c r="K13" i="76"/>
  <c r="N13" i="82"/>
  <c r="L13" i="79"/>
  <c r="K13" i="79"/>
  <c r="L13" i="77"/>
  <c r="N13" i="84"/>
  <c r="L12" i="76"/>
  <c r="N13" i="81"/>
  <c r="N13" i="83"/>
  <c r="L14" i="76"/>
  <c r="L8" i="66"/>
  <c r="K8" i="66"/>
  <c r="L12" i="66"/>
  <c r="J14" i="77"/>
  <c r="L14" i="66"/>
  <c r="N13" i="85"/>
  <c r="J6" i="77"/>
  <c r="L6" i="66"/>
  <c r="K6" i="66"/>
  <c r="L4" i="66"/>
  <c r="K4" i="66"/>
  <c r="M13" i="80"/>
  <c r="L13" i="80"/>
  <c r="N13" i="86"/>
  <c r="L12" i="67"/>
  <c r="L14" i="67"/>
  <c r="K14" i="67"/>
  <c r="J4" i="78"/>
  <c r="J12" i="78"/>
  <c r="J4" i="87"/>
  <c r="J4" i="77"/>
  <c r="J6" i="78"/>
  <c r="J6" i="87"/>
  <c r="J12" i="87"/>
  <c r="J14" i="78"/>
  <c r="J14" i="87"/>
  <c r="J8" i="87"/>
  <c r="J8" i="77"/>
  <c r="J8" i="78"/>
  <c r="J12" i="77"/>
  <c r="J2" i="34"/>
  <c r="L16" i="76" l="1"/>
  <c r="L19" i="76" s="1"/>
  <c r="J16" i="78"/>
  <c r="J19" i="78" s="1"/>
  <c r="L16" i="66"/>
  <c r="L19" i="66" s="1"/>
  <c r="L16" i="67"/>
  <c r="L19" i="67" s="1"/>
  <c r="J16" i="77"/>
  <c r="J19" i="77" s="1"/>
  <c r="J16" i="87"/>
  <c r="J19" i="87" s="1"/>
  <c r="L12" i="87"/>
  <c r="L14" i="77"/>
  <c r="L12" i="77"/>
  <c r="K6" i="87"/>
  <c r="L6" i="87"/>
  <c r="L14" i="68"/>
  <c r="K14" i="68"/>
  <c r="L6" i="78"/>
  <c r="K6" i="78"/>
  <c r="L6" i="68"/>
  <c r="K6" i="68"/>
  <c r="L4" i="77"/>
  <c r="K4" i="77"/>
  <c r="L14" i="78"/>
  <c r="K14" i="78"/>
  <c r="L4" i="87"/>
  <c r="K4" i="87"/>
  <c r="L8" i="68"/>
  <c r="K8" i="68"/>
  <c r="L4" i="78"/>
  <c r="K4" i="78"/>
  <c r="L4" i="68"/>
  <c r="K4" i="68"/>
  <c r="L12" i="68"/>
  <c r="L12" i="78"/>
  <c r="L6" i="77"/>
  <c r="K6" i="77"/>
  <c r="L8" i="77"/>
  <c r="K8" i="77"/>
  <c r="L8" i="78"/>
  <c r="K8" i="78"/>
  <c r="K8" i="87"/>
  <c r="L8" i="87"/>
  <c r="L14" i="87"/>
  <c r="J14" i="79"/>
  <c r="J4" i="79"/>
  <c r="J8" i="79"/>
  <c r="J6" i="79"/>
  <c r="K2" i="34"/>
  <c r="L16" i="87" l="1"/>
  <c r="L19" i="87" s="1"/>
  <c r="J16" i="79"/>
  <c r="J19" i="79" s="1"/>
  <c r="L16" i="77"/>
  <c r="L19" i="77" s="1"/>
  <c r="L16" i="68"/>
  <c r="L19" i="68" s="1"/>
  <c r="L16" i="78"/>
  <c r="L19" i="78" s="1"/>
  <c r="J8" i="88"/>
  <c r="L8" i="69"/>
  <c r="K8" i="69"/>
  <c r="L6" i="79"/>
  <c r="K6" i="79"/>
  <c r="L14" i="79"/>
  <c r="K14" i="79"/>
  <c r="J4" i="88"/>
  <c r="L4" i="69"/>
  <c r="K4" i="69"/>
  <c r="L8" i="79"/>
  <c r="K8" i="79"/>
  <c r="L12" i="69"/>
  <c r="L4" i="79"/>
  <c r="K4" i="79"/>
  <c r="J14" i="88"/>
  <c r="L14" i="69"/>
  <c r="K14" i="69"/>
  <c r="L12" i="79"/>
  <c r="L6" i="69"/>
  <c r="K6" i="69"/>
  <c r="K8" i="80"/>
  <c r="J12" i="88"/>
  <c r="K14" i="80"/>
  <c r="K6" i="80"/>
  <c r="K12" i="80"/>
  <c r="J6" i="88"/>
  <c r="K4" i="80"/>
  <c r="L2" i="34"/>
  <c r="K16" i="80" l="1"/>
  <c r="K19" i="80" s="1"/>
  <c r="L16" i="79"/>
  <c r="L19" i="79" s="1"/>
  <c r="L16" i="69"/>
  <c r="L19" i="69" s="1"/>
  <c r="J16" i="88"/>
  <c r="J19" i="88" s="1"/>
  <c r="P14" i="70"/>
  <c r="P6" i="70"/>
  <c r="L4" i="88"/>
  <c r="K4" i="88"/>
  <c r="P4" i="70"/>
  <c r="L6" i="88"/>
  <c r="K6" i="88"/>
  <c r="P8" i="70"/>
  <c r="P12" i="70"/>
  <c r="M12" i="80"/>
  <c r="L14" i="88"/>
  <c r="K14" i="88"/>
  <c r="M14" i="80"/>
  <c r="L14" i="80"/>
  <c r="M8" i="80"/>
  <c r="L8" i="80"/>
  <c r="M4" i="80"/>
  <c r="L4" i="80"/>
  <c r="M6" i="80"/>
  <c r="L6" i="80"/>
  <c r="L12" i="88"/>
  <c r="L8" i="88"/>
  <c r="K8" i="88"/>
  <c r="L12" i="81"/>
  <c r="M12" i="81" s="1"/>
  <c r="L8" i="81"/>
  <c r="M8" i="81" s="1"/>
  <c r="L4" i="81"/>
  <c r="M4" i="81" s="1"/>
  <c r="L14" i="81"/>
  <c r="M14" i="81" s="1"/>
  <c r="L6" i="81"/>
  <c r="M6" i="81" s="1"/>
  <c r="M2" i="34"/>
  <c r="P16" i="70" l="1"/>
  <c r="P19" i="70" s="1"/>
  <c r="M16" i="80"/>
  <c r="M19" i="80" s="1"/>
  <c r="L16" i="81"/>
  <c r="M16" i="81" s="1"/>
  <c r="L16" i="88"/>
  <c r="L19" i="88" s="1"/>
  <c r="L8" i="82"/>
  <c r="M8" i="82" s="1"/>
  <c r="P8" i="71"/>
  <c r="N8" i="81"/>
  <c r="P12" i="71"/>
  <c r="L4" i="82"/>
  <c r="M4" i="82" s="1"/>
  <c r="P4" i="71"/>
  <c r="N4" i="81"/>
  <c r="N12" i="81"/>
  <c r="N6" i="81"/>
  <c r="N14" i="81"/>
  <c r="P14" i="71"/>
  <c r="L6" i="82"/>
  <c r="M6" i="82" s="1"/>
  <c r="P6" i="71"/>
  <c r="L12" i="82"/>
  <c r="M12" i="82" s="1"/>
  <c r="L14" i="82"/>
  <c r="M14" i="82" s="1"/>
  <c r="N2" i="34"/>
  <c r="L19" i="81" l="1"/>
  <c r="M19" i="81" s="1"/>
  <c r="P16" i="71"/>
  <c r="P19" i="71" s="1"/>
  <c r="L16" i="82"/>
  <c r="L19" i="82" s="1"/>
  <c r="N16" i="81"/>
  <c r="N19" i="81" s="1"/>
  <c r="N4" i="82"/>
  <c r="N6" i="82"/>
  <c r="L12" i="89"/>
  <c r="M12" i="89" s="1"/>
  <c r="P12" i="72"/>
  <c r="N12" i="82"/>
  <c r="P8" i="72"/>
  <c r="P14" i="72"/>
  <c r="P6" i="72"/>
  <c r="L4" i="83"/>
  <c r="P4" i="72"/>
  <c r="N14" i="82"/>
  <c r="N8" i="82"/>
  <c r="L6" i="89"/>
  <c r="M6" i="89" s="1"/>
  <c r="L14" i="89"/>
  <c r="M14" i="89" s="1"/>
  <c r="L12" i="83"/>
  <c r="M12" i="83" s="1"/>
  <c r="L8" i="89"/>
  <c r="M8" i="89" s="1"/>
  <c r="L6" i="83"/>
  <c r="M6" i="83" s="1"/>
  <c r="L14" i="83"/>
  <c r="M14" i="83" s="1"/>
  <c r="L8" i="83"/>
  <c r="M8" i="83" s="1"/>
  <c r="L4" i="89"/>
  <c r="M4" i="89" s="1"/>
  <c r="O2" i="34"/>
  <c r="P16" i="72" l="1"/>
  <c r="P19" i="72" s="1"/>
  <c r="L16" i="89"/>
  <c r="L16" i="83"/>
  <c r="N16" i="82"/>
  <c r="N19" i="82" s="1"/>
  <c r="N6" i="89"/>
  <c r="N8" i="83"/>
  <c r="N4" i="89"/>
  <c r="N14" i="83"/>
  <c r="N6" i="83"/>
  <c r="N8" i="89"/>
  <c r="N12" i="83"/>
  <c r="O12" i="73"/>
  <c r="N12" i="89"/>
  <c r="O8" i="73"/>
  <c r="N4" i="83"/>
  <c r="M4" i="83"/>
  <c r="N14" i="89"/>
  <c r="O6" i="73"/>
  <c r="O14" i="73"/>
  <c r="O4" i="73"/>
  <c r="L6" i="84"/>
  <c r="M6" i="84" s="1"/>
  <c r="L14" i="84"/>
  <c r="M14" i="84" s="1"/>
  <c r="L8" i="84"/>
  <c r="M8" i="84" s="1"/>
  <c r="L4" i="84"/>
  <c r="M4" i="84" s="1"/>
  <c r="L12" i="84"/>
  <c r="M12" i="84" s="1"/>
  <c r="P2" i="34"/>
  <c r="L19" i="89" l="1"/>
  <c r="M19" i="89" s="1"/>
  <c r="M16" i="89"/>
  <c r="L19" i="83"/>
  <c r="M19" i="83" s="1"/>
  <c r="M16" i="83"/>
  <c r="N16" i="89"/>
  <c r="N19" i="89" s="1"/>
  <c r="N16" i="83"/>
  <c r="N19" i="83" s="1"/>
  <c r="O16" i="73"/>
  <c r="O19" i="73" s="1"/>
  <c r="L16" i="84"/>
  <c r="N8" i="84"/>
  <c r="O14" i="74"/>
  <c r="N6" i="84"/>
  <c r="N4" i="84"/>
  <c r="N12" i="84"/>
  <c r="L8" i="85"/>
  <c r="M8" i="85" s="1"/>
  <c r="O8" i="74"/>
  <c r="L6" i="85"/>
  <c r="M6" i="85" s="1"/>
  <c r="O6" i="74"/>
  <c r="O12" i="74"/>
  <c r="N14" i="84"/>
  <c r="O4" i="74"/>
  <c r="L12" i="85"/>
  <c r="M12" i="85" s="1"/>
  <c r="L14" i="85"/>
  <c r="M14" i="85" s="1"/>
  <c r="L4" i="85"/>
  <c r="M4" i="85" s="1"/>
  <c r="Q7" i="34"/>
  <c r="Q9" i="34"/>
  <c r="Q11" i="34"/>
  <c r="Q12" i="34"/>
  <c r="Q13" i="34"/>
  <c r="Q15" i="34"/>
  <c r="Q17" i="34"/>
  <c r="L19" i="84" l="1"/>
  <c r="M19" i="84" s="1"/>
  <c r="M16" i="84"/>
  <c r="N16" i="84"/>
  <c r="N19" i="84" s="1"/>
  <c r="L8" i="86"/>
  <c r="M8" i="86" s="1"/>
  <c r="O8" i="75"/>
  <c r="N12" i="85"/>
  <c r="O4" i="75"/>
  <c r="N14" i="85"/>
  <c r="N8" i="85"/>
  <c r="O3" i="74"/>
  <c r="O16" i="74" s="1"/>
  <c r="O19" i="74" s="1"/>
  <c r="O14" i="75"/>
  <c r="Q12" i="90"/>
  <c r="O12" i="75"/>
  <c r="O6" i="75"/>
  <c r="N6" i="85"/>
  <c r="N4" i="85"/>
  <c r="P52" i="34"/>
  <c r="E52" i="34"/>
  <c r="M52" i="34"/>
  <c r="F52" i="34"/>
  <c r="L52" i="34"/>
  <c r="G52" i="34"/>
  <c r="K52" i="34"/>
  <c r="H52" i="34"/>
  <c r="I52" i="34"/>
  <c r="N52" i="34"/>
  <c r="J52" i="34"/>
  <c r="O52" i="34"/>
  <c r="P46" i="34"/>
  <c r="E46" i="34"/>
  <c r="F46" i="34"/>
  <c r="L46" i="34"/>
  <c r="G46" i="34"/>
  <c r="K46" i="34"/>
  <c r="H46" i="34"/>
  <c r="M46" i="34"/>
  <c r="I46" i="34"/>
  <c r="J46" i="34"/>
  <c r="O46" i="34"/>
  <c r="N46" i="34"/>
  <c r="P51" i="34"/>
  <c r="E51" i="34"/>
  <c r="L51" i="34"/>
  <c r="M51" i="34"/>
  <c r="F51" i="34"/>
  <c r="G51" i="34"/>
  <c r="K51" i="34"/>
  <c r="H51" i="34"/>
  <c r="I51" i="34"/>
  <c r="J51" i="34"/>
  <c r="O51" i="34"/>
  <c r="N51" i="34"/>
  <c r="P50" i="34"/>
  <c r="N50" i="34"/>
  <c r="E50" i="34"/>
  <c r="M50" i="34"/>
  <c r="F50" i="34"/>
  <c r="L50" i="34"/>
  <c r="G50" i="34"/>
  <c r="K50" i="34"/>
  <c r="H50" i="34"/>
  <c r="I50" i="34"/>
  <c r="J50" i="34"/>
  <c r="O50" i="34"/>
  <c r="P48" i="34"/>
  <c r="E48" i="34"/>
  <c r="M48" i="34"/>
  <c r="F48" i="34"/>
  <c r="L48" i="34"/>
  <c r="G48" i="34"/>
  <c r="K48" i="34"/>
  <c r="H48" i="34"/>
  <c r="N48" i="34"/>
  <c r="I48" i="34"/>
  <c r="J48" i="34"/>
  <c r="O48" i="34"/>
  <c r="O54" i="34"/>
  <c r="P54" i="34"/>
  <c r="L54" i="34"/>
  <c r="E54" i="34"/>
  <c r="K54" i="34"/>
  <c r="F54" i="34"/>
  <c r="J54" i="34"/>
  <c r="G54" i="34"/>
  <c r="H54" i="34"/>
  <c r="I54" i="34"/>
  <c r="M54" i="34"/>
  <c r="N54" i="34"/>
  <c r="O56" i="34"/>
  <c r="P56" i="34"/>
  <c r="K56" i="34"/>
  <c r="L56" i="34"/>
  <c r="E56" i="34"/>
  <c r="F56" i="34"/>
  <c r="J56" i="34"/>
  <c r="G56" i="34"/>
  <c r="M56" i="34"/>
  <c r="H56" i="34"/>
  <c r="I56" i="34"/>
  <c r="N56" i="34"/>
  <c r="P53" i="34"/>
  <c r="E53" i="34"/>
  <c r="L53" i="34"/>
  <c r="M53" i="34"/>
  <c r="F53" i="34"/>
  <c r="G53" i="34"/>
  <c r="K53" i="34"/>
  <c r="H53" i="34"/>
  <c r="N53" i="34"/>
  <c r="I53" i="34"/>
  <c r="J53" i="34"/>
  <c r="O53" i="34"/>
  <c r="Q14" i="34"/>
  <c r="Q16" i="34"/>
  <c r="Q8" i="90"/>
  <c r="Q8" i="34"/>
  <c r="M14" i="86"/>
  <c r="Q14" i="90"/>
  <c r="Q10" i="34"/>
  <c r="L6" i="86"/>
  <c r="M6" i="86" s="1"/>
  <c r="Q6" i="34"/>
  <c r="Q4" i="90"/>
  <c r="Q3" i="90"/>
  <c r="L3" i="85"/>
  <c r="M3" i="86"/>
  <c r="L12" i="86"/>
  <c r="M12" i="86" s="1"/>
  <c r="L4" i="86"/>
  <c r="M4" i="86" s="1"/>
  <c r="Q6" i="90"/>
  <c r="L16" i="85" l="1"/>
  <c r="M3" i="85"/>
  <c r="P16" i="90"/>
  <c r="O16" i="75"/>
  <c r="O19" i="75" s="1"/>
  <c r="L16" i="86"/>
  <c r="N12" i="86"/>
  <c r="R6" i="90"/>
  <c r="N4" i="86"/>
  <c r="R8" i="90"/>
  <c r="N3" i="86"/>
  <c r="N3" i="85"/>
  <c r="N16" i="85" s="1"/>
  <c r="N19" i="85" s="1"/>
  <c r="R3" i="90"/>
  <c r="R4" i="90"/>
  <c r="N6" i="86"/>
  <c r="R14" i="90"/>
  <c r="N14" i="86"/>
  <c r="R12" i="90"/>
  <c r="N8" i="86"/>
  <c r="P47" i="34"/>
  <c r="E47" i="34"/>
  <c r="L47" i="34"/>
  <c r="M47" i="34"/>
  <c r="F47" i="34"/>
  <c r="G47" i="34"/>
  <c r="K47" i="34"/>
  <c r="H47" i="34"/>
  <c r="I47" i="34"/>
  <c r="J47" i="34"/>
  <c r="N47" i="34"/>
  <c r="O47" i="34"/>
  <c r="Q56" i="34"/>
  <c r="Q52" i="34"/>
  <c r="P45" i="34"/>
  <c r="E45" i="34"/>
  <c r="L45" i="34"/>
  <c r="F45" i="34"/>
  <c r="G45" i="34"/>
  <c r="K45" i="34"/>
  <c r="H45" i="34"/>
  <c r="I45" i="34"/>
  <c r="M45" i="34"/>
  <c r="N45" i="34"/>
  <c r="J45" i="34"/>
  <c r="O45" i="34"/>
  <c r="P49" i="34"/>
  <c r="E49" i="34"/>
  <c r="L49" i="34"/>
  <c r="M49" i="34"/>
  <c r="F49" i="34"/>
  <c r="G49" i="34"/>
  <c r="K49" i="34"/>
  <c r="H49" i="34"/>
  <c r="I49" i="34"/>
  <c r="N49" i="34"/>
  <c r="J49" i="34"/>
  <c r="O49" i="34"/>
  <c r="Q50" i="34"/>
  <c r="Q46" i="34"/>
  <c r="Q51" i="34"/>
  <c r="Q54" i="34"/>
  <c r="Q48" i="34"/>
  <c r="Q53" i="34"/>
  <c r="L19" i="85" l="1"/>
  <c r="M19" i="85" s="1"/>
  <c r="M16" i="85"/>
  <c r="L19" i="86"/>
  <c r="M19" i="86" s="1"/>
  <c r="L45" i="86"/>
  <c r="L47" i="86" s="1"/>
  <c r="M16" i="86"/>
  <c r="P19" i="90"/>
  <c r="Q19" i="90" s="1"/>
  <c r="Q16" i="90"/>
  <c r="N16" i="86"/>
  <c r="N19" i="86" s="1"/>
  <c r="R16" i="90"/>
  <c r="R19" i="90" s="1"/>
  <c r="Q49" i="34"/>
  <c r="Q45" i="34"/>
  <c r="Q47" i="34"/>
  <c r="M47" i="86" l="1"/>
  <c r="L51" i="86"/>
  <c r="N45" i="86"/>
  <c r="M45" i="86"/>
  <c r="E40" i="2"/>
  <c r="N47" i="86" l="1"/>
  <c r="N51" i="86" s="1"/>
  <c r="P53" i="86"/>
  <c r="P52" i="86"/>
  <c r="M51" i="86"/>
  <c r="E41" i="2"/>
  <c r="E43" i="87" s="1"/>
  <c r="E43" i="2" l="1"/>
  <c r="E43" i="78"/>
  <c r="F43" i="80"/>
  <c r="F43" i="85"/>
  <c r="E43" i="77"/>
  <c r="E43" i="76"/>
  <c r="E43" i="79"/>
  <c r="F43" i="83"/>
  <c r="F43" i="84"/>
  <c r="H40" i="34" l="1"/>
  <c r="I40" i="34"/>
  <c r="O40" i="34"/>
  <c r="G40" i="34"/>
  <c r="N40" i="34"/>
  <c r="E40" i="34"/>
  <c r="K40" i="34"/>
  <c r="L40" i="34"/>
  <c r="M40" i="34"/>
  <c r="J40" i="34"/>
  <c r="F40" i="34"/>
  <c r="Q40" i="34"/>
  <c r="T40" i="34" s="1"/>
  <c r="P40" i="34"/>
  <c r="F77" i="34" l="1"/>
  <c r="K77" i="34"/>
  <c r="P77" i="34"/>
  <c r="M77" i="34"/>
  <c r="G77" i="34"/>
  <c r="H77" i="34"/>
  <c r="J77" i="34"/>
  <c r="L77" i="34"/>
  <c r="E77" i="34"/>
  <c r="N77" i="34"/>
  <c r="O77" i="34"/>
  <c r="I77" i="34"/>
  <c r="Q77" i="34" l="1"/>
  <c r="E42" i="2" l="1"/>
  <c r="O41" i="34" l="1"/>
  <c r="N41" i="34"/>
  <c r="M42" i="73" s="1"/>
  <c r="J41" i="34"/>
  <c r="M41" i="34"/>
  <c r="F41" i="34"/>
  <c r="K41" i="34"/>
  <c r="I41" i="34"/>
  <c r="H41" i="34"/>
  <c r="L41" i="34"/>
  <c r="G41" i="34" l="1"/>
  <c r="P41" i="34"/>
  <c r="Q21" i="34" l="1"/>
  <c r="E58" i="34" s="1"/>
  <c r="E41" i="34"/>
  <c r="Q41" i="34" l="1"/>
  <c r="K58" i="34"/>
  <c r="F58" i="34"/>
  <c r="L58" i="34"/>
  <c r="G58" i="34"/>
  <c r="P58" i="34"/>
  <c r="J58" i="34"/>
  <c r="M58" i="34"/>
  <c r="O58" i="34"/>
  <c r="I58" i="34"/>
  <c r="H58" i="34"/>
  <c r="N58" i="34"/>
  <c r="F78" i="34" l="1"/>
  <c r="P78" i="34"/>
  <c r="G78" i="34"/>
  <c r="H78" i="34"/>
  <c r="I78" i="34"/>
  <c r="N78" i="34"/>
  <c r="O78" i="34"/>
  <c r="J78" i="34"/>
  <c r="K78" i="34"/>
  <c r="L78" i="34"/>
  <c r="M78" i="34"/>
  <c r="E78" i="34"/>
  <c r="Q58" i="34"/>
  <c r="Q78" i="34" l="1"/>
  <c r="F6" i="2"/>
  <c r="F16" i="2" s="1"/>
  <c r="F19" i="2" s="1"/>
  <c r="F6" i="76" l="1"/>
  <c r="F16" i="76" s="1"/>
  <c r="F19" i="76" s="1"/>
  <c r="F6" i="78"/>
  <c r="F16" i="78" s="1"/>
  <c r="F19" i="78" s="1"/>
  <c r="G6" i="83"/>
  <c r="G6" i="85"/>
  <c r="G6" i="81"/>
  <c r="F6" i="77"/>
  <c r="F16" i="77" s="1"/>
  <c r="F19" i="77" s="1"/>
  <c r="F6" i="79"/>
  <c r="F16" i="79" s="1"/>
  <c r="F19" i="79" s="1"/>
  <c r="F6" i="87"/>
  <c r="F16" i="87" s="1"/>
  <c r="F19" i="87" s="1"/>
  <c r="G6" i="84"/>
  <c r="G6" i="80"/>
  <c r="G16" i="80" s="1"/>
  <c r="G19" i="80" s="1"/>
  <c r="I6" i="2"/>
  <c r="I16" i="2" s="1"/>
  <c r="I19" i="2" s="1"/>
  <c r="H6" i="2"/>
  <c r="G6" i="82"/>
  <c r="G6" i="86"/>
  <c r="G16" i="84" l="1"/>
  <c r="I6" i="84"/>
  <c r="G16" i="85"/>
  <c r="I6" i="85"/>
  <c r="G16" i="86"/>
  <c r="G45" i="86" s="1"/>
  <c r="G47" i="86" s="1"/>
  <c r="I6" i="86"/>
  <c r="G16" i="83"/>
  <c r="I6" i="83"/>
  <c r="G16" i="82"/>
  <c r="I16" i="82" s="1"/>
  <c r="I6" i="82"/>
  <c r="G16" i="81"/>
  <c r="I6" i="81"/>
  <c r="I6" i="76"/>
  <c r="I16" i="76" s="1"/>
  <c r="I19" i="76" s="1"/>
  <c r="I41" i="76" s="1"/>
  <c r="H6" i="76"/>
  <c r="I6" i="87"/>
  <c r="I16" i="87" s="1"/>
  <c r="I19" i="87" s="1"/>
  <c r="I41" i="87" s="1"/>
  <c r="H6" i="87"/>
  <c r="J6" i="84"/>
  <c r="J16" i="84" s="1"/>
  <c r="J19" i="84" s="1"/>
  <c r="J41" i="84" s="1"/>
  <c r="I6" i="77"/>
  <c r="I16" i="77" s="1"/>
  <c r="I19" i="77" s="1"/>
  <c r="I41" i="77" s="1"/>
  <c r="H6" i="77"/>
  <c r="H6" i="79"/>
  <c r="I6" i="79"/>
  <c r="I16" i="79" s="1"/>
  <c r="I19" i="79" s="1"/>
  <c r="I41" i="79" s="1"/>
  <c r="J6" i="81"/>
  <c r="J16" i="81" s="1"/>
  <c r="J19" i="81" s="1"/>
  <c r="J41" i="81" s="1"/>
  <c r="J6" i="86"/>
  <c r="J16" i="86" s="1"/>
  <c r="J19" i="86" s="1"/>
  <c r="J41" i="86" s="1"/>
  <c r="J6" i="83"/>
  <c r="J16" i="83" s="1"/>
  <c r="J19" i="83" s="1"/>
  <c r="J41" i="83" s="1"/>
  <c r="H6" i="78"/>
  <c r="I6" i="78"/>
  <c r="I16" i="78" s="1"/>
  <c r="I19" i="78" s="1"/>
  <c r="I41" i="78" s="1"/>
  <c r="J6" i="82"/>
  <c r="J16" i="82" s="1"/>
  <c r="J19" i="82" s="1"/>
  <c r="J41" i="82" s="1"/>
  <c r="J6" i="85"/>
  <c r="J16" i="85" s="1"/>
  <c r="J19" i="85" s="1"/>
  <c r="J41" i="85" s="1"/>
  <c r="J6" i="80"/>
  <c r="J16" i="80" s="1"/>
  <c r="J19" i="80" s="1"/>
  <c r="J41" i="80" s="1"/>
  <c r="I6" i="80"/>
  <c r="G41" i="80"/>
  <c r="G42" i="80" s="1"/>
  <c r="F41" i="79"/>
  <c r="F42" i="79" s="1"/>
  <c r="F41" i="87"/>
  <c r="F42" i="87" s="1"/>
  <c r="F41" i="78"/>
  <c r="F42" i="78" s="1"/>
  <c r="F41" i="77"/>
  <c r="F42" i="77" s="1"/>
  <c r="F41" i="76"/>
  <c r="F42" i="76" s="1"/>
  <c r="F41" i="2"/>
  <c r="F42" i="2" s="1"/>
  <c r="I41" i="2"/>
  <c r="J41" i="87"/>
  <c r="L41" i="86"/>
  <c r="L42" i="86" s="1"/>
  <c r="J41" i="78"/>
  <c r="K41" i="80"/>
  <c r="L41" i="81"/>
  <c r="J41" i="79"/>
  <c r="L41" i="82"/>
  <c r="L41" i="83"/>
  <c r="J41" i="2"/>
  <c r="J42" i="2" s="1"/>
  <c r="G41" i="77"/>
  <c r="J41" i="77"/>
  <c r="L41" i="85"/>
  <c r="J41" i="76"/>
  <c r="H41" i="84"/>
  <c r="L41" i="84"/>
  <c r="J41" i="66"/>
  <c r="J42" i="66" s="1"/>
  <c r="L41" i="79"/>
  <c r="L41" i="87"/>
  <c r="N41" i="84"/>
  <c r="H19" i="79"/>
  <c r="G41" i="79"/>
  <c r="K19" i="79"/>
  <c r="J41" i="69"/>
  <c r="J42" i="69" s="1"/>
  <c r="M41" i="70"/>
  <c r="J41" i="68"/>
  <c r="J42" i="68" s="1"/>
  <c r="M41" i="80"/>
  <c r="L41" i="76"/>
  <c r="H19" i="77"/>
  <c r="N41" i="81"/>
  <c r="N41" i="82"/>
  <c r="J41" i="67"/>
  <c r="J42" i="67" s="1"/>
  <c r="M41" i="71"/>
  <c r="H19" i="76"/>
  <c r="L41" i="77"/>
  <c r="N41" i="86"/>
  <c r="L41" i="89"/>
  <c r="G41" i="87"/>
  <c r="H19" i="78"/>
  <c r="J41" i="65"/>
  <c r="J42" i="65" s="1"/>
  <c r="M41" i="72"/>
  <c r="H41" i="82"/>
  <c r="N41" i="85"/>
  <c r="J41" i="88"/>
  <c r="N41" i="83"/>
  <c r="L41" i="78"/>
  <c r="H41" i="80"/>
  <c r="M41" i="74"/>
  <c r="P41" i="90"/>
  <c r="M41" i="75"/>
  <c r="M42" i="75" s="1"/>
  <c r="N42" i="75" s="1"/>
  <c r="L41" i="2"/>
  <c r="R41" i="90"/>
  <c r="L41" i="88"/>
  <c r="N41" i="89"/>
  <c r="L41" i="66"/>
  <c r="O41" i="74"/>
  <c r="L41" i="69"/>
  <c r="O41" i="75"/>
  <c r="L41" i="67"/>
  <c r="L41" i="68"/>
  <c r="P41" i="70"/>
  <c r="P41" i="71"/>
  <c r="P41" i="72"/>
  <c r="L41" i="65"/>
  <c r="O41" i="73"/>
  <c r="I41" i="88"/>
  <c r="J41" i="90"/>
  <c r="J41" i="89"/>
  <c r="K41" i="72"/>
  <c r="I41" i="65"/>
  <c r="K41" i="74"/>
  <c r="K41" i="75"/>
  <c r="I41" i="69"/>
  <c r="K41" i="71"/>
  <c r="I41" i="68"/>
  <c r="I41" i="67"/>
  <c r="K41" i="73"/>
  <c r="I41" i="66"/>
  <c r="K41" i="70"/>
  <c r="F41" i="69"/>
  <c r="F42" i="69" s="1"/>
  <c r="F41" i="65"/>
  <c r="F42" i="65" s="1"/>
  <c r="G41" i="74"/>
  <c r="G41" i="70"/>
  <c r="G42" i="70" s="1"/>
  <c r="G41" i="71"/>
  <c r="F41" i="68"/>
  <c r="F42" i="68" s="1"/>
  <c r="F41" i="66"/>
  <c r="F42" i="66" s="1"/>
  <c r="G41" i="73"/>
  <c r="G41" i="75"/>
  <c r="H19" i="67"/>
  <c r="G41" i="72"/>
  <c r="G41" i="68"/>
  <c r="G42" i="68" s="1"/>
  <c r="H41" i="72"/>
  <c r="G41" i="65"/>
  <c r="G41" i="90"/>
  <c r="F41" i="88"/>
  <c r="F42" i="88" s="1"/>
  <c r="G41" i="89"/>
  <c r="R41" i="89" s="1"/>
  <c r="I16" i="80"/>
  <c r="L16" i="80"/>
  <c r="H16" i="79"/>
  <c r="K16" i="79"/>
  <c r="H16" i="87"/>
  <c r="K16" i="87"/>
  <c r="H16" i="76"/>
  <c r="K16" i="76"/>
  <c r="H16" i="77"/>
  <c r="K16" i="77"/>
  <c r="M16" i="82"/>
  <c r="H16" i="78"/>
  <c r="K16" i="78"/>
  <c r="G41" i="88"/>
  <c r="K19" i="65"/>
  <c r="H41" i="70"/>
  <c r="K19" i="69"/>
  <c r="G41" i="69"/>
  <c r="H19" i="69"/>
  <c r="G41" i="2"/>
  <c r="K16" i="88"/>
  <c r="H16" i="88"/>
  <c r="H41" i="71"/>
  <c r="I41" i="71" s="1"/>
  <c r="H41" i="73"/>
  <c r="K19" i="66"/>
  <c r="N19" i="72"/>
  <c r="K19" i="68"/>
  <c r="H19" i="68"/>
  <c r="H16" i="2"/>
  <c r="K16" i="2"/>
  <c r="K19" i="67"/>
  <c r="J16" i="71"/>
  <c r="H16" i="69"/>
  <c r="K16" i="69"/>
  <c r="K16" i="68"/>
  <c r="H16" i="68"/>
  <c r="H16" i="67"/>
  <c r="K16" i="67"/>
  <c r="K16" i="66"/>
  <c r="H16" i="66"/>
  <c r="H16" i="65"/>
  <c r="K16" i="65"/>
  <c r="J16" i="72"/>
  <c r="N16" i="72"/>
  <c r="G42" i="74" l="1"/>
  <c r="X41" i="74"/>
  <c r="G42" i="75"/>
  <c r="X41" i="75"/>
  <c r="G42" i="73"/>
  <c r="X41" i="73"/>
  <c r="S41" i="73"/>
  <c r="T41" i="73"/>
  <c r="R41" i="73"/>
  <c r="I41" i="73"/>
  <c r="W41" i="73"/>
  <c r="J41" i="73"/>
  <c r="N41" i="73"/>
  <c r="Y41" i="72"/>
  <c r="X41" i="72"/>
  <c r="T41" i="72"/>
  <c r="S41" i="72"/>
  <c r="U41" i="72"/>
  <c r="Q41" i="82"/>
  <c r="R41" i="82"/>
  <c r="I47" i="86"/>
  <c r="G51" i="86"/>
  <c r="I51" i="86" s="1"/>
  <c r="G19" i="85"/>
  <c r="I16" i="85"/>
  <c r="G19" i="84"/>
  <c r="I16" i="84"/>
  <c r="M41" i="84"/>
  <c r="H42" i="84"/>
  <c r="Q41" i="84"/>
  <c r="M42" i="74"/>
  <c r="J45" i="86"/>
  <c r="I45" i="86"/>
  <c r="G42" i="90"/>
  <c r="Q41" i="90"/>
  <c r="G19" i="86"/>
  <c r="I16" i="86"/>
  <c r="G42" i="89"/>
  <c r="R42" i="89" s="1"/>
  <c r="G19" i="83"/>
  <c r="I16" i="83"/>
  <c r="I41" i="72"/>
  <c r="O41" i="72"/>
  <c r="G19" i="82"/>
  <c r="Y41" i="71"/>
  <c r="X41" i="71"/>
  <c r="T41" i="71"/>
  <c r="S41" i="71"/>
  <c r="U41" i="71"/>
  <c r="N41" i="71"/>
  <c r="O41" i="71"/>
  <c r="U41" i="70"/>
  <c r="T41" i="70"/>
  <c r="S41" i="70"/>
  <c r="Y41" i="70"/>
  <c r="Z41" i="70"/>
  <c r="I19" i="70"/>
  <c r="I40" i="70"/>
  <c r="M42" i="70"/>
  <c r="O41" i="70"/>
  <c r="G19" i="81"/>
  <c r="I16" i="81"/>
  <c r="J41" i="70"/>
  <c r="N41" i="70"/>
  <c r="N41" i="72"/>
  <c r="H41" i="65"/>
  <c r="M41" i="82"/>
  <c r="H42" i="82"/>
  <c r="Q42" i="82" s="1"/>
  <c r="H41" i="2"/>
  <c r="K41" i="2"/>
  <c r="G42" i="2"/>
  <c r="K41" i="69"/>
  <c r="H41" i="69"/>
  <c r="G42" i="69"/>
  <c r="H42" i="73"/>
  <c r="H42" i="70"/>
  <c r="H42" i="80"/>
  <c r="L41" i="80"/>
  <c r="I41" i="80"/>
  <c r="K41" i="87"/>
  <c r="H41" i="87"/>
  <c r="G42" i="87"/>
  <c r="K41" i="79"/>
  <c r="H41" i="79"/>
  <c r="G42" i="79"/>
  <c r="J41" i="71"/>
  <c r="H41" i="88"/>
  <c r="G42" i="88"/>
  <c r="K41" i="88"/>
  <c r="K41" i="77"/>
  <c r="H41" i="68"/>
  <c r="H19" i="65"/>
  <c r="H19" i="88"/>
  <c r="K41" i="65"/>
  <c r="K41" i="68"/>
  <c r="K19" i="2"/>
  <c r="H41" i="74"/>
  <c r="K19" i="76"/>
  <c r="G41" i="78"/>
  <c r="G41" i="76"/>
  <c r="J19" i="72"/>
  <c r="J19" i="71"/>
  <c r="H19" i="2"/>
  <c r="K19" i="88"/>
  <c r="H41" i="90"/>
  <c r="J41" i="72"/>
  <c r="H41" i="75"/>
  <c r="K19" i="78"/>
  <c r="G41" i="66"/>
  <c r="F41" i="67"/>
  <c r="F42" i="67" s="1"/>
  <c r="K19" i="77"/>
  <c r="H41" i="83"/>
  <c r="Q41" i="83" s="1"/>
  <c r="H41" i="81"/>
  <c r="H41" i="86"/>
  <c r="H41" i="89"/>
  <c r="Q41" i="89" s="1"/>
  <c r="L19" i="80"/>
  <c r="M19" i="82"/>
  <c r="K19" i="87"/>
  <c r="H41" i="85"/>
  <c r="G42" i="77"/>
  <c r="H19" i="87"/>
  <c r="H41" i="77"/>
  <c r="G41" i="67"/>
  <c r="I19" i="80"/>
  <c r="H19" i="66"/>
  <c r="G42" i="65"/>
  <c r="W41" i="74" l="1"/>
  <c r="S41" i="74"/>
  <c r="T41" i="74"/>
  <c r="R41" i="74"/>
  <c r="H42" i="74"/>
  <c r="W42" i="74" s="1"/>
  <c r="W41" i="75"/>
  <c r="R41" i="75"/>
  <c r="T41" i="75"/>
  <c r="S41" i="75"/>
  <c r="I41" i="90"/>
  <c r="M41" i="90"/>
  <c r="N42" i="74"/>
  <c r="N41" i="74"/>
  <c r="I42" i="73"/>
  <c r="W42" i="73"/>
  <c r="J42" i="73"/>
  <c r="I19" i="84"/>
  <c r="G41" i="84"/>
  <c r="I19" i="85"/>
  <c r="G41" i="85"/>
  <c r="G42" i="85" s="1"/>
  <c r="Q41" i="85"/>
  <c r="M41" i="81"/>
  <c r="Q41" i="81"/>
  <c r="R41" i="81"/>
  <c r="Q42" i="84"/>
  <c r="M42" i="84"/>
  <c r="M41" i="85"/>
  <c r="J47" i="86"/>
  <c r="J51" i="86" s="1"/>
  <c r="M41" i="86"/>
  <c r="Q41" i="86"/>
  <c r="I19" i="86"/>
  <c r="G41" i="86"/>
  <c r="G42" i="86" s="1"/>
  <c r="N41" i="75"/>
  <c r="J41" i="75"/>
  <c r="I41" i="75"/>
  <c r="J41" i="74"/>
  <c r="I41" i="74"/>
  <c r="M41" i="89"/>
  <c r="I41" i="89"/>
  <c r="M41" i="83"/>
  <c r="I19" i="83"/>
  <c r="G41" i="83"/>
  <c r="G42" i="83" s="1"/>
  <c r="I19" i="82"/>
  <c r="G41" i="82"/>
  <c r="I19" i="81"/>
  <c r="G41" i="81"/>
  <c r="G42" i="81" s="1"/>
  <c r="H41" i="76"/>
  <c r="G42" i="76"/>
  <c r="K41" i="76"/>
  <c r="H41" i="78"/>
  <c r="K41" i="78"/>
  <c r="G42" i="78"/>
  <c r="K41" i="66"/>
  <c r="H41" i="66"/>
  <c r="G42" i="66"/>
  <c r="H42" i="85"/>
  <c r="H42" i="89"/>
  <c r="H42" i="90"/>
  <c r="I42" i="90" s="1"/>
  <c r="H42" i="81"/>
  <c r="R42" i="81" s="1"/>
  <c r="K41" i="67"/>
  <c r="H41" i="67"/>
  <c r="G42" i="67"/>
  <c r="H42" i="86"/>
  <c r="H42" i="83"/>
  <c r="I41" i="85" l="1"/>
  <c r="I41" i="84"/>
  <c r="G42" i="84"/>
  <c r="I42" i="84" s="1"/>
  <c r="I42" i="89"/>
  <c r="Q42" i="89"/>
  <c r="Q42" i="85"/>
  <c r="I42" i="85"/>
  <c r="M42" i="83"/>
  <c r="Q42" i="83"/>
  <c r="M42" i="86"/>
  <c r="Q42" i="86"/>
  <c r="I42" i="86"/>
  <c r="I41" i="86"/>
  <c r="J42" i="74"/>
  <c r="I42" i="74"/>
  <c r="I41" i="83"/>
  <c r="G42" i="82"/>
  <c r="I41" i="82"/>
  <c r="I41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</author>
  </authors>
  <commentList>
    <comment ref="G13" authorId="0" shapeId="0" xr:uid="{0ADC2B65-BD8A-4D96-986C-2474A0DDB674}">
      <text>
        <r>
          <rPr>
            <b/>
            <sz val="9"/>
            <color indexed="81"/>
            <rFont val="Tahoma"/>
            <family val="2"/>
          </rPr>
          <t>Isa:</t>
        </r>
        <r>
          <rPr>
            <sz val="9"/>
            <color indexed="81"/>
            <rFont val="Tahoma"/>
            <family val="2"/>
          </rPr>
          <t xml:space="preserve">
חנויות ספורט</t>
        </r>
      </text>
    </comment>
  </commentList>
</comments>
</file>

<file path=xl/sharedStrings.xml><?xml version="1.0" encoding="utf-8"?>
<sst xmlns="http://schemas.openxmlformats.org/spreadsheetml/2006/main" count="6764" uniqueCount="2360">
  <si>
    <t>סופרפארם</t>
  </si>
  <si>
    <t>סופר פארם לייף</t>
  </si>
  <si>
    <t>כללית</t>
  </si>
  <si>
    <t>בתי מרקחת</t>
  </si>
  <si>
    <t>מכוני אורטופדיה</t>
  </si>
  <si>
    <t>מאוחדת</t>
  </si>
  <si>
    <t>לקוחות מפעל</t>
  </si>
  <si>
    <t>לקוחות אינטרנט</t>
  </si>
  <si>
    <t>מכוני פדיקור</t>
  </si>
  <si>
    <t>חנויות ספורט</t>
  </si>
  <si>
    <t>ארץ</t>
  </si>
  <si>
    <t>REMEDICARE B.V.</t>
  </si>
  <si>
    <t>HOLLAND</t>
  </si>
  <si>
    <t>SUPER PHARM POLAND</t>
  </si>
  <si>
    <t>SANAFLEX ANATOMIC</t>
  </si>
  <si>
    <t>GREECE</t>
  </si>
  <si>
    <t>ORTOPROFIL PROD. ROMANIA</t>
  </si>
  <si>
    <t>ROMANIA</t>
  </si>
  <si>
    <t>ORTHO- PARTNER AG.</t>
  </si>
  <si>
    <t>SWITZERLAND</t>
  </si>
  <si>
    <t>SALUS</t>
  </si>
  <si>
    <t>HUNGARY</t>
  </si>
  <si>
    <t>MEDIPAL COMPANY</t>
  </si>
  <si>
    <t>NABLUS</t>
  </si>
  <si>
    <t>HEALTH CARE PROD. GMBH</t>
  </si>
  <si>
    <t>GERMANY</t>
  </si>
  <si>
    <t>MAX KONNARIS LTD</t>
  </si>
  <si>
    <t>ORTHOMED  LTD</t>
  </si>
  <si>
    <t>CYPRUS</t>
  </si>
  <si>
    <t>OY. EA. AB.</t>
  </si>
  <si>
    <t>FINLAND</t>
  </si>
  <si>
    <t>E.F.M.O.</t>
  </si>
  <si>
    <t>PHARMAG LACHMAIR GES. MBH</t>
  </si>
  <si>
    <t>AUSTRIA</t>
  </si>
  <si>
    <t>SEVEN GEAR</t>
  </si>
  <si>
    <t>YOUNG IN HEALTHCARE CO.,</t>
  </si>
  <si>
    <t>KOREA</t>
  </si>
  <si>
    <t>QUADRIFOGLIO MEDICAL</t>
  </si>
  <si>
    <t>USA</t>
  </si>
  <si>
    <t>POLAND</t>
  </si>
  <si>
    <t>ISRAEL</t>
  </si>
  <si>
    <t>סה"כ ישראל</t>
  </si>
  <si>
    <t>סה"כ חו"ל</t>
  </si>
  <si>
    <t>אחוז מכירות חו"ל מסה"כ מכירות</t>
  </si>
  <si>
    <t>BE</t>
  </si>
  <si>
    <t>בתי חולים ושרות</t>
  </si>
  <si>
    <t>BULGARIA</t>
  </si>
  <si>
    <t>AMAZON</t>
  </si>
  <si>
    <t>MALTA</t>
  </si>
  <si>
    <t>SPAIN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</si>
  <si>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</si>
  <si>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</si>
  <si>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</si>
  <si>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</si>
  <si>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</si>
  <si>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</si>
  <si>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</si>
  <si>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</si>
  <si>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</si>
  <si>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</si>
  <si>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ינואר</t>
  </si>
  <si>
    <t>פברואר</t>
  </si>
  <si>
    <t>שנתי</t>
  </si>
  <si>
    <t>מצטבר</t>
  </si>
  <si>
    <t xml:space="preserve">סה"כ </t>
  </si>
  <si>
    <t>סופר פארם מרקט פלייס</t>
  </si>
  <si>
    <t>חנויות פרטיות</t>
  </si>
  <si>
    <t>תקציב</t>
  </si>
  <si>
    <t>% מול תקציב</t>
  </si>
  <si>
    <t xml:space="preserve">סה"כ מכירות </t>
  </si>
  <si>
    <t>HANS</t>
  </si>
  <si>
    <t>₪ מול תקציב</t>
  </si>
  <si>
    <t>בתי מרקחת כמיפל</t>
  </si>
  <si>
    <t>מכוני פיזיותרפיה</t>
  </si>
  <si>
    <t>Total - 301 - Amazon</t>
  </si>
  <si>
    <t>Total - 202 - Super-Pharm POLAND</t>
  </si>
  <si>
    <t>Total - 201- Seven Gear FINLAND oy</t>
  </si>
  <si>
    <t>Total - 216 - Max Konnaris CYPRUS</t>
  </si>
  <si>
    <t>Total - 205 - Health Care Prod. Gmbh GERMANY</t>
  </si>
  <si>
    <t>Total - 206 - Orthomed  Ltd BULGARIA</t>
  </si>
  <si>
    <t>Total - 203 - Ortho- Partner ag SWITZERLAND</t>
  </si>
  <si>
    <t>Total - 210 - Oy. Ea. Ab. FINLAND</t>
  </si>
  <si>
    <t>Total - 204 - Sanaflex Anatomic GREECE</t>
  </si>
  <si>
    <t>Total - 214 - Alfred Gera&amp; Sons Ltd. MALTA</t>
  </si>
  <si>
    <t>ALFRED GERA</t>
  </si>
  <si>
    <t>211 - Pharmag Lachmair Ges. Mbh AUSTRIA</t>
  </si>
  <si>
    <t>Total - 213 - E.f.m.o. SPAIN</t>
  </si>
  <si>
    <t>Total - 207 - Salus HUNGARY</t>
  </si>
  <si>
    <t>Total - 208 - Medipal Company NABLUS</t>
  </si>
  <si>
    <t>Total - 209 - Ortoprofil Prod ROMANIA</t>
  </si>
  <si>
    <t>New Distributors</t>
  </si>
  <si>
    <t>NEW DISTRIBUTORS</t>
  </si>
  <si>
    <t>301 - Amazon</t>
  </si>
  <si>
    <t>202 - Super-Pharm POLAND</t>
  </si>
  <si>
    <t>203 - Ortho- Partner ag SWITZERLAND</t>
  </si>
  <si>
    <t>204 - Sanaflex Anatomic GREECE</t>
  </si>
  <si>
    <t>205 - Health Care Prod. Gmbh GERMANY</t>
  </si>
  <si>
    <t>206 - Orthomed  Ltd BULGARIA</t>
  </si>
  <si>
    <t>207 - Salus HUNGARY</t>
  </si>
  <si>
    <t>216 - Max Konnaris CYPRUS</t>
  </si>
  <si>
    <t>208 - Medipal Company NABLUS</t>
  </si>
  <si>
    <t>209 - Ortoprofil Prod ROMANIA</t>
  </si>
  <si>
    <t>210 - Oy. Ea. Ab. FINLAND</t>
  </si>
  <si>
    <t>201- Seven Gear FINLAND oy</t>
  </si>
  <si>
    <t>213 - E.f.m.o. SPAIN</t>
  </si>
  <si>
    <t>214 - Alfred Gera&amp; Sons Ltd. MALTA</t>
  </si>
  <si>
    <t>Total</t>
  </si>
  <si>
    <t>212 - Quadrifoglio Medical ROMANIA</t>
  </si>
  <si>
    <t>215 - Young In Healthcare Co. SOUTH KOREA</t>
  </si>
  <si>
    <t>200 - ROW : 217 - N3W FOODS USA</t>
  </si>
  <si>
    <t>115-SuperPharm Online</t>
  </si>
  <si>
    <t>114 - IL online</t>
  </si>
  <si>
    <t>112 - Kupat Holim Clalit</t>
  </si>
  <si>
    <t>113 - Kupat Holim Meuhedet</t>
  </si>
  <si>
    <t>106 - Hospitals</t>
  </si>
  <si>
    <t>111 - Superpharm Life</t>
  </si>
  <si>
    <t>105 - Pedicure Salons</t>
  </si>
  <si>
    <t>109 - Private Shops</t>
  </si>
  <si>
    <t>103 - Physiotherapy institutes</t>
  </si>
  <si>
    <t>104 - Sports Shop</t>
  </si>
  <si>
    <t>101 - Factory customers</t>
  </si>
  <si>
    <t>102 - Orthopedic institutes</t>
  </si>
  <si>
    <t>Sales</t>
  </si>
  <si>
    <t> </t>
  </si>
  <si>
    <t>December 2024</t>
  </si>
  <si>
    <t>November 2024</t>
  </si>
  <si>
    <t>October 2024</t>
  </si>
  <si>
    <t>June 2024</t>
  </si>
  <si>
    <t>May 2024</t>
  </si>
  <si>
    <t>April 2024</t>
  </si>
  <si>
    <t>March 2024</t>
  </si>
  <si>
    <t>February 2024</t>
  </si>
  <si>
    <t>January 2024</t>
  </si>
  <si>
    <t>Customer</t>
  </si>
  <si>
    <t>110 - Chemipal</t>
  </si>
  <si>
    <t>- Unassigned -</t>
  </si>
  <si>
    <t>107 - Pharmacies</t>
  </si>
  <si>
    <t>1-2.2024</t>
  </si>
  <si>
    <t>1-3.2024</t>
  </si>
  <si>
    <t>1-4.2024</t>
  </si>
  <si>
    <t>1-5.2024</t>
  </si>
  <si>
    <t>1-6.2024</t>
  </si>
  <si>
    <t>1-7.2024</t>
  </si>
  <si>
    <t>1-8.2024</t>
  </si>
  <si>
    <t>1-9.2024</t>
  </si>
  <si>
    <t>1-10.2024</t>
  </si>
  <si>
    <t>1-11.2024</t>
  </si>
  <si>
    <t>1-12.2024</t>
  </si>
  <si>
    <t>4-6.2024</t>
  </si>
  <si>
    <t>7-9.2024</t>
  </si>
  <si>
    <t>10-12.2024</t>
  </si>
  <si>
    <t>חנויות נעליים</t>
  </si>
  <si>
    <t>מצטבר פברואר</t>
  </si>
  <si>
    <t>מצטבר מרץ</t>
  </si>
  <si>
    <t>מצטבר אפריל</t>
  </si>
  <si>
    <t>מצטבר מאי</t>
  </si>
  <si>
    <t>מצטבר יוני</t>
  </si>
  <si>
    <t>מצטבר יולי</t>
  </si>
  <si>
    <t>מצטבר אוגוסט</t>
  </si>
  <si>
    <t>מצטבר ספטמבר</t>
  </si>
  <si>
    <t>מצטבר אוקטובר</t>
  </si>
  <si>
    <t>מצטבר נובמבר</t>
  </si>
  <si>
    <t>מצטבר דצמבר</t>
  </si>
  <si>
    <t>108 - Shoe Stores</t>
  </si>
  <si>
    <t>דוח מכירות ינואר 2026</t>
  </si>
  <si>
    <t>דוח מכירות Q4-2026</t>
  </si>
  <si>
    <t>דוח מכירות מצטבר דצמבר 2026</t>
  </si>
  <si>
    <t>דוח מכירות דצמבר 2026</t>
  </si>
  <si>
    <t>דוח מכירות מצטבר נובמבר 2026</t>
  </si>
  <si>
    <t>דוח מכירות נובמבר 2026</t>
  </si>
  <si>
    <t>דוח מכירות מצטבר אוקטובר 2026</t>
  </si>
  <si>
    <t>דוח מכירות אוקטובר 2026</t>
  </si>
  <si>
    <t>דוח מכירות Q3-2026</t>
  </si>
  <si>
    <t>דוח מכירות מצטבר ספטמבר 2026</t>
  </si>
  <si>
    <t>דוח מכירות ספטמבר 2026</t>
  </si>
  <si>
    <t>דוח מכירות מצטבר אוגוסט 2026</t>
  </si>
  <si>
    <t>דוח מכירות אוגוסט 2026</t>
  </si>
  <si>
    <t>דוח מכירות מצטבר יולי 2026</t>
  </si>
  <si>
    <t>דוח מכירות יולי 2026</t>
  </si>
  <si>
    <t>דוח מכירות Q2-2026</t>
  </si>
  <si>
    <t>דוח מכירות מצטבר יוני 2026</t>
  </si>
  <si>
    <t>דוח מכירות יוני 2026</t>
  </si>
  <si>
    <t>דוח מכירות מצטבר מאי 2026</t>
  </si>
  <si>
    <t>דוח מכירות מאי 2026</t>
  </si>
  <si>
    <t>דוח מכירות מצטבר אפריל 2026</t>
  </si>
  <si>
    <t>דוח מכירות אפריל 2026</t>
  </si>
  <si>
    <t>דוח מכירות Q1-2026</t>
  </si>
  <si>
    <t>דוח מכירות מצטבר מרץ 2026</t>
  </si>
  <si>
    <t>דוח מכירות מרץ 2026</t>
  </si>
  <si>
    <t>דוח מכירות מצטבר פברואר 2026</t>
  </si>
  <si>
    <t>דוח מכירות פברואר 2026</t>
  </si>
  <si>
    <t>אחוז מול 2025</t>
  </si>
  <si>
    <t xml:space="preserve">כספי מול 2025  </t>
  </si>
  <si>
    <t>10-12.2025</t>
  </si>
  <si>
    <t>1-12.2025</t>
  </si>
  <si>
    <t>1-11.2025</t>
  </si>
  <si>
    <t>1-10.2025</t>
  </si>
  <si>
    <t>7-9.2025</t>
  </si>
  <si>
    <t>1-9.2025</t>
  </si>
  <si>
    <t>1-8.2025</t>
  </si>
  <si>
    <t>1-7.2025</t>
  </si>
  <si>
    <t>4-6.2025</t>
  </si>
  <si>
    <t>1-6.2025</t>
  </si>
  <si>
    <t>1-5.2025</t>
  </si>
  <si>
    <t>1-4.2025</t>
  </si>
  <si>
    <t>1-3.2025</t>
  </si>
  <si>
    <t>1-2.2025</t>
  </si>
  <si>
    <t>10-12.2026</t>
  </si>
  <si>
    <t>1-12.2026</t>
  </si>
  <si>
    <t>1-11.2026</t>
  </si>
  <si>
    <t>1-10.2026</t>
  </si>
  <si>
    <t>7-9.2026</t>
  </si>
  <si>
    <t>1-9.2026</t>
  </si>
  <si>
    <t>1-8.2026</t>
  </si>
  <si>
    <t>1-7.2026</t>
  </si>
  <si>
    <t>4-6.2026</t>
  </si>
  <si>
    <t>1-6.2026</t>
  </si>
  <si>
    <t>1-5.2026</t>
  </si>
  <si>
    <t>1-4.2026</t>
  </si>
  <si>
    <t>1-3.2026</t>
  </si>
  <si>
    <t>1-2.2026</t>
  </si>
  <si>
    <t>סה"כ ישראל ללא אונליין</t>
  </si>
  <si>
    <t>מצטבר ינואר</t>
  </si>
  <si>
    <t xml:space="preserve">% ביצוע </t>
  </si>
  <si>
    <t>% ביצוע</t>
  </si>
  <si>
    <t>SOB</t>
  </si>
  <si>
    <t xml:space="preserve">כספי מול תקציב </t>
  </si>
  <si>
    <t>% מול 2025</t>
  </si>
  <si>
    <t>#</t>
  </si>
  <si>
    <t xml:space="preserve">מטרה </t>
  </si>
  <si>
    <t xml:space="preserve">מצטבר ינואר  </t>
  </si>
  <si>
    <t xml:space="preserve">% מול מטרה </t>
  </si>
  <si>
    <t xml:space="preserve">כספי מול מטרה </t>
  </si>
  <si>
    <t xml:space="preserve">שוק ישראל </t>
  </si>
  <si>
    <t xml:space="preserve">אונליין ישראל </t>
  </si>
  <si>
    <t xml:space="preserve">אמזון </t>
  </si>
  <si>
    <t xml:space="preserve">מפיצים </t>
  </si>
  <si>
    <t>סה"כ</t>
  </si>
  <si>
    <t xml:space="preserve"> </t>
  </si>
  <si>
    <t xml:space="preserve">ישראל </t>
  </si>
  <si>
    <t>H1</t>
  </si>
  <si>
    <t xml:space="preserve">FCST </t>
  </si>
  <si>
    <t>H2</t>
  </si>
  <si>
    <t xml:space="preserve">TOTAL </t>
  </si>
  <si>
    <t xml:space="preserve">Actual </t>
  </si>
  <si>
    <t>Meditex Group IL</t>
  </si>
  <si>
    <t>Meditex Group Global : Meditex Group IL</t>
  </si>
  <si>
    <t>Custom Sales by Customer Summary</t>
  </si>
  <si>
    <t>01 July 2026 - 31 July 2026</t>
  </si>
  <si>
    <t/>
  </si>
  <si>
    <t>Order Number Web Site - Cash Sale</t>
  </si>
  <si>
    <t>Document Number</t>
  </si>
  <si>
    <t>Quantity</t>
  </si>
  <si>
    <t>150004 מדיקל אופיר ב"ש בע"מ</t>
  </si>
  <si>
    <t>INV68974</t>
  </si>
  <si>
    <t>150007 אבידן אורטופדיה שיקומית ב</t>
  </si>
  <si>
    <t>INV68894</t>
  </si>
  <si>
    <t>150010 אור אורטופדיה</t>
  </si>
  <si>
    <t>INV68922</t>
  </si>
  <si>
    <t>INV68984</t>
  </si>
  <si>
    <t>Total - 150010 אור אורטופדיה</t>
  </si>
  <si>
    <t>150012 אשד אורטופדיה בע"מ</t>
  </si>
  <si>
    <t>INV68970</t>
  </si>
  <si>
    <t>INV68875</t>
  </si>
  <si>
    <t>Total - 150012 אשד אורטופדיה בע"מ</t>
  </si>
  <si>
    <t>150013 גליל אורטופדיה</t>
  </si>
  <si>
    <t>INV68971</t>
  </si>
  <si>
    <t>150020 בירו אורטופדיה (יוסי)</t>
  </si>
  <si>
    <t>INV68938</t>
  </si>
  <si>
    <t>150055 סניוס מדיק בע"מ</t>
  </si>
  <si>
    <t>INV68867</t>
  </si>
  <si>
    <t>150130 מדנט באר שבע</t>
  </si>
  <si>
    <t>INV68915</t>
  </si>
  <si>
    <t>INV68951</t>
  </si>
  <si>
    <t>INV68882</t>
  </si>
  <si>
    <t>Total - 150130 מדנט באר שבע</t>
  </si>
  <si>
    <t>150138 מדיק סנטר ר.א בע"מ</t>
  </si>
  <si>
    <t>INV68956</t>
  </si>
  <si>
    <t>INV68869</t>
  </si>
  <si>
    <t>Total - 150138 מדיק סנטר ר.א בע"מ</t>
  </si>
  <si>
    <t>150139 מדילייט-אורטופדיה</t>
  </si>
  <si>
    <t>INV68982</t>
  </si>
  <si>
    <t>150161 ענת אורטופדיה א'-חיימוב ט</t>
  </si>
  <si>
    <t>INV68952</t>
  </si>
  <si>
    <t>150182 עטרת מדיפוט נתניה</t>
  </si>
  <si>
    <t>INV68859</t>
  </si>
  <si>
    <t>150196 לב האורטופדיה רחובות</t>
  </si>
  <si>
    <t>INV68893</t>
  </si>
  <si>
    <t>150202 רוני אורטופדיה בע"מ</t>
  </si>
  <si>
    <t>INV68897</t>
  </si>
  <si>
    <t>INV68932</t>
  </si>
  <si>
    <t>INV68977</t>
  </si>
  <si>
    <t>CM44675</t>
  </si>
  <si>
    <t>Total - 150202 רוני אורטופדיה בע"מ</t>
  </si>
  <si>
    <t>150336 מרכז לאביזרים אורט' אסותא</t>
  </si>
  <si>
    <t>INV68866</t>
  </si>
  <si>
    <t>150340 חגי אורטופדיה בע"מ</t>
  </si>
  <si>
    <t>INV68877</t>
  </si>
  <si>
    <t>150366 א.א.אורטופדיה איתי-יהוד</t>
  </si>
  <si>
    <t>INV68907</t>
  </si>
  <si>
    <t>INV68941</t>
  </si>
  <si>
    <t>Total - 150366 א.א.אורטופדיה איתי-יהוד</t>
  </si>
  <si>
    <t>151005 עקב אכילס -מכון אורטופדי</t>
  </si>
  <si>
    <t>INV68958</t>
  </si>
  <si>
    <t>151057 מזלטק בע"מ</t>
  </si>
  <si>
    <t>INV68883</t>
  </si>
  <si>
    <t>151136 אמיר מדיקל פארם בע"מ</t>
  </si>
  <si>
    <t>INV68934</t>
  </si>
  <si>
    <t>151144 רפואית כל</t>
  </si>
  <si>
    <t>INV68975</t>
  </si>
  <si>
    <t>151145 גל און קליניק אורתופדיה</t>
  </si>
  <si>
    <t>INV68980</t>
  </si>
  <si>
    <t>INV68928</t>
  </si>
  <si>
    <t>Total - 151145 גל און קליניק אורתופדיה</t>
  </si>
  <si>
    <t>151187 משי אורלגין בע"מ</t>
  </si>
  <si>
    <t>INV68886</t>
  </si>
  <si>
    <t>151209 רוני אורטופדיה  בע"מ - רמבם</t>
  </si>
  <si>
    <t>INV68937</t>
  </si>
  <si>
    <t>INV68878</t>
  </si>
  <si>
    <t>INV68874</t>
  </si>
  <si>
    <t>CM44663</t>
  </si>
  <si>
    <t>Total - 151209 רוני אורטופדיה  בע"מ - רמבם</t>
  </si>
  <si>
    <t>152031 גפיים חיפה</t>
  </si>
  <si>
    <t>INV68864</t>
  </si>
  <si>
    <t>153196 קלפון וילפריד</t>
  </si>
  <si>
    <t>INV68924</t>
  </si>
  <si>
    <t>157464 מדיקל הצפון ב.מ-חורי</t>
  </si>
  <si>
    <t>INV68871</t>
  </si>
  <si>
    <t>157521 נזרין פארם-ראוי אורתופדיה</t>
  </si>
  <si>
    <t>INV68929</t>
  </si>
  <si>
    <t>INV68881</t>
  </si>
  <si>
    <t>INV68955</t>
  </si>
  <si>
    <t>INV68947</t>
  </si>
  <si>
    <t>CM44671</t>
  </si>
  <si>
    <t>Total - 157521 נזרין פארם-ראוי אורתופדיה</t>
  </si>
  <si>
    <t>C02177 עולם האורטופדיה והספורט</t>
  </si>
  <si>
    <t>INV68917</t>
  </si>
  <si>
    <t>C02233 זבוטובסקי ולרי</t>
  </si>
  <si>
    <t>INV68966</t>
  </si>
  <si>
    <t>C02311 אייזלר אורטופדיה בעמ</t>
  </si>
  <si>
    <t>INV68945</t>
  </si>
  <si>
    <t>INV68863</t>
  </si>
  <si>
    <t>INV68876</t>
  </si>
  <si>
    <t>INV68900</t>
  </si>
  <si>
    <t>Total - C02311 אייזלר אורטופדיה בעמ</t>
  </si>
  <si>
    <t>C02318 סופר ספיר בעמ</t>
  </si>
  <si>
    <t>CM44677</t>
  </si>
  <si>
    <t>Total - 102 - Orthopedic institutes</t>
  </si>
  <si>
    <t>150390 סופר פארם ישראל</t>
  </si>
  <si>
    <t>INV68992</t>
  </si>
  <si>
    <t>INV68991</t>
  </si>
  <si>
    <t>Total - 150390 סופר פארם ישראל</t>
  </si>
  <si>
    <t>Total - 111 - Superpharm Life</t>
  </si>
  <si>
    <t>150394 לור שרותי בריאות</t>
  </si>
  <si>
    <t>150394SC1 לור שירותי בריאות</t>
  </si>
  <si>
    <t>INV68910</t>
  </si>
  <si>
    <t>INV68960</t>
  </si>
  <si>
    <t>INV68942</t>
  </si>
  <si>
    <t>Total - 150394SC1 לור שירותי בריאות</t>
  </si>
  <si>
    <t>Total - 150394 לור שרותי בריאות</t>
  </si>
  <si>
    <t>151060 מכון מילא לפיזיוטרפיה</t>
  </si>
  <si>
    <t>INV68895</t>
  </si>
  <si>
    <t>151100 ס.ח מרכז בריאות</t>
  </si>
  <si>
    <t>INV68868</t>
  </si>
  <si>
    <t>C02326 וגנר שירה</t>
  </si>
  <si>
    <t>INV68902</t>
  </si>
  <si>
    <t>Total - 103 - Physiotherapy institutes</t>
  </si>
  <si>
    <t>151045 סנדלריית רוממה</t>
  </si>
  <si>
    <t>INV68963</t>
  </si>
  <si>
    <t>151138 בורג המפרץ בע"מ</t>
  </si>
  <si>
    <t>CM44676</t>
  </si>
  <si>
    <t>155504 בית טבע פנצאיה</t>
  </si>
  <si>
    <t>INV68935</t>
  </si>
  <si>
    <t>C02268 ר.ת מדיקל גרופ</t>
  </si>
  <si>
    <t>INV68948</t>
  </si>
  <si>
    <t>C02270 טעם טבע של גיל</t>
  </si>
  <si>
    <t>INV68916</t>
  </si>
  <si>
    <t>INV68901</t>
  </si>
  <si>
    <t>Total - C02270 טעם טבע של גיל</t>
  </si>
  <si>
    <t>Total - 109 - Private Shops</t>
  </si>
  <si>
    <t>151127 בית טבע נטורלניק</t>
  </si>
  <si>
    <t>INV68981</t>
  </si>
  <si>
    <t>INV68944</t>
  </si>
  <si>
    <t>INV68943</t>
  </si>
  <si>
    <t>INV68961</t>
  </si>
  <si>
    <t>INV68905</t>
  </si>
  <si>
    <t>INV68930</t>
  </si>
  <si>
    <t>INV68870</t>
  </si>
  <si>
    <t>INV68976</t>
  </si>
  <si>
    <t>INV68949</t>
  </si>
  <si>
    <t>CM44646</t>
  </si>
  <si>
    <t>CM44647</t>
  </si>
  <si>
    <t>CM44672</t>
  </si>
  <si>
    <t>Total - 151127 בית טבע נטורלניק</t>
  </si>
  <si>
    <t>155120 ל.שונים בהקפה</t>
  </si>
  <si>
    <t>INV68940</t>
  </si>
  <si>
    <t>INV68884</t>
  </si>
  <si>
    <t>INV68919</t>
  </si>
  <si>
    <t>INV68909</t>
  </si>
  <si>
    <t>CM44673</t>
  </si>
  <si>
    <t>Total - 155120 ל.שונים בהקפה</t>
  </si>
  <si>
    <t>155121 ל.שונים במזומן</t>
  </si>
  <si>
    <t>INV68873</t>
  </si>
  <si>
    <t>CS24252</t>
  </si>
  <si>
    <t>CS24090</t>
  </si>
  <si>
    <t>Total - 155121 ל.שונים במזומן</t>
  </si>
  <si>
    <t>155190 קניות עובדים</t>
  </si>
  <si>
    <t>INV68885</t>
  </si>
  <si>
    <t>INV68931</t>
  </si>
  <si>
    <t>INV68927</t>
  </si>
  <si>
    <t>INV68950</t>
  </si>
  <si>
    <t>INV68896</t>
  </si>
  <si>
    <t>INV68908</t>
  </si>
  <si>
    <t>Total - 155190 קניות עובדים</t>
  </si>
  <si>
    <t>Total - 101 - Factory customers</t>
  </si>
  <si>
    <t>151178 ב.מ טוטאל פארם להבות חביב</t>
  </si>
  <si>
    <t>INV68923</t>
  </si>
  <si>
    <t>INV68862</t>
  </si>
  <si>
    <t>INV68957</t>
  </si>
  <si>
    <t>Total - 151178 ב.מ טוטאל פארם להבות חביב</t>
  </si>
  <si>
    <t>156500 הנגב בע"מ ב.מ</t>
  </si>
  <si>
    <t>INV68904</t>
  </si>
  <si>
    <t>156903 טל שחר ב.מ</t>
  </si>
  <si>
    <t>INV68906</t>
  </si>
  <si>
    <t>INV68939</t>
  </si>
  <si>
    <t>INV68865</t>
  </si>
  <si>
    <t>INV68962</t>
  </si>
  <si>
    <t>INV68968</t>
  </si>
  <si>
    <t>INV68918</t>
  </si>
  <si>
    <t>Total - 156903 טל שחר ב.מ</t>
  </si>
  <si>
    <t>156908 טלפארמה בע"מ</t>
  </si>
  <si>
    <t>INV68969</t>
  </si>
  <si>
    <t>C02307 מדי פארם בתי מרקחת בעמ</t>
  </si>
  <si>
    <t>INV68872</t>
  </si>
  <si>
    <t>INV68880</t>
  </si>
  <si>
    <t>INV68983</t>
  </si>
  <si>
    <t>INV68911</t>
  </si>
  <si>
    <t>INV68925</t>
  </si>
  <si>
    <t>INV68903</t>
  </si>
  <si>
    <t>Total - C02307 מדי פארם בתי מרקחת בעמ</t>
  </si>
  <si>
    <t>Total - 107 - Pharmacies</t>
  </si>
  <si>
    <t>152010 איכילוב ביה'ח-מחסן ציוד</t>
  </si>
  <si>
    <t>INV68985</t>
  </si>
  <si>
    <t>Total - 106 - Hospitals</t>
  </si>
  <si>
    <t>152401 קופת חולים מאוחדת</t>
  </si>
  <si>
    <t>7114 7114-קופ"ח מאוחדת קרית ספר (אבני נזר)</t>
  </si>
  <si>
    <t>CM44674</t>
  </si>
  <si>
    <t>7418 7418-קופ"ח מאוחדת עכו</t>
  </si>
  <si>
    <t>INV68926</t>
  </si>
  <si>
    <t>Total - 152401 קופת חולים מאוחדת</t>
  </si>
  <si>
    <t>Total - 113 - Kupat Holim Meuhedet</t>
  </si>
  <si>
    <t>152501 קופ"ח כללית 1203-9</t>
  </si>
  <si>
    <t>INV68954</t>
  </si>
  <si>
    <t>INV68967</t>
  </si>
  <si>
    <t>INV68888</t>
  </si>
  <si>
    <t>INV68920</t>
  </si>
  <si>
    <t>INV68913</t>
  </si>
  <si>
    <t>INV68972</t>
  </si>
  <si>
    <t>INV68887</t>
  </si>
  <si>
    <t>INV68953</t>
  </si>
  <si>
    <t>INV68933</t>
  </si>
  <si>
    <t>INV68889</t>
  </si>
  <si>
    <t>INV68891</t>
  </si>
  <si>
    <t>INV68973</t>
  </si>
  <si>
    <t>INV68987</t>
  </si>
  <si>
    <t>INV68986</t>
  </si>
  <si>
    <t>INV68914</t>
  </si>
  <si>
    <t>INV68912</t>
  </si>
  <si>
    <t>INV68921</t>
  </si>
  <si>
    <t>INV68936</t>
  </si>
  <si>
    <t>INV68990</t>
  </si>
  <si>
    <t>INV68890</t>
  </si>
  <si>
    <t>INV68946</t>
  </si>
  <si>
    <t>INV68959</t>
  </si>
  <si>
    <t>INV68899</t>
  </si>
  <si>
    <t>INV68988</t>
  </si>
  <si>
    <t>INV68898</t>
  </si>
  <si>
    <t>Total - 152501 קופ"ח כללית 1203-9</t>
  </si>
  <si>
    <t>Total - 112 - Kupat Holim Clalit</t>
  </si>
  <si>
    <t>155138 לקוח אינטרנט</t>
  </si>
  <si>
    <t>CS24882</t>
  </si>
  <si>
    <t>CS25180</t>
  </si>
  <si>
    <t>CS24415</t>
  </si>
  <si>
    <t>CS24656</t>
  </si>
  <si>
    <t>CS24953</t>
  </si>
  <si>
    <t>CS24557</t>
  </si>
  <si>
    <t>CS24385</t>
  </si>
  <si>
    <t>CS24240</t>
  </si>
  <si>
    <t>CS24869</t>
  </si>
  <si>
    <t>CS25058</t>
  </si>
  <si>
    <t>CS25413</t>
  </si>
  <si>
    <t>CS25226</t>
  </si>
  <si>
    <t>CS24842</t>
  </si>
  <si>
    <t>CS24581</t>
  </si>
  <si>
    <t>CS24084</t>
  </si>
  <si>
    <t>CS25276</t>
  </si>
  <si>
    <t>CS25677</t>
  </si>
  <si>
    <t>CS24722</t>
  </si>
  <si>
    <t>CS24802</t>
  </si>
  <si>
    <t>CS24152</t>
  </si>
  <si>
    <t>CS25286</t>
  </si>
  <si>
    <t>CS25541</t>
  </si>
  <si>
    <t>CS24224</t>
  </si>
  <si>
    <t>CS24072</t>
  </si>
  <si>
    <t>CS24314</t>
  </si>
  <si>
    <t>CS25497</t>
  </si>
  <si>
    <t>CS25055</t>
  </si>
  <si>
    <t>CS24229</t>
  </si>
  <si>
    <t>CS25251</t>
  </si>
  <si>
    <t>CS24305</t>
  </si>
  <si>
    <t>CS24981</t>
  </si>
  <si>
    <t>CS25653</t>
  </si>
  <si>
    <t>CS25586</t>
  </si>
  <si>
    <t>CS25429</t>
  </si>
  <si>
    <t>CS24730</t>
  </si>
  <si>
    <t>CS25728</t>
  </si>
  <si>
    <t>CS25676</t>
  </si>
  <si>
    <t>CS24902</t>
  </si>
  <si>
    <t>CS24669</t>
  </si>
  <si>
    <t>CS25466</t>
  </si>
  <si>
    <t>CS25490</t>
  </si>
  <si>
    <t>CS24038</t>
  </si>
  <si>
    <t>CS24257</t>
  </si>
  <si>
    <t>CS24231</t>
  </si>
  <si>
    <t>CS25535</t>
  </si>
  <si>
    <t>CS24172</t>
  </si>
  <si>
    <t>CS25494</t>
  </si>
  <si>
    <t>CS25463</t>
  </si>
  <si>
    <t>CS25278</t>
  </si>
  <si>
    <t>CS25253</t>
  </si>
  <si>
    <t>CS24505</t>
  </si>
  <si>
    <t>CS25648</t>
  </si>
  <si>
    <t>CS25451</t>
  </si>
  <si>
    <t>CS25130</t>
  </si>
  <si>
    <t>CS25608</t>
  </si>
  <si>
    <t>CS24970</t>
  </si>
  <si>
    <t>CS24997</t>
  </si>
  <si>
    <t>CS24649</t>
  </si>
  <si>
    <t>CS25205</t>
  </si>
  <si>
    <t>CS25144</t>
  </si>
  <si>
    <t>CS24564</t>
  </si>
  <si>
    <t>CS25016</t>
  </si>
  <si>
    <t>CS24532</t>
  </si>
  <si>
    <t>CS25662</t>
  </si>
  <si>
    <t>CS24119</t>
  </si>
  <si>
    <t>CS25349</t>
  </si>
  <si>
    <t>CS24911</t>
  </si>
  <si>
    <t>CS24528</t>
  </si>
  <si>
    <t>CS24523</t>
  </si>
  <si>
    <t>CS24627</t>
  </si>
  <si>
    <t>CS25727</t>
  </si>
  <si>
    <t>CS25505</t>
  </si>
  <si>
    <t>CS25341</t>
  </si>
  <si>
    <t>CS25091</t>
  </si>
  <si>
    <t>CS25271</t>
  </si>
  <si>
    <t>CS24794</t>
  </si>
  <si>
    <t>CS24447</t>
  </si>
  <si>
    <t>CS24808</t>
  </si>
  <si>
    <t>CS25635</t>
  </si>
  <si>
    <t>CS24720</t>
  </si>
  <si>
    <t>CS25188</t>
  </si>
  <si>
    <t>CS25244</t>
  </si>
  <si>
    <t>CS25022</t>
  </si>
  <si>
    <t>CS25472</t>
  </si>
  <si>
    <t>CS25050</t>
  </si>
  <si>
    <t>CS24207</t>
  </si>
  <si>
    <t>CS25257</t>
  </si>
  <si>
    <t>CS24176</t>
  </si>
  <si>
    <t>CS24915</t>
  </si>
  <si>
    <t>CS24158</t>
  </si>
  <si>
    <t>CS24796</t>
  </si>
  <si>
    <t>CS24352</t>
  </si>
  <si>
    <t>CS24164</t>
  </si>
  <si>
    <t>CS24893</t>
  </si>
  <si>
    <t>CS24366</t>
  </si>
  <si>
    <t>CS24781</t>
  </si>
  <si>
    <t>CS24738</t>
  </si>
  <si>
    <t>CS24390</t>
  </si>
  <si>
    <t>CS24068</t>
  </si>
  <si>
    <t>CS25273</t>
  </si>
  <si>
    <t>CS24797</t>
  </si>
  <si>
    <t>CS24083</t>
  </si>
  <si>
    <t>CS24246</t>
  </si>
  <si>
    <t>CS24168</t>
  </si>
  <si>
    <t>CS24124</t>
  </si>
  <si>
    <t>CS24179</t>
  </si>
  <si>
    <t>CS24807</t>
  </si>
  <si>
    <t>CS25700</t>
  </si>
  <si>
    <t>CS25694</t>
  </si>
  <si>
    <t>CS25716</t>
  </si>
  <si>
    <t>CS25733</t>
  </si>
  <si>
    <t>CS25695</t>
  </si>
  <si>
    <t>CS25686</t>
  </si>
  <si>
    <t>CS24588</t>
  </si>
  <si>
    <t>CS24402</t>
  </si>
  <si>
    <t>CS25224</t>
  </si>
  <si>
    <t>CS25374</t>
  </si>
  <si>
    <t>CS24193</t>
  </si>
  <si>
    <t>CS25334</t>
  </si>
  <si>
    <t>CS24913</t>
  </si>
  <si>
    <t>CS25583</t>
  </si>
  <si>
    <t>CS24639</t>
  </si>
  <si>
    <t>CS24500</t>
  </si>
  <si>
    <t>CS24578</t>
  </si>
  <si>
    <t>CS24445</t>
  </si>
  <si>
    <t>CS24334</t>
  </si>
  <si>
    <t>CS25604</t>
  </si>
  <si>
    <t>CS25372</t>
  </si>
  <si>
    <t>CS24701</t>
  </si>
  <si>
    <t>CS24548</t>
  </si>
  <si>
    <t>CS24307</t>
  </si>
  <si>
    <t>CS25017</t>
  </si>
  <si>
    <t>CS24499</t>
  </si>
  <si>
    <t>CS24061</t>
  </si>
  <si>
    <t>CS24653</t>
  </si>
  <si>
    <t>CS24941</t>
  </si>
  <si>
    <t>CS24645</t>
  </si>
  <si>
    <t>CS24062</t>
  </si>
  <si>
    <t>CS25259</t>
  </si>
  <si>
    <t>CS24546</t>
  </si>
  <si>
    <t>CS24665</t>
  </si>
  <si>
    <t>CS24497</t>
  </si>
  <si>
    <t>CS24929</t>
  </si>
  <si>
    <t>CS24706</t>
  </si>
  <si>
    <t>CS24803</t>
  </si>
  <si>
    <t>CS25269</t>
  </si>
  <si>
    <t>CS24378</t>
  </si>
  <si>
    <t>CS24127</t>
  </si>
  <si>
    <t>CS24888</t>
  </si>
  <si>
    <t>CS25178</t>
  </si>
  <si>
    <t>CS24142</t>
  </si>
  <si>
    <t>CS24458</t>
  </si>
  <si>
    <t>CS24801</t>
  </si>
  <si>
    <t>CS24615</t>
  </si>
  <si>
    <t>CS25617</t>
  </si>
  <si>
    <t>CS24146</t>
  </si>
  <si>
    <t>CS24153</t>
  </si>
  <si>
    <t>CS24919</t>
  </si>
  <si>
    <t>CS25303</t>
  </si>
  <si>
    <t>CS24868</t>
  </si>
  <si>
    <t>CS25630</t>
  </si>
  <si>
    <t>CS24772</t>
  </si>
  <si>
    <t>CS24085</t>
  </si>
  <si>
    <t>CS25730</t>
  </si>
  <si>
    <t>CS25417</t>
  </si>
  <si>
    <t>CS25408</t>
  </si>
  <si>
    <t>CS24423</t>
  </si>
  <si>
    <t>CS24606</t>
  </si>
  <si>
    <t>CS24225</t>
  </si>
  <si>
    <t>CS24159</t>
  </si>
  <si>
    <t>CS25149</t>
  </si>
  <si>
    <t>CS24821</t>
  </si>
  <si>
    <t>CS24561</t>
  </si>
  <si>
    <t>CS25223</t>
  </si>
  <si>
    <t>CS25430</t>
  </si>
  <si>
    <t>CS24804</t>
  </si>
  <si>
    <t>CS25319</t>
  </si>
  <si>
    <t>CS24938</t>
  </si>
  <si>
    <t>CS25724</t>
  </si>
  <si>
    <t>CS25672</t>
  </si>
  <si>
    <t>CS24753</t>
  </si>
  <si>
    <t>CS25652</t>
  </si>
  <si>
    <t>CS25230</t>
  </si>
  <si>
    <t>CS24690</t>
  </si>
  <si>
    <t>CS25465</t>
  </si>
  <si>
    <t>CS24723</t>
  </si>
  <si>
    <t>CS24492</t>
  </si>
  <si>
    <t>CS24685</t>
  </si>
  <si>
    <t>CS24269</t>
  </si>
  <si>
    <t>CS25033</t>
  </si>
  <si>
    <t>CS24584</t>
  </si>
  <si>
    <t>CS24095</t>
  </si>
  <si>
    <t>CS25014</t>
  </si>
  <si>
    <t>CS24399</t>
  </si>
  <si>
    <t>CS24480</t>
  </si>
  <si>
    <t>CS24230</t>
  </si>
  <si>
    <t>CS24418</t>
  </si>
  <si>
    <t>CS25484</t>
  </si>
  <si>
    <t>CS25004</t>
  </si>
  <si>
    <t>CS24729</t>
  </si>
  <si>
    <t>CS24031</t>
  </si>
  <si>
    <t>CS25470</t>
  </si>
  <si>
    <t>CS25501</t>
  </si>
  <si>
    <t>CS25128</t>
  </si>
  <si>
    <t>CS25321</t>
  </si>
  <si>
    <t>CS25450</t>
  </si>
  <si>
    <t>CS25520</t>
  </si>
  <si>
    <t>CS24956</t>
  </si>
  <si>
    <t>CS25098</t>
  </si>
  <si>
    <t>CS25083</t>
  </si>
  <si>
    <t>CS25742</t>
  </si>
  <si>
    <t>CS25563</t>
  </si>
  <si>
    <t>CS24199</t>
  </si>
  <si>
    <t>CS24951</t>
  </si>
  <si>
    <t>CS24975</t>
  </si>
  <si>
    <t>CS25737</t>
  </si>
  <si>
    <t>CS24580</t>
  </si>
  <si>
    <t>CS25588</t>
  </si>
  <si>
    <t>CS25684</t>
  </si>
  <si>
    <t>CS25664</t>
  </si>
  <si>
    <t>CS25502</t>
  </si>
  <si>
    <t>CS24960</t>
  </si>
  <si>
    <t>CS24756</t>
  </si>
  <si>
    <t>CS24410</t>
  </si>
  <si>
    <t>CS24494</t>
  </si>
  <si>
    <t>CS24732</t>
  </si>
  <si>
    <t>CS25375</t>
  </si>
  <si>
    <t>CS25448</t>
  </si>
  <si>
    <t>CS24828</t>
  </si>
  <si>
    <t>CS25229</t>
  </si>
  <si>
    <t>CS24446</t>
  </si>
  <si>
    <t>CS24816</t>
  </si>
  <si>
    <t>CS25581</t>
  </si>
  <si>
    <t>CS24684</t>
  </si>
  <si>
    <t>CS24400</t>
  </si>
  <si>
    <t>CS24918</t>
  </si>
  <si>
    <t>CS24920</t>
  </si>
  <si>
    <t>CS24365</t>
  </si>
  <si>
    <t>CS24743</t>
  </si>
  <si>
    <t>CS25395</t>
  </si>
  <si>
    <t>CS24834</t>
  </si>
  <si>
    <t>CS24118</t>
  </si>
  <si>
    <t>CS25512</t>
  </si>
  <si>
    <t>CS25620</t>
  </si>
  <si>
    <t>CS24927</t>
  </si>
  <si>
    <t>CS24784</t>
  </si>
  <si>
    <t>CS25532</t>
  </si>
  <si>
    <t>CS25387</t>
  </si>
  <si>
    <t>CS25614</t>
  </si>
  <si>
    <t>CS25353</t>
  </si>
  <si>
    <t>CS24683</t>
  </si>
  <si>
    <t>CS24550</t>
  </si>
  <si>
    <t>CS25562</t>
  </si>
  <si>
    <t>CS25198</t>
  </si>
  <si>
    <t>CS24060</t>
  </si>
  <si>
    <t>CS25146</t>
  </si>
  <si>
    <t>CS25028</t>
  </si>
  <si>
    <t>CS24910</t>
  </si>
  <si>
    <t>CS25697</t>
  </si>
  <si>
    <t>CS25001</t>
  </si>
  <si>
    <t>CS24787</t>
  </si>
  <si>
    <t>CS25109</t>
  </si>
  <si>
    <t>CS25047</t>
  </si>
  <si>
    <t>CS25573</t>
  </si>
  <si>
    <t>CS24845</t>
  </si>
  <si>
    <t>CS24501</t>
  </si>
  <si>
    <t>CS24789</t>
  </si>
  <si>
    <t>CS25213</t>
  </si>
  <si>
    <t>CS25559</t>
  </si>
  <si>
    <t>CS24926</t>
  </si>
  <si>
    <t>CS24759</t>
  </si>
  <si>
    <t>CS24114</t>
  </si>
  <si>
    <t>CS24969</t>
  </si>
  <si>
    <t>CS25316</t>
  </si>
  <si>
    <t>CS25035</t>
  </si>
  <si>
    <t>CS24121</t>
  </si>
  <si>
    <t>CS25706</t>
  </si>
  <si>
    <t>CS24277</t>
  </si>
  <si>
    <t>CS24971</t>
  </si>
  <si>
    <t>CS24900</t>
  </si>
  <si>
    <t>CS25233</t>
  </si>
  <si>
    <t>CS24829</t>
  </si>
  <si>
    <t>CS24791</t>
  </si>
  <si>
    <t>CS25623</t>
  </si>
  <si>
    <t>CS24355</t>
  </si>
  <si>
    <t>CS24950</t>
  </si>
  <si>
    <t>CS24357</t>
  </si>
  <si>
    <t>CS24529</t>
  </si>
  <si>
    <t>CS25124</t>
  </si>
  <si>
    <t>CS24328</t>
  </si>
  <si>
    <t>CS25011</t>
  </si>
  <si>
    <t>CS24824</t>
  </si>
  <si>
    <t>CS25654</t>
  </si>
  <si>
    <t>CS25519</t>
  </si>
  <si>
    <t>CS24785</t>
  </si>
  <si>
    <t>CS25734</t>
  </si>
  <si>
    <t>CS25043</t>
  </si>
  <si>
    <t>CS25299</t>
  </si>
  <si>
    <t>CS24524</t>
  </si>
  <si>
    <t>CS25027</t>
  </si>
  <si>
    <t>CS24849</t>
  </si>
  <si>
    <t>CS25469</t>
  </si>
  <si>
    <t>CS24386</t>
  </si>
  <si>
    <t>CS24752</t>
  </si>
  <si>
    <t>CS24372</t>
  </si>
  <si>
    <t>CS24029</t>
  </si>
  <si>
    <t>CS25156</t>
  </si>
  <si>
    <t>CS24871</t>
  </si>
  <si>
    <t>CS24130</t>
  </si>
  <si>
    <t>CS24574</t>
  </si>
  <si>
    <t>CS24206</t>
  </si>
  <si>
    <t>CS24391</t>
  </si>
  <si>
    <t>CS24067</t>
  </si>
  <si>
    <t>CS25076</t>
  </si>
  <si>
    <t>CS25503</t>
  </si>
  <si>
    <t>CS25088</t>
  </si>
  <si>
    <t>CS24923</t>
  </si>
  <si>
    <t>CS24044</t>
  </si>
  <si>
    <t>CS25318</t>
  </si>
  <si>
    <t>CS24456</t>
  </si>
  <si>
    <t>CS25597</t>
  </si>
  <si>
    <t>CS25565</t>
  </si>
  <si>
    <t>CS25461</t>
  </si>
  <si>
    <t>CS25603</t>
  </si>
  <si>
    <t>CS24323</t>
  </si>
  <si>
    <t>CS25637</t>
  </si>
  <si>
    <t>CS24514</t>
  </si>
  <si>
    <t>CS25148</t>
  </si>
  <si>
    <t>CS25592</t>
  </si>
  <si>
    <t>CS24438</t>
  </si>
  <si>
    <t>CS24196</t>
  </si>
  <si>
    <t>CS25564</t>
  </si>
  <si>
    <t>CS25516</t>
  </si>
  <si>
    <t>CS24285</t>
  </si>
  <si>
    <t>CS24675</t>
  </si>
  <si>
    <t>CS24182</t>
  </si>
  <si>
    <t>CS24412</t>
  </si>
  <si>
    <t>CS25070</t>
  </si>
  <si>
    <t>CS24510</t>
  </si>
  <si>
    <t>CS24363</t>
  </si>
  <si>
    <t>CS25300</t>
  </si>
  <si>
    <t>CS25100</t>
  </si>
  <si>
    <t>CS25732</t>
  </si>
  <si>
    <t>CS24475</t>
  </si>
  <si>
    <t>CS24432</t>
  </si>
  <si>
    <t>CS24998</t>
  </si>
  <si>
    <t>CS24637</t>
  </si>
  <si>
    <t>CS25649</t>
  </si>
  <si>
    <t>CS24903</t>
  </si>
  <si>
    <t>CS24863</t>
  </si>
  <si>
    <t>CS24301</t>
  </si>
  <si>
    <t>CS25053</t>
  </si>
  <si>
    <t>CS25079</t>
  </si>
  <si>
    <t>CS24612</t>
  </si>
  <si>
    <t>CS24899</t>
  </si>
  <si>
    <t>CS24449</t>
  </si>
  <si>
    <t>CS25305</t>
  </si>
  <si>
    <t>CS24945</t>
  </si>
  <si>
    <t>CS24204</t>
  </si>
  <si>
    <t>CS25238</t>
  </si>
  <si>
    <t>CS25323</t>
  </si>
  <si>
    <t>CS24506</t>
  </si>
  <si>
    <t>CS24678</t>
  </si>
  <si>
    <t>CS24244</t>
  </si>
  <si>
    <t>CS24767</t>
  </si>
  <si>
    <t>CS24750</t>
  </si>
  <si>
    <t>CS24686</t>
  </si>
  <si>
    <t>CS24110</t>
  </si>
  <si>
    <t>CS24048</t>
  </si>
  <si>
    <t>CS24843</t>
  </si>
  <si>
    <t>CS24388</t>
  </si>
  <si>
    <t>CS24795</t>
  </si>
  <si>
    <t>CS25082</t>
  </si>
  <si>
    <t>CS24713</t>
  </si>
  <si>
    <t>CS25129</t>
  </si>
  <si>
    <t>CS25106</t>
  </si>
  <si>
    <t>CS24434</t>
  </si>
  <si>
    <t>CS25113</t>
  </si>
  <si>
    <t>CS24724</t>
  </si>
  <si>
    <t>CS24961</t>
  </si>
  <si>
    <t>CS24957</t>
  </si>
  <si>
    <t>CS24954</t>
  </si>
  <si>
    <t>CS25265</t>
  </si>
  <si>
    <t>CS25337</t>
  </si>
  <si>
    <t>CS24471</t>
  </si>
  <si>
    <t>CS25252</t>
  </si>
  <si>
    <t>CS24734</t>
  </si>
  <si>
    <t>CS24232</t>
  </si>
  <si>
    <t>CS25593</t>
  </si>
  <si>
    <t>CS25074</t>
  </si>
  <si>
    <t>CS24775</t>
  </si>
  <si>
    <t>CS24811</t>
  </si>
  <si>
    <t>CS24641</t>
  </si>
  <si>
    <t>CS24825</t>
  </si>
  <si>
    <t>CS24946</t>
  </si>
  <si>
    <t>CS25117</t>
  </si>
  <si>
    <t>CS25280</t>
  </si>
  <si>
    <t>CS24543</t>
  </si>
  <si>
    <t>CS24892</t>
  </si>
  <si>
    <t>CS24887</t>
  </si>
  <si>
    <t>CS25264</t>
  </si>
  <si>
    <t>CS25241</t>
  </si>
  <si>
    <t>CS24190</t>
  </si>
  <si>
    <t>CS24972</t>
  </si>
  <si>
    <t>CS24662</t>
  </si>
  <si>
    <t>CS24788</t>
  </si>
  <si>
    <t>CS24046</t>
  </si>
  <si>
    <t>CS25698</t>
  </si>
  <si>
    <t>CS24367</t>
  </si>
  <si>
    <t>CS24210</t>
  </si>
  <si>
    <t>CS24113</t>
  </si>
  <si>
    <t>CS25248</t>
  </si>
  <si>
    <t>CS25119</t>
  </si>
  <si>
    <t>CS24472</t>
  </si>
  <si>
    <t>CS25217</t>
  </si>
  <si>
    <t>CS24382</t>
  </si>
  <si>
    <t>CS25646</t>
  </si>
  <si>
    <t>CS24837</t>
  </si>
  <si>
    <t>CS24404</t>
  </si>
  <si>
    <t>CS25675</t>
  </si>
  <si>
    <t>CS25666</t>
  </si>
  <si>
    <t>CS25288</t>
  </si>
  <si>
    <t>CS24249</t>
  </si>
  <si>
    <t>CS25263</t>
  </si>
  <si>
    <t>CS25086</t>
  </si>
  <si>
    <t>CS25007</t>
  </si>
  <si>
    <t>CS24940</t>
  </si>
  <si>
    <t>CS24563</t>
  </si>
  <si>
    <t>CS24306</t>
  </si>
  <si>
    <t>CS25471</t>
  </si>
  <si>
    <t>CS25294</t>
  </si>
  <si>
    <t>CS24554</t>
  </si>
  <si>
    <t>CS25369</t>
  </si>
  <si>
    <t>CS25595</t>
  </si>
  <si>
    <t>CS24995</t>
  </si>
  <si>
    <t>CS24762</t>
  </si>
  <si>
    <t>CS24333</t>
  </si>
  <si>
    <t>CS25493</t>
  </si>
  <si>
    <t>CS25283</t>
  </si>
  <si>
    <t>CS24503</t>
  </si>
  <si>
    <t>CS24414</t>
  </si>
  <si>
    <t>CS24452</t>
  </si>
  <si>
    <t>CS25210</t>
  </si>
  <si>
    <t>CS25051</t>
  </si>
  <si>
    <t>CS24731</t>
  </si>
  <si>
    <t>CS25254</t>
  </si>
  <si>
    <t>CS24421</t>
  </si>
  <si>
    <t>CS24039</t>
  </si>
  <si>
    <t>CS25726</t>
  </si>
  <si>
    <t>CS24058</t>
  </si>
  <si>
    <t>CS25306</t>
  </si>
  <si>
    <t>CS24630</t>
  </si>
  <si>
    <t>CS24405</t>
  </si>
  <si>
    <t>CS24138</t>
  </si>
  <si>
    <t>CS25212</t>
  </si>
  <si>
    <t>CS25145</t>
  </si>
  <si>
    <t>CS24520</t>
  </si>
  <si>
    <t>CS24276</t>
  </si>
  <si>
    <t>CS25591</t>
  </si>
  <si>
    <t>CS24299</t>
  </si>
  <si>
    <t>CS24687</t>
  </si>
  <si>
    <t>CS24582</t>
  </si>
  <si>
    <t>CS24169</t>
  </si>
  <si>
    <t>CS25687</t>
  </si>
  <si>
    <t>CS24214</t>
  </si>
  <si>
    <t>CS25078</t>
  </si>
  <si>
    <t>CS24270</t>
  </si>
  <si>
    <t>CS25710</t>
  </si>
  <si>
    <t>CS25578</t>
  </si>
  <si>
    <t>CS24380</t>
  </si>
  <si>
    <t>CS24560</t>
  </si>
  <si>
    <t>CS24259</t>
  </si>
  <si>
    <t>CS24245</t>
  </si>
  <si>
    <t>CS24375</t>
  </si>
  <si>
    <t>CS24166</t>
  </si>
  <si>
    <t>CS24760</t>
  </si>
  <si>
    <t>CS24430</t>
  </si>
  <si>
    <t>CS25585</t>
  </si>
  <si>
    <t>CS25227</t>
  </si>
  <si>
    <t>CS25187</t>
  </si>
  <si>
    <t>CS24338</t>
  </si>
  <si>
    <t>CS24425</t>
  </si>
  <si>
    <t>CS24303</t>
  </si>
  <si>
    <t>CS25298</t>
  </si>
  <si>
    <t>CS24450</t>
  </si>
  <si>
    <t>CS24774</t>
  </si>
  <si>
    <t>CS24473</t>
  </si>
  <si>
    <t>CS25311</t>
  </si>
  <si>
    <t>CS24681</t>
  </si>
  <si>
    <t>CS24552</t>
  </si>
  <si>
    <t>CS25065</t>
  </si>
  <si>
    <t>CS25049</t>
  </si>
  <si>
    <t>CS24444</t>
  </si>
  <si>
    <t>CS24117</t>
  </si>
  <si>
    <t>CS25293</t>
  </si>
  <si>
    <t>CS25155</t>
  </si>
  <si>
    <t>CS24319</t>
  </si>
  <si>
    <t>CS25479</t>
  </si>
  <si>
    <t>CS25192</t>
  </si>
  <si>
    <t>CS24027</t>
  </si>
  <si>
    <t>CS25433</t>
  </si>
  <si>
    <t>CS24638</t>
  </si>
  <si>
    <t>CS25085</t>
  </si>
  <si>
    <t>CS25163</t>
  </si>
  <si>
    <t>CS24283</t>
  </si>
  <si>
    <t>CS25197</t>
  </si>
  <si>
    <t>CS24433</t>
  </si>
  <si>
    <t>CS24035</t>
  </si>
  <si>
    <t>CS24895</t>
  </si>
  <si>
    <t>CS24944</t>
  </si>
  <si>
    <t>CS25486</t>
  </si>
  <si>
    <t>CS24663</t>
  </si>
  <si>
    <t>CS24488</t>
  </si>
  <si>
    <t>CS24597</t>
  </si>
  <si>
    <t>CS24347</t>
  </si>
  <si>
    <t>CS25714</t>
  </si>
  <si>
    <t>CS25052</t>
  </si>
  <si>
    <t>CS24978</t>
  </si>
  <si>
    <t>CS24977</t>
  </si>
  <si>
    <t>CS24055</t>
  </si>
  <si>
    <t>CS25103</t>
  </si>
  <si>
    <t>CS24905</t>
  </si>
  <si>
    <t>CS25189</t>
  </si>
  <si>
    <t>CS25127</t>
  </si>
  <si>
    <t>CS24635</t>
  </si>
  <si>
    <t>CS24544</t>
  </si>
  <si>
    <t>CS24329</t>
  </si>
  <si>
    <t>CS24783</t>
  </si>
  <si>
    <t>CS24298</t>
  </si>
  <si>
    <t>CS25601</t>
  </si>
  <si>
    <t>CS25708</t>
  </si>
  <si>
    <t>CS25478</t>
  </si>
  <si>
    <t>CS24502</t>
  </si>
  <si>
    <t>CS24983</t>
  </si>
  <si>
    <t>CS24251</t>
  </si>
  <si>
    <t>CS24748</t>
  </si>
  <si>
    <t>CS24392</t>
  </si>
  <si>
    <t>CS24344</t>
  </si>
  <si>
    <t>CS25405</t>
  </si>
  <si>
    <t>CS24814</t>
  </si>
  <si>
    <t>CS24682</t>
  </si>
  <si>
    <t>CS24611</t>
  </si>
  <si>
    <t>CS24658</t>
  </si>
  <si>
    <t>CS24192</t>
  </si>
  <si>
    <t>CS24226</t>
  </si>
  <si>
    <t>CS24634</t>
  </si>
  <si>
    <t>CS24268</t>
  </si>
  <si>
    <t>CS25176</t>
  </si>
  <si>
    <t>CS24680</t>
  </si>
  <si>
    <t>CS25575</t>
  </si>
  <si>
    <t>CS25138</t>
  </si>
  <si>
    <t>CS25638</t>
  </si>
  <si>
    <t>CS24861</t>
  </si>
  <si>
    <t>CS25739</t>
  </si>
  <si>
    <t>CS25487</t>
  </si>
  <si>
    <t>CS24462</t>
  </si>
  <si>
    <t>CS25743</t>
  </si>
  <si>
    <t>CS24417</t>
  </si>
  <si>
    <t>CS25388</t>
  </si>
  <si>
    <t>CS25526</t>
  </si>
  <si>
    <t>CS24865</t>
  </si>
  <si>
    <t>CS24851</t>
  </si>
  <si>
    <t>CS24332</t>
  </si>
  <si>
    <t>CS25218</t>
  </si>
  <si>
    <t>CS25040</t>
  </si>
  <si>
    <t>CS24898</t>
  </si>
  <si>
    <t>CS25232</t>
  </si>
  <si>
    <t>CS24511</t>
  </si>
  <si>
    <t>CS25468</t>
  </si>
  <si>
    <t>CS24508</t>
  </si>
  <si>
    <t>CS25364</t>
  </si>
  <si>
    <t>CS25084</t>
  </si>
  <si>
    <t>CS25607</t>
  </si>
  <si>
    <t>CS24965</t>
  </si>
  <si>
    <t>CS25720</t>
  </si>
  <si>
    <t>CS24848</t>
  </si>
  <si>
    <t>CS25616</t>
  </si>
  <si>
    <t>CS24826</t>
  </si>
  <si>
    <t>CS24815</t>
  </si>
  <si>
    <t>CS24318</t>
  </si>
  <si>
    <t>CS24272</t>
  </si>
  <si>
    <t>CS24728</t>
  </si>
  <si>
    <t>CS25324</t>
  </si>
  <si>
    <t>CS25582</t>
  </si>
  <si>
    <t>CS25215</t>
  </si>
  <si>
    <t>CS24247</t>
  </si>
  <si>
    <t>CS25132</t>
  </si>
  <si>
    <t>CS24810</t>
  </si>
  <si>
    <t>CS25042</t>
  </si>
  <si>
    <t>CS25522</t>
  </si>
  <si>
    <t>CS25462</t>
  </si>
  <si>
    <t>CS25404</t>
  </si>
  <si>
    <t>CS25385</t>
  </si>
  <si>
    <t>CS25403</t>
  </si>
  <si>
    <t>CS25336</t>
  </si>
  <si>
    <t>CS25383</t>
  </si>
  <si>
    <t>CS25406</t>
  </si>
  <si>
    <t>CS25499</t>
  </si>
  <si>
    <t>CS24835</t>
  </si>
  <si>
    <t>CS25425</t>
  </si>
  <si>
    <t>CS24482</t>
  </si>
  <si>
    <t>CS24628</t>
  </si>
  <si>
    <t>CS24632</t>
  </si>
  <si>
    <t>CS24275</t>
  </si>
  <si>
    <t>CS24746</t>
  </si>
  <si>
    <t>CS24187</t>
  </si>
  <si>
    <t>CS24296</t>
  </si>
  <si>
    <t>CS25195</t>
  </si>
  <si>
    <t>CS25600</t>
  </si>
  <si>
    <t>CS25568</t>
  </si>
  <si>
    <t>CS24891</t>
  </si>
  <si>
    <t>CS24647</t>
  </si>
  <si>
    <t>CS24470</t>
  </si>
  <si>
    <t>CS25174</t>
  </si>
  <si>
    <t>CS24744</t>
  </si>
  <si>
    <t>CS24659</t>
  </si>
  <si>
    <t>CS24719</t>
  </si>
  <si>
    <t>CS25626</t>
  </si>
  <si>
    <t>CS24985</t>
  </si>
  <si>
    <t>CS24331</t>
  </si>
  <si>
    <t>CS24504</t>
  </si>
  <si>
    <t>CS24976</t>
  </si>
  <si>
    <t>CS25260</t>
  </si>
  <si>
    <t>CS25160</t>
  </si>
  <si>
    <t>CS24484</t>
  </si>
  <si>
    <t>CS25092</t>
  </si>
  <si>
    <t>CS25682</t>
  </si>
  <si>
    <t>CS25612</t>
  </si>
  <si>
    <t>CS24163</t>
  </si>
  <si>
    <t>CS24336</t>
  </si>
  <si>
    <t>CS25054</t>
  </si>
  <si>
    <t>CS25554</t>
  </si>
  <si>
    <t>CS24335</t>
  </si>
  <si>
    <t>CS24526</t>
  </si>
  <si>
    <t>CS25235</t>
  </si>
  <si>
    <t>CS25245</t>
  </si>
  <si>
    <t>CS25398</t>
  </si>
  <si>
    <t>CS24233</t>
  </si>
  <si>
    <t>CS24317</t>
  </si>
  <si>
    <t>CS24765</t>
  </si>
  <si>
    <t>CS25360</t>
  </si>
  <si>
    <t>CS24322</t>
  </si>
  <si>
    <t>CS25270</t>
  </si>
  <si>
    <t>CS24049</t>
  </si>
  <si>
    <t>CS24260</t>
  </si>
  <si>
    <t>CS24407</t>
  </si>
  <si>
    <t>CS24025</t>
  </si>
  <si>
    <t>CS25157</t>
  </si>
  <si>
    <t>CS25713</t>
  </si>
  <si>
    <t>CS25379</t>
  </si>
  <si>
    <t>CS25741</t>
  </si>
  <si>
    <t>CS24934</t>
  </si>
  <si>
    <t>CS25533</t>
  </si>
  <si>
    <t>CS25279</t>
  </si>
  <si>
    <t>CS24495</t>
  </si>
  <si>
    <t>CS24427</t>
  </si>
  <si>
    <t>CS25313</t>
  </si>
  <si>
    <t>CS25285</t>
  </si>
  <si>
    <t>CS25111</t>
  </si>
  <si>
    <t>CS25670</t>
  </si>
  <si>
    <t>CS24958</t>
  </si>
  <si>
    <t>CS25126</t>
  </si>
  <si>
    <t>CS24327</t>
  </si>
  <si>
    <t>CS24109</t>
  </si>
  <si>
    <t>CS25110</t>
  </si>
  <si>
    <t>CS24167</t>
  </si>
  <si>
    <t>CS25333</t>
  </si>
  <si>
    <t>CS24396</t>
  </si>
  <si>
    <t>CS24284</t>
  </si>
  <si>
    <t>CS24465</t>
  </si>
  <si>
    <t>CS24143</t>
  </si>
  <si>
    <t>CS25131</t>
  </si>
  <si>
    <t>CS24051</t>
  </si>
  <si>
    <t>CS24312</t>
  </si>
  <si>
    <t>CS24288</t>
  </si>
  <si>
    <t>CS25009</t>
  </si>
  <si>
    <t>CS24343</t>
  </si>
  <si>
    <t>CS25474</t>
  </si>
  <si>
    <t>CS25481</t>
  </si>
  <si>
    <t>CS25026</t>
  </si>
  <si>
    <t>CS24517</t>
  </si>
  <si>
    <t>CS24150</t>
  </si>
  <si>
    <t>CS25647</t>
  </si>
  <si>
    <t>CS25407</t>
  </si>
  <si>
    <t>CS25122</t>
  </si>
  <si>
    <t>CS24419</t>
  </si>
  <si>
    <t>CS25610</t>
  </si>
  <si>
    <t>CS24610</t>
  </si>
  <si>
    <t>CS24886</t>
  </si>
  <si>
    <t>CS24579</t>
  </si>
  <si>
    <t>CS24032</t>
  </si>
  <si>
    <t>CS24747</t>
  </si>
  <si>
    <t>CS25071</t>
  </si>
  <si>
    <t>CS24282</t>
  </si>
  <si>
    <t>CS25275</t>
  </si>
  <si>
    <t>CS25291</t>
  </si>
  <si>
    <t>CS25201</t>
  </si>
  <si>
    <t>CS25382</t>
  </si>
  <si>
    <t>CS25006</t>
  </si>
  <si>
    <t>CS24889</t>
  </si>
  <si>
    <t>CS24894</t>
  </si>
  <si>
    <t>CS25063</t>
  </si>
  <si>
    <t>CS24866</t>
  </si>
  <si>
    <t>CS25476</t>
  </si>
  <si>
    <t>CS24754</t>
  </si>
  <si>
    <t>CS25639</t>
  </si>
  <si>
    <t>CS24474</t>
  </si>
  <si>
    <t>CS24642</t>
  </si>
  <si>
    <t>CS24583</t>
  </si>
  <si>
    <t>CS25418</t>
  </si>
  <si>
    <t>CS25183</t>
  </si>
  <si>
    <t>CS25030</t>
  </si>
  <si>
    <t>CS24219</t>
  </si>
  <si>
    <t>CS24852</t>
  </si>
  <si>
    <t>CS24617</t>
  </si>
  <si>
    <t>CS25572</t>
  </si>
  <si>
    <t>CS24487</t>
  </si>
  <si>
    <t>CS24844</t>
  </si>
  <si>
    <t>CS24879</t>
  </si>
  <si>
    <t>CS24917</t>
  </si>
  <si>
    <t>CS25428</t>
  </si>
  <si>
    <t>CS24311</t>
  </si>
  <si>
    <t>CS24116</t>
  </si>
  <si>
    <t>CS24185</t>
  </si>
  <si>
    <t>CS25199</t>
  </si>
  <si>
    <t>CS24088</t>
  </si>
  <si>
    <t>CS25721</t>
  </si>
  <si>
    <t>CS24360</t>
  </si>
  <si>
    <t>CS24420</t>
  </si>
  <si>
    <t>CS24483</t>
  </si>
  <si>
    <t>CS25327</t>
  </si>
  <si>
    <t>CS25566</t>
  </si>
  <si>
    <t>CS25216</t>
  </si>
  <si>
    <t>CS24424</t>
  </si>
  <si>
    <t>CS24250</t>
  </si>
  <si>
    <t>CS25531</t>
  </si>
  <si>
    <t>CS25234</t>
  </si>
  <si>
    <t>CS24377</t>
  </si>
  <si>
    <t>CS24577</t>
  </si>
  <si>
    <t>CS24104</t>
  </si>
  <si>
    <t>CS24908</t>
  </si>
  <si>
    <t>CS24426</t>
  </si>
  <si>
    <t>CS24217</t>
  </si>
  <si>
    <t>CS24370</t>
  </si>
  <si>
    <t>CS24477</t>
  </si>
  <si>
    <t>CS24310</t>
  </si>
  <si>
    <t>CS24717</t>
  </si>
  <si>
    <t>CS24341</t>
  </si>
  <si>
    <t>CS24080</t>
  </si>
  <si>
    <t>CS25194</t>
  </si>
  <si>
    <t>CS24100</t>
  </si>
  <si>
    <t>CS24165</t>
  </si>
  <si>
    <t>CS25598</t>
  </si>
  <si>
    <t>CS25075</t>
  </si>
  <si>
    <t>CS24668</t>
  </si>
  <si>
    <t>CS24361</t>
  </si>
  <si>
    <t>CS24822</t>
  </si>
  <si>
    <t>CS24302</t>
  </si>
  <si>
    <t>CS24864</t>
  </si>
  <si>
    <t>CS24654</t>
  </si>
  <si>
    <t>CS24125</t>
  </si>
  <si>
    <t>CS24725</t>
  </si>
  <si>
    <t>CS24622</t>
  </si>
  <si>
    <t>CS25611</t>
  </si>
  <si>
    <t>CS25072</t>
  </si>
  <si>
    <t>CS24880</t>
  </si>
  <si>
    <t>CS24859</t>
  </si>
  <si>
    <t>CS25258</t>
  </si>
  <si>
    <t>CS24858</t>
  </si>
  <si>
    <t>CS24491</t>
  </si>
  <si>
    <t>CS24429</t>
  </si>
  <si>
    <t>CS24258</t>
  </si>
  <si>
    <t>CS24092</t>
  </si>
  <si>
    <t>CS25304</t>
  </si>
  <si>
    <t>CS25242</t>
  </si>
  <si>
    <t>CS24959</t>
  </si>
  <si>
    <t>CS24440</t>
  </si>
  <si>
    <t>CS24107</t>
  </si>
  <si>
    <t>CS24096</t>
  </si>
  <si>
    <t>CS24040</t>
  </si>
  <si>
    <t>CS25590</t>
  </si>
  <si>
    <t>CS25064</t>
  </si>
  <si>
    <t>CS25008</t>
  </si>
  <si>
    <t>CS25656</t>
  </si>
  <si>
    <t>CS25182</t>
  </si>
  <si>
    <t>CS25165</t>
  </si>
  <si>
    <t>CS25108</t>
  </si>
  <si>
    <t>CS24764</t>
  </si>
  <si>
    <t>CS24636</t>
  </si>
  <si>
    <t>CS24094</t>
  </si>
  <si>
    <t>CS24024</t>
  </si>
  <si>
    <t>CS25641</t>
  </si>
  <si>
    <t>CS24688</t>
  </si>
  <si>
    <t>CS24643</t>
  </si>
  <si>
    <t>CS24416</t>
  </si>
  <si>
    <t>CS25613</t>
  </si>
  <si>
    <t>CS25221</t>
  </si>
  <si>
    <t>CS25152</t>
  </si>
  <si>
    <t>CS25099</t>
  </si>
  <si>
    <t>CS25039</t>
  </si>
  <si>
    <t>CS24493</t>
  </si>
  <si>
    <t>CS25190</t>
  </si>
  <si>
    <t>CS24771</t>
  </si>
  <si>
    <t>CS25643</t>
  </si>
  <si>
    <t>CS25204</t>
  </si>
  <si>
    <t>CS24992</t>
  </si>
  <si>
    <t>CS24537</t>
  </si>
  <si>
    <t>CS25615</t>
  </si>
  <si>
    <t>CS24371</t>
  </si>
  <si>
    <t>CS24326</t>
  </si>
  <si>
    <t>CS24831</t>
  </si>
  <si>
    <t>CS24699</t>
  </si>
  <si>
    <t>CS24624</t>
  </si>
  <si>
    <t>CS24559</t>
  </si>
  <si>
    <t>CS25308</t>
  </si>
  <si>
    <t>CS25287</t>
  </si>
  <si>
    <t>CS24671</t>
  </si>
  <si>
    <t>CS24536</t>
  </si>
  <si>
    <t>CS24395</t>
  </si>
  <si>
    <t>CS25158</t>
  </si>
  <si>
    <t>CS25118</t>
  </si>
  <si>
    <t>CS25116</t>
  </si>
  <si>
    <t>CS24733</t>
  </si>
  <si>
    <t>CS25680</t>
  </si>
  <si>
    <t>CS25107</t>
  </si>
  <si>
    <t>CS25136</t>
  </si>
  <si>
    <t>CS24935</t>
  </si>
  <si>
    <t>CS25650</t>
  </si>
  <si>
    <t>CS25594</t>
  </si>
  <si>
    <t>CS25609</t>
  </si>
  <si>
    <t>CS24819</t>
  </si>
  <si>
    <t>CS24846</t>
  </si>
  <si>
    <t>CS25691</t>
  </si>
  <si>
    <t>CS25301</t>
  </si>
  <si>
    <t>CS25164</t>
  </si>
  <si>
    <t>CS24698</t>
  </si>
  <si>
    <t>CS24553</t>
  </si>
  <si>
    <t>CS24466</t>
  </si>
  <si>
    <t>CS24448</t>
  </si>
  <si>
    <t>CS24315</t>
  </si>
  <si>
    <t>CS25655</t>
  </si>
  <si>
    <t>CS25220</t>
  </si>
  <si>
    <t>CS25171</t>
  </si>
  <si>
    <t>CS24854</t>
  </si>
  <si>
    <t>CS24655</t>
  </si>
  <si>
    <t>CS24300</t>
  </si>
  <si>
    <t>CS25015</t>
  </si>
  <si>
    <t>CS24587</t>
  </si>
  <si>
    <t>CS24963</t>
  </si>
  <si>
    <t>CS24988</t>
  </si>
  <si>
    <t>CS25013</t>
  </si>
  <si>
    <t>CS24607</t>
  </si>
  <si>
    <t>CS24461</t>
  </si>
  <si>
    <t>CS24065</t>
  </si>
  <si>
    <t>CS25115</t>
  </si>
  <si>
    <t>CS24964</t>
  </si>
  <si>
    <t>CS25250</t>
  </si>
  <si>
    <t>CS24711</t>
  </si>
  <si>
    <t>CS24696</t>
  </si>
  <si>
    <t>CS25282</t>
  </si>
  <si>
    <t>CS25735</t>
  </si>
  <si>
    <t>CS25705</t>
  </si>
  <si>
    <t>CS24704</t>
  </si>
  <si>
    <t>CS25062</t>
  </si>
  <si>
    <t>CS24856</t>
  </si>
  <si>
    <t>CS25619</t>
  </si>
  <si>
    <t>CS24817</t>
  </si>
  <si>
    <t>CS24394</t>
  </si>
  <si>
    <t>CS24459</t>
  </si>
  <si>
    <t>CS24115</t>
  </si>
  <si>
    <t>CS25625</t>
  </si>
  <si>
    <t>CS25222</t>
  </si>
  <si>
    <t>CS24381</t>
  </si>
  <si>
    <t>CS25154</t>
  </si>
  <si>
    <t>CS25029</t>
  </si>
  <si>
    <t>CS24924</t>
  </si>
  <si>
    <t>CS25628</t>
  </si>
  <si>
    <t>CS25624</t>
  </si>
  <si>
    <t>CS25105</t>
  </si>
  <si>
    <t>CS25066</t>
  </si>
  <si>
    <t>CS24673</t>
  </si>
  <si>
    <t>CS25209</t>
  </si>
  <si>
    <t>CS24991</t>
  </si>
  <si>
    <t>CS24897</t>
  </si>
  <si>
    <t>CS24749</t>
  </si>
  <si>
    <t>CS24428</t>
  </si>
  <si>
    <t>CS25651</t>
  </si>
  <si>
    <t>CS25021</t>
  </si>
  <si>
    <t>CS25247</t>
  </si>
  <si>
    <t>CS24812</t>
  </si>
  <si>
    <t>CS24041</t>
  </si>
  <si>
    <t>CS25579</t>
  </si>
  <si>
    <t>CS24540</t>
  </si>
  <si>
    <t>CS24707</t>
  </si>
  <si>
    <t>CS24122</t>
  </si>
  <si>
    <t>CS25170</t>
  </si>
  <si>
    <t>CS24021</t>
  </si>
  <si>
    <t>CS25037</t>
  </si>
  <si>
    <t>CS24397</t>
  </si>
  <si>
    <t>CS24862</t>
  </si>
  <si>
    <t>CS25266</t>
  </si>
  <si>
    <t>CS25177</t>
  </si>
  <si>
    <t>CS24079</t>
  </si>
  <si>
    <t>CS25580</t>
  </si>
  <si>
    <t>CS25023</t>
  </si>
  <si>
    <t>CS24481</t>
  </si>
  <si>
    <t>CS24089</t>
  </si>
  <si>
    <t>CS25704</t>
  </si>
  <si>
    <t>CS24569</t>
  </si>
  <si>
    <t>CS24674</t>
  </si>
  <si>
    <t>CS24618</t>
  </si>
  <si>
    <t>CS25191</t>
  </si>
  <si>
    <t>CS25629</t>
  </si>
  <si>
    <t>CS25627</t>
  </si>
  <si>
    <t>CS25096</t>
  </si>
  <si>
    <t>CS25631</t>
  </si>
  <si>
    <t>CS25012</t>
  </si>
  <si>
    <t>CS24700</t>
  </si>
  <si>
    <t>CS24565</t>
  </si>
  <si>
    <t>CS24586</t>
  </si>
  <si>
    <t>CS25297</t>
  </si>
  <si>
    <t>CS25277</t>
  </si>
  <si>
    <t>CS24712</t>
  </si>
  <si>
    <t>CS24697</t>
  </si>
  <si>
    <t>CS24604</t>
  </si>
  <si>
    <t>CS24594</t>
  </si>
  <si>
    <t>CS24086</t>
  </si>
  <si>
    <t>CS25162</t>
  </si>
  <si>
    <t>CS25133</t>
  </si>
  <si>
    <t>CS24813</t>
  </si>
  <si>
    <t>CS24596</t>
  </si>
  <si>
    <t>CS24304</t>
  </si>
  <si>
    <t>CS24629</t>
  </si>
  <si>
    <t>CS24073</t>
  </si>
  <si>
    <t>CS24525</t>
  </si>
  <si>
    <t>CS24401</t>
  </si>
  <si>
    <t>CS24593</t>
  </si>
  <si>
    <t>CS24263</t>
  </si>
  <si>
    <t>CS24287</t>
  </si>
  <si>
    <t>CS24873</t>
  </si>
  <si>
    <t>CS24623</t>
  </si>
  <si>
    <t>CS24406</t>
  </si>
  <si>
    <t>CS24376</t>
  </si>
  <si>
    <t>CS24093</t>
  </si>
  <si>
    <t>CS24271</t>
  </si>
  <si>
    <t>CS24059</t>
  </si>
  <si>
    <t>CS25678</t>
  </si>
  <si>
    <t>CS25267</t>
  </si>
  <si>
    <t>CS25147</t>
  </si>
  <si>
    <t>CS24714</t>
  </si>
  <si>
    <t>CS25660</t>
  </si>
  <si>
    <t>CS25143</t>
  </si>
  <si>
    <t>CS25020</t>
  </si>
  <si>
    <t>CS24790</t>
  </si>
  <si>
    <t>CS24633</t>
  </si>
  <si>
    <t>CS24253</t>
  </si>
  <si>
    <t>CS24087</t>
  </si>
  <si>
    <t>CS24403</t>
  </si>
  <si>
    <t>CS24340</t>
  </si>
  <si>
    <t>CS25024</t>
  </si>
  <si>
    <t>CS24942</t>
  </si>
  <si>
    <t>CS24896</t>
  </si>
  <si>
    <t>CS25659</t>
  </si>
  <si>
    <t>CS25268</t>
  </si>
  <si>
    <t>CS25202</t>
  </si>
  <si>
    <t>CS24832</t>
  </si>
  <si>
    <t>CS24066</t>
  </si>
  <si>
    <t>CS25167</t>
  </si>
  <si>
    <t>CS24512</t>
  </si>
  <si>
    <t>CS25602</t>
  </si>
  <si>
    <t>CS25577</t>
  </si>
  <si>
    <t>CS25025</t>
  </si>
  <si>
    <t>CS24292</t>
  </si>
  <si>
    <t>CS25077</t>
  </si>
  <si>
    <t>CS25636</t>
  </si>
  <si>
    <t>CS25596</t>
  </si>
  <si>
    <t>CS25002</t>
  </si>
  <si>
    <t>CS24877</t>
  </si>
  <si>
    <t>CS25186</t>
  </si>
  <si>
    <t>CS24745</t>
  </si>
  <si>
    <t>CS25166</t>
  </si>
  <si>
    <t>CS25089</t>
  </si>
  <si>
    <t>CS24324</t>
  </si>
  <si>
    <t>CS24045</t>
  </si>
  <si>
    <t>CS24063</t>
  </si>
  <si>
    <t>CS24362</t>
  </si>
  <si>
    <t>CS24223</t>
  </si>
  <si>
    <t>CS25185</t>
  </si>
  <si>
    <t>CS24962</t>
  </si>
  <si>
    <t>CS24921</t>
  </si>
  <si>
    <t>CS24220</t>
  </si>
  <si>
    <t>CS24197</t>
  </si>
  <si>
    <t>CS24183</t>
  </si>
  <si>
    <t>CS24128</t>
  </si>
  <si>
    <t>CS24102</t>
  </si>
  <si>
    <t>CS25181</t>
  </si>
  <si>
    <t>CS25159</t>
  </si>
  <si>
    <t>CS24616</t>
  </si>
  <si>
    <t>CS24057</t>
  </si>
  <si>
    <t>CS24354</t>
  </si>
  <si>
    <t>CS24030</t>
  </si>
  <si>
    <t>CS25703</t>
  </si>
  <si>
    <t>CS25255</t>
  </si>
  <si>
    <t>CS24936</t>
  </si>
  <si>
    <t>CS24413</t>
  </si>
  <si>
    <t>CS24933</t>
  </si>
  <si>
    <t>CS24937</t>
  </si>
  <si>
    <t>CS24876</t>
  </si>
  <si>
    <t>CS24054</t>
  </si>
  <si>
    <t>CS24294</t>
  </si>
  <si>
    <t>CS25701</t>
  </si>
  <si>
    <t>CS24181</t>
  </si>
  <si>
    <t>CS25046</t>
  </si>
  <si>
    <t>CS24228</t>
  </si>
  <si>
    <t>CS24147</t>
  </si>
  <si>
    <t>CS25719</t>
  </si>
  <si>
    <t>CS25274</t>
  </si>
  <si>
    <t>CS25056</t>
  </si>
  <si>
    <t>CS24383</t>
  </si>
  <si>
    <t>CS24943</t>
  </si>
  <si>
    <t>CS24916</t>
  </si>
  <si>
    <t>CS24209</t>
  </si>
  <si>
    <t>CS24293</t>
  </si>
  <si>
    <t>CS25621</t>
  </si>
  <si>
    <t>CS24180</t>
  </si>
  <si>
    <t>CS24870</t>
  </si>
  <si>
    <t>CS24131</t>
  </si>
  <si>
    <t>CS24799</t>
  </si>
  <si>
    <t>CS24841</t>
  </si>
  <si>
    <t>CS24619</t>
  </si>
  <si>
    <t>CS24356</t>
  </si>
  <si>
    <t>CS24103</t>
  </si>
  <si>
    <t>CS24947</t>
  </si>
  <si>
    <t>CS24316</t>
  </si>
  <si>
    <t>CS24273</t>
  </si>
  <si>
    <t>CS25112</t>
  </si>
  <si>
    <t>CS25095</t>
  </si>
  <si>
    <t>CS24800</t>
  </si>
  <si>
    <t>CS24178</t>
  </si>
  <si>
    <t>CS24198</t>
  </si>
  <si>
    <t>CS25312</t>
  </si>
  <si>
    <t>CS24141</t>
  </si>
  <si>
    <t>CS25740</t>
  </si>
  <si>
    <t>CS25104</t>
  </si>
  <si>
    <t>CS25034</t>
  </si>
  <si>
    <t>CS24235</t>
  </si>
  <si>
    <t>CS24384</t>
  </si>
  <si>
    <t>CS24123</t>
  </si>
  <si>
    <t>CS24885</t>
  </si>
  <si>
    <t>CS24782</t>
  </si>
  <si>
    <t>CS24609</t>
  </si>
  <si>
    <t>CS24431</t>
  </si>
  <si>
    <t>CS24237</t>
  </si>
  <si>
    <t>CS24156</t>
  </si>
  <si>
    <t>CS25206</t>
  </si>
  <si>
    <t>CS24912</t>
  </si>
  <si>
    <t>CS24350</t>
  </si>
  <si>
    <t>CS25632</t>
  </si>
  <si>
    <t>CS24422</t>
  </si>
  <si>
    <t>CS24297</t>
  </si>
  <si>
    <t>CS25738</t>
  </si>
  <si>
    <t>CS25633</t>
  </si>
  <si>
    <t>CS25729</t>
  </si>
  <si>
    <t>CS24818</t>
  </si>
  <si>
    <t>CS24847</t>
  </si>
  <si>
    <t>CS24346</t>
  </si>
  <si>
    <t>CS25669</t>
  </si>
  <si>
    <t>CS24922</t>
  </si>
  <si>
    <t>CS24267</t>
  </si>
  <si>
    <t>CS24254</t>
  </si>
  <si>
    <t>CS24155</t>
  </si>
  <si>
    <t>CS24839</t>
  </si>
  <si>
    <t>CS24460</t>
  </si>
  <si>
    <t>CS24348</t>
  </si>
  <si>
    <t>CS24234</t>
  </si>
  <si>
    <t>CS24056</t>
  </si>
  <si>
    <t>CS25663</t>
  </si>
  <si>
    <t>CS24677</t>
  </si>
  <si>
    <t>CS24716</t>
  </si>
  <si>
    <t>CS24205</t>
  </si>
  <si>
    <t>CS24266</t>
  </si>
  <si>
    <t>CS24175</t>
  </si>
  <si>
    <t>CS25214</t>
  </si>
  <si>
    <t>CS24265</t>
  </si>
  <si>
    <t>CS24280</t>
  </si>
  <si>
    <t>CS24236</t>
  </si>
  <si>
    <t>CS24239</t>
  </si>
  <si>
    <t>CS24034</t>
  </si>
  <si>
    <t>CS25262</t>
  </si>
  <si>
    <t>CS24952</t>
  </si>
  <si>
    <t>CS24739</t>
  </si>
  <si>
    <t>CS24177</t>
  </si>
  <si>
    <t>CS24872</t>
  </si>
  <si>
    <t>CS24737</t>
  </si>
  <si>
    <t>CS24650</t>
  </si>
  <si>
    <t>CS25711</t>
  </si>
  <si>
    <t>CS25668</t>
  </si>
  <si>
    <t>CS24914</t>
  </si>
  <si>
    <t>CS24509</t>
  </si>
  <si>
    <t>CS24161</t>
  </si>
  <si>
    <t>CS25661</t>
  </si>
  <si>
    <t>CS25584</t>
  </si>
  <si>
    <t>CS24884</t>
  </si>
  <si>
    <t>CS25576</t>
  </si>
  <si>
    <t>CS24242</t>
  </si>
  <si>
    <t>CS24435</t>
  </si>
  <si>
    <t>CS24442</t>
  </si>
  <si>
    <t>CS25599</t>
  </si>
  <si>
    <t>CS24515</t>
  </si>
  <si>
    <t>CS25605</t>
  </si>
  <si>
    <t>CS24308</t>
  </si>
  <si>
    <t>CS24101</t>
  </si>
  <si>
    <t>CS25618</t>
  </si>
  <si>
    <t>CS24535</t>
  </si>
  <si>
    <t>CS24184</t>
  </si>
  <si>
    <t>CS24133</t>
  </si>
  <si>
    <t>CS24408</t>
  </si>
  <si>
    <t>CS24129</t>
  </si>
  <si>
    <t>CS24881</t>
  </si>
  <si>
    <t>CS24337</t>
  </si>
  <si>
    <t>CS24132</t>
  </si>
  <si>
    <t>CS24075</t>
  </si>
  <si>
    <t>CS25261</t>
  </si>
  <si>
    <t>CS25125</t>
  </si>
  <si>
    <t>CS25709</t>
  </si>
  <si>
    <t>CS25219</t>
  </si>
  <si>
    <t>CS24901</t>
  </si>
  <si>
    <t>CS24890</t>
  </si>
  <si>
    <t>CS24457</t>
  </si>
  <si>
    <t>CS24555</t>
  </si>
  <si>
    <t>CS25225</t>
  </si>
  <si>
    <t>CS25236</t>
  </si>
  <si>
    <t>CS25459</t>
  </si>
  <si>
    <t>CS25150</t>
  </si>
  <si>
    <t>CS25367</t>
  </si>
  <si>
    <t>CS24994</t>
  </si>
  <si>
    <t>CS24907</t>
  </si>
  <si>
    <t>CS24987</t>
  </si>
  <si>
    <t>CS24875</t>
  </si>
  <si>
    <t>CS24547</t>
  </si>
  <si>
    <t>CS24949</t>
  </si>
  <si>
    <t>CS24212</t>
  </si>
  <si>
    <t>CS24498</t>
  </si>
  <si>
    <t>CS24070</t>
  </si>
  <si>
    <t>CS25123</t>
  </si>
  <si>
    <t>CS24718</t>
  </si>
  <si>
    <t>CS24443</t>
  </si>
  <si>
    <t>CS24071</t>
  </si>
  <si>
    <t>CS25090</t>
  </si>
  <si>
    <t>CS24033</t>
  </si>
  <si>
    <t>CS24600</t>
  </si>
  <si>
    <t>CS24464</t>
  </si>
  <si>
    <t>CS24468</t>
  </si>
  <si>
    <t>CS25048</t>
  </si>
  <si>
    <t>CS24689</t>
  </si>
  <si>
    <t>CS24091</t>
  </si>
  <si>
    <t>CS24735</t>
  </si>
  <si>
    <t>CS25139</t>
  </si>
  <si>
    <t>CS24855</t>
  </si>
  <si>
    <t>CS24758</t>
  </si>
  <si>
    <t>CS24325</t>
  </si>
  <si>
    <t>CS24111</t>
  </si>
  <si>
    <t>CS24770</t>
  </si>
  <si>
    <t>CS24626</t>
  </si>
  <si>
    <t>CS25249</t>
  </si>
  <si>
    <t>CS25087</t>
  </si>
  <si>
    <t>CS25067</t>
  </si>
  <si>
    <t>CS25005</t>
  </si>
  <si>
    <t>CS24571</t>
  </si>
  <si>
    <t>CS24368</t>
  </si>
  <si>
    <t>CS24827</t>
  </si>
  <si>
    <t>CS24809</t>
  </si>
  <si>
    <t>CS24614</t>
  </si>
  <si>
    <t>CS24568</t>
  </si>
  <si>
    <t>CS24339</t>
  </si>
  <si>
    <t>CS24069</t>
  </si>
  <si>
    <t>CS24052</t>
  </si>
  <si>
    <t>CS24281</t>
  </si>
  <si>
    <t>CS25690</t>
  </si>
  <si>
    <t>CS25161</t>
  </si>
  <si>
    <t>CS24621</t>
  </si>
  <si>
    <t>CS24702</t>
  </si>
  <si>
    <t>CS25658</t>
  </si>
  <si>
    <t>CS25031</t>
  </si>
  <si>
    <t>CS24763</t>
  </si>
  <si>
    <t>CS24076</t>
  </si>
  <si>
    <t>CS24592</t>
  </si>
  <si>
    <t>CS25665</t>
  </si>
  <si>
    <t>CS24112</t>
  </si>
  <si>
    <t>CS25179</t>
  </si>
  <si>
    <t>CS25289</t>
  </si>
  <si>
    <t>CS24342</t>
  </si>
  <si>
    <t>CS25736</t>
  </si>
  <si>
    <t>CS24792</t>
  </si>
  <si>
    <t>CS24489</t>
  </si>
  <si>
    <t>CS25314</t>
  </si>
  <si>
    <t>CS24330</t>
  </si>
  <si>
    <t>CS24545</t>
  </si>
  <si>
    <t>CS24393</t>
  </si>
  <si>
    <t>CS24108</t>
  </si>
  <si>
    <t>CS24379</t>
  </si>
  <si>
    <t>CS24693</t>
  </si>
  <si>
    <t>CS24575</t>
  </si>
  <si>
    <t>CS24078</t>
  </si>
  <si>
    <t>CS25731</t>
  </si>
  <si>
    <t>CS24486</t>
  </si>
  <si>
    <t>CS24126</t>
  </si>
  <si>
    <t>CS25135</t>
  </si>
  <si>
    <t>CS24549</t>
  </si>
  <si>
    <t>CS25310</t>
  </si>
  <si>
    <t>CS24243</t>
  </si>
  <si>
    <t>CS24530</t>
  </si>
  <si>
    <t>CS24313</t>
  </si>
  <si>
    <t>CS25295</t>
  </si>
  <si>
    <t>CS25057</t>
  </si>
  <si>
    <t>CS24793</t>
  </si>
  <si>
    <t>CS24755</t>
  </si>
  <si>
    <t>CS24715</t>
  </si>
  <si>
    <t>CS24679</t>
  </si>
  <si>
    <t>CS24603</t>
  </si>
  <si>
    <t>CS24527</t>
  </si>
  <si>
    <t>CS24601</t>
  </si>
  <si>
    <t>CS24345</t>
  </si>
  <si>
    <t>CS24768</t>
  </si>
  <si>
    <t>CS24098</t>
  </si>
  <si>
    <t>CS24286</t>
  </si>
  <si>
    <t>CS25151</t>
  </si>
  <si>
    <t>CS25038</t>
  </si>
  <si>
    <t>CS24644</t>
  </si>
  <si>
    <t>CS24664</t>
  </si>
  <si>
    <t>CS24590</t>
  </si>
  <si>
    <t>CS24469</t>
  </si>
  <si>
    <t>CS24533</t>
  </si>
  <si>
    <t>CS24670</t>
  </si>
  <si>
    <t>CS24081</t>
  </si>
  <si>
    <t>CS25097</t>
  </si>
  <si>
    <t>CS24591</t>
  </si>
  <si>
    <t>CS24691</t>
  </si>
  <si>
    <t>CS24439</t>
  </si>
  <si>
    <t>CS24211</t>
  </si>
  <si>
    <t>CS25141</t>
  </si>
  <si>
    <t>CS24874</t>
  </si>
  <si>
    <t>CS24667</t>
  </si>
  <si>
    <t>CS24157</t>
  </si>
  <si>
    <t>CS24171</t>
  </si>
  <si>
    <t>CS24194</t>
  </si>
  <si>
    <t>CS24137</t>
  </si>
  <si>
    <t>CS25044</t>
  </si>
  <si>
    <t>CS24173</t>
  </si>
  <si>
    <t>CS25256</t>
  </si>
  <si>
    <t>CS24703</t>
  </si>
  <si>
    <t>CS24710</t>
  </si>
  <si>
    <t>CS24979</t>
  </si>
  <si>
    <t>CS24830</t>
  </si>
  <si>
    <t>CS24538</t>
  </si>
  <si>
    <t>CS24227</t>
  </si>
  <si>
    <t>CS24208</t>
  </si>
  <si>
    <t>CS24222</t>
  </si>
  <si>
    <t>CS24595</t>
  </si>
  <si>
    <t>CS24353</t>
  </si>
  <si>
    <t>CS24140</t>
  </si>
  <si>
    <t>CS25101</t>
  </si>
  <si>
    <t>CS25041</t>
  </si>
  <si>
    <t>CS24507</t>
  </si>
  <si>
    <t>CS24389</t>
  </si>
  <si>
    <t>CS24170</t>
  </si>
  <si>
    <t>CS24602</t>
  </si>
  <si>
    <t>CS24037</t>
  </si>
  <si>
    <t>CS24539</t>
  </si>
  <si>
    <t>CS24139</t>
  </si>
  <si>
    <t>CS24989</t>
  </si>
  <si>
    <t>CS24077</t>
  </si>
  <si>
    <t>CS24174</t>
  </si>
  <si>
    <t>CS24136</t>
  </si>
  <si>
    <t>CS24186</t>
  </si>
  <si>
    <t>CS24766</t>
  </si>
  <si>
    <t>CS24620</t>
  </si>
  <si>
    <t>CS24218</t>
  </si>
  <si>
    <t>CS25240</t>
  </si>
  <si>
    <t>CS24778</t>
  </si>
  <si>
    <t>CS24436</t>
  </si>
  <si>
    <t>CS25153</t>
  </si>
  <si>
    <t>CS24932</t>
  </si>
  <si>
    <t>CS24203</t>
  </si>
  <si>
    <t>CS24652</t>
  </si>
  <si>
    <t>CS24657</t>
  </si>
  <si>
    <t>CS24047</t>
  </si>
  <si>
    <t>CS24202</t>
  </si>
  <si>
    <t>CS24585</t>
  </si>
  <si>
    <t>CS24558</t>
  </si>
  <si>
    <t>CS24576</t>
  </si>
  <si>
    <t>CS24144</t>
  </si>
  <si>
    <t>CS24200</t>
  </si>
  <si>
    <t>CS24162</t>
  </si>
  <si>
    <t>CS25081</t>
  </si>
  <si>
    <t>CS24516</t>
  </si>
  <si>
    <t>CS25386</t>
  </si>
  <si>
    <t>CS24295</t>
  </si>
  <si>
    <t>CS25424</t>
  </si>
  <si>
    <t>CS25351</t>
  </si>
  <si>
    <t>CS25359</t>
  </si>
  <si>
    <t>CS24984</t>
  </si>
  <si>
    <t>CS24966</t>
  </si>
  <si>
    <t>CS25032</t>
  </si>
  <si>
    <t>CS25589</t>
  </si>
  <si>
    <t>CS24709</t>
  </si>
  <si>
    <t>CS24676</t>
  </si>
  <si>
    <t>CS24188</t>
  </si>
  <si>
    <t>CS25228</t>
  </si>
  <si>
    <t>CS24694</t>
  </si>
  <si>
    <t>CS25458</t>
  </si>
  <si>
    <t>CS25549</t>
  </si>
  <si>
    <t>CS25536</t>
  </si>
  <si>
    <t>CS25332</t>
  </si>
  <si>
    <t>CS25555</t>
  </si>
  <si>
    <t>CS25401</t>
  </si>
  <si>
    <t>CS25679</t>
  </si>
  <si>
    <t>CS25570</t>
  </si>
  <si>
    <t>CS25491</t>
  </si>
  <si>
    <t>CS25560</t>
  </si>
  <si>
    <t>CS25558</t>
  </si>
  <si>
    <t>CS25496</t>
  </si>
  <si>
    <t>CS25330</t>
  </si>
  <si>
    <t>CS25723</t>
  </si>
  <si>
    <t>CS25492</t>
  </si>
  <si>
    <t>CS25485</t>
  </si>
  <si>
    <t>CS25442</t>
  </si>
  <si>
    <t>CS25553</t>
  </si>
  <si>
    <t>CS25370</t>
  </si>
  <si>
    <t>CS25477</t>
  </si>
  <si>
    <t>CS25416</t>
  </si>
  <si>
    <t>CS25567</t>
  </si>
  <si>
    <t>CS25524</t>
  </si>
  <si>
    <t>CS25528</t>
  </si>
  <si>
    <t>CS25529</t>
  </si>
  <si>
    <t>CS25411</t>
  </si>
  <si>
    <t>CS25358</t>
  </si>
  <si>
    <t>CS25715</t>
  </si>
  <si>
    <t>CS25548</t>
  </si>
  <si>
    <t>CS25539</t>
  </si>
  <si>
    <t>CS25443</t>
  </si>
  <si>
    <t>CS25356</t>
  </si>
  <si>
    <t>CS25377</t>
  </si>
  <si>
    <t>CS25421</t>
  </si>
  <si>
    <t>CS25540</t>
  </si>
  <si>
    <t>CS25515</t>
  </si>
  <si>
    <t>CS25384</t>
  </si>
  <si>
    <t>CS25390</t>
  </si>
  <si>
    <t>CS25507</t>
  </si>
  <si>
    <t>CS25455</t>
  </si>
  <si>
    <t>CS25328</t>
  </si>
  <si>
    <t>CS25419</t>
  </si>
  <si>
    <t>CS25317</t>
  </si>
  <si>
    <t>CS25452</t>
  </si>
  <si>
    <t>CS25456</t>
  </si>
  <si>
    <t>CS25504</t>
  </si>
  <si>
    <t>CS25320</t>
  </si>
  <si>
    <t>CS25544</t>
  </si>
  <si>
    <t>CS25467</t>
  </si>
  <si>
    <t>CS25508</t>
  </si>
  <si>
    <t>CS25480</t>
  </si>
  <si>
    <t>CS25431</t>
  </si>
  <si>
    <t>CS25363</t>
  </si>
  <si>
    <t>CS25352</t>
  </si>
  <si>
    <t>CS25673</t>
  </si>
  <si>
    <t>CS25439</t>
  </si>
  <si>
    <t>CS25683</t>
  </si>
  <si>
    <t>CS25449</t>
  </si>
  <si>
    <t>CS25354</t>
  </si>
  <si>
    <t>CS25326</t>
  </si>
  <si>
    <t>CS25489</t>
  </si>
  <si>
    <t>CS25689</t>
  </si>
  <si>
    <t>CS25365</t>
  </si>
  <si>
    <t>CS25547</t>
  </si>
  <si>
    <t>CS25348</t>
  </si>
  <si>
    <t>CS25391</t>
  </si>
  <si>
    <t>CS25460</t>
  </si>
  <si>
    <t>CS25415</t>
  </si>
  <si>
    <t>CS25420</t>
  </si>
  <si>
    <t>CS25338</t>
  </si>
  <si>
    <t>CS25569</t>
  </si>
  <si>
    <t>CS25441</t>
  </si>
  <si>
    <t>CS25447</t>
  </si>
  <si>
    <t>CS25409</t>
  </si>
  <si>
    <t>CS25399</t>
  </si>
  <si>
    <t>CS25506</t>
  </si>
  <si>
    <t>CS25453</t>
  </si>
  <si>
    <t>CS25444</t>
  </si>
  <si>
    <t>CS25402</t>
  </si>
  <si>
    <t>CS25521</t>
  </si>
  <si>
    <t>CS25438</t>
  </si>
  <si>
    <t>CS25543</t>
  </si>
  <si>
    <t>CS25357</t>
  </si>
  <si>
    <t>CS25432</t>
  </si>
  <si>
    <t>CS25534</t>
  </si>
  <si>
    <t>CS25513</t>
  </si>
  <si>
    <t>CS25500</t>
  </si>
  <si>
    <t>CS25410</t>
  </si>
  <si>
    <t>CS25366</t>
  </si>
  <si>
    <t>CS25393</t>
  </si>
  <si>
    <t>CS25368</t>
  </si>
  <si>
    <t>CS25457</t>
  </si>
  <si>
    <t>CS25440</t>
  </si>
  <si>
    <t>CS25394</t>
  </si>
  <si>
    <t>CS25498</t>
  </si>
  <si>
    <t>CS25681</t>
  </si>
  <si>
    <t>CS25454</t>
  </si>
  <si>
    <t>CS25523</t>
  </si>
  <si>
    <t>CS25475</t>
  </si>
  <si>
    <t>CS25389</t>
  </si>
  <si>
    <t>CS25557</t>
  </si>
  <si>
    <t>CS25517</t>
  </si>
  <si>
    <t>CS25510</t>
  </si>
  <si>
    <t>CS25446</t>
  </si>
  <si>
    <t>CS25344</t>
  </si>
  <si>
    <t>CS25422</t>
  </si>
  <si>
    <t>CS25340</t>
  </si>
  <si>
    <t>CS25331</t>
  </si>
  <si>
    <t>CS25329</t>
  </si>
  <si>
    <t>CS25373</t>
  </si>
  <si>
    <t>CS25527</t>
  </si>
  <si>
    <t>CS25509</t>
  </si>
  <si>
    <t>CS25482</t>
  </si>
  <si>
    <t>CS25546</t>
  </si>
  <si>
    <t>CS25434</t>
  </si>
  <si>
    <t>CS25346</t>
  </si>
  <si>
    <t>CS25483</t>
  </si>
  <si>
    <t>CS25423</t>
  </si>
  <si>
    <t>CS25381</t>
  </si>
  <si>
    <t>CS25435</t>
  </si>
  <si>
    <t>CS25347</t>
  </si>
  <si>
    <t>CS25414</t>
  </si>
  <si>
    <t>CS25335</t>
  </si>
  <si>
    <t>CS25550</t>
  </si>
  <si>
    <t>CS25561</t>
  </si>
  <si>
    <t>CS25345</t>
  </si>
  <si>
    <t>CS25397</t>
  </si>
  <si>
    <t>CS25571</t>
  </si>
  <si>
    <t>CS25518</t>
  </si>
  <si>
    <t>CS25350</t>
  </si>
  <si>
    <t>CS25362</t>
  </si>
  <si>
    <t>CS25530</t>
  </si>
  <si>
    <t>CS25464</t>
  </si>
  <si>
    <t>CS25322</t>
  </si>
  <si>
    <t>CS24215</t>
  </si>
  <si>
    <t>CS25168</t>
  </si>
  <si>
    <t>CS25644</t>
  </si>
  <si>
    <t>CS25120</t>
  </si>
  <si>
    <t>CS24840</t>
  </si>
  <si>
    <t>CS24692</t>
  </si>
  <si>
    <t>CS25239</t>
  </si>
  <si>
    <t>CS24398</t>
  </si>
  <si>
    <t>CS25307</t>
  </si>
  <si>
    <t>CS24648</t>
  </si>
  <si>
    <t>CS24513</t>
  </si>
  <si>
    <t>CS24883</t>
  </si>
  <si>
    <t>CS25538</t>
  </si>
  <si>
    <t>CS25380</t>
  </si>
  <si>
    <t>CS25712</t>
  </si>
  <si>
    <t>CS24925</t>
  </si>
  <si>
    <t>CS24349</t>
  </si>
  <si>
    <t>CS24823</t>
  </si>
  <si>
    <t>CS25606</t>
  </si>
  <si>
    <t>CS24556</t>
  </si>
  <si>
    <t>CS24053</t>
  </si>
  <si>
    <t>CS25634</t>
  </si>
  <si>
    <t>CS24451</t>
  </si>
  <si>
    <t>CS24261</t>
  </si>
  <si>
    <t>CS24518</t>
  </si>
  <si>
    <t>CS25211</t>
  </si>
  <si>
    <t>CS24369</t>
  </si>
  <si>
    <t>CS24608</t>
  </si>
  <si>
    <t>CS24411</t>
  </si>
  <si>
    <t>CS24909</t>
  </si>
  <si>
    <t>CS24453</t>
  </si>
  <si>
    <t>CS24661</t>
  </si>
  <si>
    <t>CS24309</t>
  </si>
  <si>
    <t>CS25717</t>
  </si>
  <si>
    <t>CS25272</t>
  </si>
  <si>
    <t>CS25069</t>
  </si>
  <si>
    <t>CS25281</t>
  </si>
  <si>
    <t>CS25207</t>
  </si>
  <si>
    <t>CS24736</t>
  </si>
  <si>
    <t>CS24191</t>
  </si>
  <si>
    <t>CS25537</t>
  </si>
  <si>
    <t>CS25542</t>
  </si>
  <si>
    <t>CS24672</t>
  </si>
  <si>
    <t>CS25514</t>
  </si>
  <si>
    <t>CS24625</t>
  </si>
  <si>
    <t>CS24134</t>
  </si>
  <si>
    <t>CS25718</t>
  </si>
  <si>
    <t>CS25173</t>
  </si>
  <si>
    <t>CS24777</t>
  </si>
  <si>
    <t>CS24256</t>
  </si>
  <si>
    <t>CS24364</t>
  </si>
  <si>
    <t>CS25551</t>
  </si>
  <si>
    <t>CS25445</t>
  </si>
  <si>
    <t>CS24519</t>
  </si>
  <si>
    <t>CS25400</t>
  </si>
  <si>
    <t>CS24289</t>
  </si>
  <si>
    <t>CS24860</t>
  </si>
  <si>
    <t>CS24409</t>
  </si>
  <si>
    <t>CS24640</t>
  </si>
  <si>
    <t>CS24201</t>
  </si>
  <si>
    <t>CS24973</t>
  </si>
  <si>
    <t>CS24878</t>
  </si>
  <si>
    <t>CS24974</t>
  </si>
  <si>
    <t>CS24467</t>
  </si>
  <si>
    <t>CS24321</t>
  </si>
  <si>
    <t>CS24534</t>
  </si>
  <si>
    <t>CS24968</t>
  </si>
  <si>
    <t>CS24930</t>
  </si>
  <si>
    <t>CS24705</t>
  </si>
  <si>
    <t>CS24476</t>
  </si>
  <si>
    <t>CS24290</t>
  </si>
  <si>
    <t>CS24721</t>
  </si>
  <si>
    <t>CS25685</t>
  </si>
  <si>
    <t>CS24262</t>
  </si>
  <si>
    <t>CS24660</t>
  </si>
  <si>
    <t>CS24082</t>
  </si>
  <si>
    <t>CS24551</t>
  </si>
  <si>
    <t>CS24238</t>
  </si>
  <si>
    <t>CS24757</t>
  </si>
  <si>
    <t>CS24838</t>
  </si>
  <si>
    <t>CS24566</t>
  </si>
  <si>
    <t>CS24478</t>
  </si>
  <si>
    <t>CS24567</t>
  </si>
  <si>
    <t>CS24857</t>
  </si>
  <si>
    <t>CS24780</t>
  </si>
  <si>
    <t>CS24255</t>
  </si>
  <si>
    <t>CS25693</t>
  </si>
  <si>
    <t>CS25556</t>
  </si>
  <si>
    <t>CS25426</t>
  </si>
  <si>
    <t>CS25193</t>
  </si>
  <si>
    <t>CS25102</t>
  </si>
  <si>
    <t>CS25140</t>
  </si>
  <si>
    <t>CS25378</t>
  </si>
  <si>
    <t>CS24726</t>
  </si>
  <si>
    <t>CS24833</t>
  </si>
  <si>
    <t>CS25292</t>
  </si>
  <si>
    <t>CS24097</t>
  </si>
  <si>
    <t>CS25060</t>
  </si>
  <si>
    <t>CS24761</t>
  </si>
  <si>
    <t>CS24135</t>
  </si>
  <si>
    <t>CS24562</t>
  </si>
  <si>
    <t>CS24437</t>
  </si>
  <si>
    <t>CS24805</t>
  </si>
  <si>
    <t>CS24906</t>
  </si>
  <si>
    <t>CS25725</t>
  </si>
  <si>
    <t>CS25200</t>
  </si>
  <si>
    <t>CS25073</t>
  </si>
  <si>
    <t>CS24521</t>
  </si>
  <si>
    <t>CS24996</t>
  </si>
  <si>
    <t>CS25137</t>
  </si>
  <si>
    <t>CS25172</t>
  </si>
  <si>
    <t>CS24145</t>
  </si>
  <si>
    <t>CS25702</t>
  </si>
  <si>
    <t>CS24806</t>
  </si>
  <si>
    <t>CS24599</t>
  </si>
  <si>
    <t>CS25296</t>
  </si>
  <si>
    <t>CS25392</t>
  </si>
  <si>
    <t>CS25231</t>
  </si>
  <si>
    <t>CS24028</t>
  </si>
  <si>
    <t>CS25061</t>
  </si>
  <si>
    <t>CS24769</t>
  </si>
  <si>
    <t>CS24695</t>
  </si>
  <si>
    <t>CS24148</t>
  </si>
  <si>
    <t>CS24151</t>
  </si>
  <si>
    <t>CS25657</t>
  </si>
  <si>
    <t>CS25184</t>
  </si>
  <si>
    <t>CS24455</t>
  </si>
  <si>
    <t>CS24241</t>
  </si>
  <si>
    <t>CS25175</t>
  </si>
  <si>
    <t>CS25473</t>
  </si>
  <si>
    <t>CS24496</t>
  </si>
  <si>
    <t>CS24955</t>
  </si>
  <si>
    <t>CS24042</t>
  </si>
  <si>
    <t>CS25134</t>
  </si>
  <si>
    <t>CS25722</t>
  </si>
  <si>
    <t>CS25342</t>
  </si>
  <si>
    <t>CS24278</t>
  </si>
  <si>
    <t>CS24986</t>
  </si>
  <si>
    <t>CS25080</t>
  </si>
  <si>
    <t>CS24727</t>
  </si>
  <si>
    <t>CS24248</t>
  </si>
  <si>
    <t>CS24779</t>
  </si>
  <si>
    <t>CS25208</t>
  </si>
  <si>
    <t>CS24573</t>
  </si>
  <si>
    <t>CS24646</t>
  </si>
  <si>
    <t>CS25142</t>
  </si>
  <si>
    <t>CS25325</t>
  </si>
  <si>
    <t>CS24850</t>
  </si>
  <si>
    <t>CS25707</t>
  </si>
  <si>
    <t>CS25045</t>
  </si>
  <si>
    <t>CS24570</t>
  </si>
  <si>
    <t>CS24490</t>
  </si>
  <si>
    <t>CS24948</t>
  </si>
  <si>
    <t>CS25511</t>
  </si>
  <si>
    <t>CS25121</t>
  </si>
  <si>
    <t>CS25667</t>
  </si>
  <si>
    <t>CS25203</t>
  </si>
  <si>
    <t>CS24043</t>
  </si>
  <si>
    <t>CS25642</t>
  </si>
  <si>
    <t>CS24931</t>
  </si>
  <si>
    <t>CS25552</t>
  </si>
  <si>
    <t>CS24651</t>
  </si>
  <si>
    <t>CS25640</t>
  </si>
  <si>
    <t>CS24572</t>
  </si>
  <si>
    <t>CS24020</t>
  </si>
  <si>
    <t>CS25692</t>
  </si>
  <si>
    <t>CS25396</t>
  </si>
  <si>
    <t>CS25339</t>
  </si>
  <si>
    <t>CS25169</t>
  </si>
  <si>
    <t>CS25671</t>
  </si>
  <si>
    <t>CS24291</t>
  </si>
  <si>
    <t>CS24351</t>
  </si>
  <si>
    <t>CS25574</t>
  </si>
  <si>
    <t>CS24154</t>
  </si>
  <si>
    <t>CS24279</t>
  </si>
  <si>
    <t>CS24631</t>
  </si>
  <si>
    <t>CS24050</t>
  </si>
  <si>
    <t>CS24479</t>
  </si>
  <si>
    <t>CS24358</t>
  </si>
  <si>
    <t>CS24541</t>
  </si>
  <si>
    <t>CS24980</t>
  </si>
  <si>
    <t>CS24773</t>
  </si>
  <si>
    <t>CS25622</t>
  </si>
  <si>
    <t>CS25361</t>
  </si>
  <si>
    <t>CS24454</t>
  </si>
  <si>
    <t>CS24939</t>
  </si>
  <si>
    <t>CS24105</t>
  </si>
  <si>
    <t>CS24904</t>
  </si>
  <si>
    <t>CS24160</t>
  </si>
  <si>
    <t>CS25068</t>
  </si>
  <si>
    <t>CS24798</t>
  </si>
  <si>
    <t>CS25495</t>
  </si>
  <si>
    <t>CS24120</t>
  </si>
  <si>
    <t>CS25019</t>
  </si>
  <si>
    <t>CS24990</t>
  </si>
  <si>
    <t>CS24264</t>
  </si>
  <si>
    <t>CS25355</t>
  </si>
  <si>
    <t>CS24928</t>
  </si>
  <si>
    <t>CS24589</t>
  </si>
  <si>
    <t>CS25309</t>
  </si>
  <si>
    <t>CS25246</t>
  </si>
  <si>
    <t>CS24786</t>
  </si>
  <si>
    <t>CS24982</t>
  </si>
  <si>
    <t>CS25343</t>
  </si>
  <si>
    <t>CS24836</t>
  </si>
  <si>
    <t>CS24359</t>
  </si>
  <si>
    <t>CS24216</t>
  </si>
  <si>
    <t>CS25525</t>
  </si>
  <si>
    <t>CS25315</t>
  </si>
  <si>
    <t>CS25376</t>
  </si>
  <si>
    <t>CS25003</t>
  </si>
  <si>
    <t>CS25243</t>
  </si>
  <si>
    <t>CS25000</t>
  </si>
  <si>
    <t>CS24708</t>
  </si>
  <si>
    <t>CS25196</t>
  </si>
  <si>
    <t>CS24598</t>
  </si>
  <si>
    <t>CS24820</t>
  </si>
  <si>
    <t>CS24213</t>
  </si>
  <si>
    <t>CS24485</t>
  </si>
  <si>
    <t>CS24221</t>
  </si>
  <si>
    <t>CS24751</t>
  </si>
  <si>
    <t>CS25093</t>
  </si>
  <si>
    <t>CS24441</t>
  </si>
  <si>
    <t>CS24374</t>
  </si>
  <si>
    <t>CS25010</t>
  </si>
  <si>
    <t>CS25412</t>
  </si>
  <si>
    <t>CS25036</t>
  </si>
  <si>
    <t>CS24542</t>
  </si>
  <si>
    <t>CS25645</t>
  </si>
  <si>
    <t>CS24074</t>
  </si>
  <si>
    <t>CS24149</t>
  </si>
  <si>
    <t>CS25488</t>
  </si>
  <si>
    <t>CS25699</t>
  </si>
  <si>
    <t>CS24099</t>
  </si>
  <si>
    <t>CS25302</t>
  </si>
  <si>
    <t>CS24867</t>
  </si>
  <si>
    <t>CS25587</t>
  </si>
  <si>
    <t>CS25371</t>
  </si>
  <si>
    <t>CS24106</t>
  </si>
  <si>
    <t>CS25696</t>
  </si>
  <si>
    <t>CS24189</t>
  </si>
  <si>
    <t>CS24967</t>
  </si>
  <si>
    <t>CS24320</t>
  </si>
  <si>
    <t>CS24195</t>
  </si>
  <si>
    <t>CS24613</t>
  </si>
  <si>
    <t>CS24776</t>
  </si>
  <si>
    <t>CS25094</t>
  </si>
  <si>
    <t>CS25114</t>
  </si>
  <si>
    <t>CS24522</t>
  </si>
  <si>
    <t>CS24022</t>
  </si>
  <si>
    <t>CS25237</t>
  </si>
  <si>
    <t>CS25427</t>
  </si>
  <si>
    <t>CS25436</t>
  </si>
  <si>
    <t>CS24666</t>
  </si>
  <si>
    <t>CS24274</t>
  </si>
  <si>
    <t>CS24036</t>
  </si>
  <si>
    <t>CS24999</t>
  </si>
  <si>
    <t>CS24531</t>
  </si>
  <si>
    <t>CS24605</t>
  </si>
  <si>
    <t>CS24387</t>
  </si>
  <si>
    <t>CS25437</t>
  </si>
  <si>
    <t>CS24023</t>
  </si>
  <si>
    <t>CS24853</t>
  </si>
  <si>
    <t>CS24373</t>
  </si>
  <si>
    <t>CS25290</t>
  </si>
  <si>
    <t>CS25018</t>
  </si>
  <si>
    <t>CS25688</t>
  </si>
  <si>
    <t>CM44661</t>
  </si>
  <si>
    <t>CM44655</t>
  </si>
  <si>
    <t>CM44662</t>
  </si>
  <si>
    <t>CM44653</t>
  </si>
  <si>
    <t>CM44652</t>
  </si>
  <si>
    <t>CM44656</t>
  </si>
  <si>
    <t>CM44664</t>
  </si>
  <si>
    <t>CM44657</t>
  </si>
  <si>
    <t>CM44649</t>
  </si>
  <si>
    <t>CM44667</t>
  </si>
  <si>
    <t>CM44658</t>
  </si>
  <si>
    <t>CM44668</t>
  </si>
  <si>
    <t>CM44670</t>
  </si>
  <si>
    <t>CM44651</t>
  </si>
  <si>
    <t>CM44669</t>
  </si>
  <si>
    <t>CM44650</t>
  </si>
  <si>
    <t>CM44659</t>
  </si>
  <si>
    <t>CM44665</t>
  </si>
  <si>
    <t>CM44654</t>
  </si>
  <si>
    <t>CM44660</t>
  </si>
  <si>
    <t>CM44648</t>
  </si>
  <si>
    <t>CM44666</t>
  </si>
  <si>
    <t>Total - 155138 לקוח אינטרנט</t>
  </si>
  <si>
    <t>Total - 114 - IL online</t>
  </si>
  <si>
    <t>155139 לקוח אינטרנט סופרפארם</t>
  </si>
  <si>
    <t>30537037</t>
  </si>
  <si>
    <t>CS25545</t>
  </si>
  <si>
    <t>030261832</t>
  </si>
  <si>
    <t>CS24741</t>
  </si>
  <si>
    <t>030243195</t>
  </si>
  <si>
    <t>CS24740</t>
  </si>
  <si>
    <t>30181414</t>
  </si>
  <si>
    <t>CS24463</t>
  </si>
  <si>
    <t>A-030396596</t>
  </si>
  <si>
    <t>CS25059</t>
  </si>
  <si>
    <t>030265189</t>
  </si>
  <si>
    <t>CS24742</t>
  </si>
  <si>
    <t>A-030358108</t>
  </si>
  <si>
    <t>CS24993</t>
  </si>
  <si>
    <t>030052542</t>
  </si>
  <si>
    <t>CS24064</t>
  </si>
  <si>
    <t>30546340</t>
  </si>
  <si>
    <t>CS25674</t>
  </si>
  <si>
    <t>030043975</t>
  </si>
  <si>
    <t>CS24026</t>
  </si>
  <si>
    <t>30456763</t>
  </si>
  <si>
    <t>CS25284</t>
  </si>
  <si>
    <t>Total - 155139 לקוח אינטרנט סופרפארם</t>
  </si>
  <si>
    <t>Total - 115-SuperPharm Online</t>
  </si>
  <si>
    <t>160226 HEALTH CARE PROD. GMBH</t>
  </si>
  <si>
    <t>INV68979</t>
  </si>
  <si>
    <t>160920 SALUS</t>
  </si>
  <si>
    <t>INV68965</t>
  </si>
  <si>
    <t>INV68964</t>
  </si>
  <si>
    <t>Total - 160920 SALUS</t>
  </si>
  <si>
    <t>160955 ORTOPROFIL PROD. ROMANIA</t>
  </si>
  <si>
    <t>INV68978</t>
  </si>
  <si>
    <t>Customers</t>
  </si>
  <si>
    <t>0בתי מרקחת</t>
  </si>
  <si>
    <t>0מפיצי משנה</t>
  </si>
  <si>
    <t>0פארמים</t>
  </si>
  <si>
    <t>אילת BE</t>
  </si>
  <si>
    <t>גוד פארם</t>
  </si>
  <si>
    <t>גוד פארם מרכז</t>
  </si>
  <si>
    <t>הפרכל הפרפארם</t>
  </si>
  <si>
    <t>שופרסל BE</t>
  </si>
  <si>
    <t>0צרכנים פרטיים</t>
  </si>
  <si>
    <t>0קופות חולים</t>
  </si>
  <si>
    <t>0שונות</t>
  </si>
  <si>
    <t>INV68993</t>
  </si>
  <si>
    <t>Total - 151187 משי אורלגין בע"מ</t>
  </si>
  <si>
    <t>INV68997</t>
  </si>
  <si>
    <t>C02173 מגוון (א.ה.) מוצרי פרסום בע"מ</t>
  </si>
  <si>
    <t>INV68996</t>
  </si>
  <si>
    <t>INV68994</t>
  </si>
  <si>
    <t>CS25787</t>
  </si>
  <si>
    <t>CS25788</t>
  </si>
  <si>
    <t>CS25791</t>
  </si>
  <si>
    <t>CS25798</t>
  </si>
  <si>
    <t>CS25804</t>
  </si>
  <si>
    <t>CS25776</t>
  </si>
  <si>
    <t>CS25824</t>
  </si>
  <si>
    <t>CS25774</t>
  </si>
  <si>
    <t>CS25763</t>
  </si>
  <si>
    <t>CS25747</t>
  </si>
  <si>
    <t>CS25795</t>
  </si>
  <si>
    <t>CS25797</t>
  </si>
  <si>
    <t>CS25748</t>
  </si>
  <si>
    <t>CS25764</t>
  </si>
  <si>
    <t>CS25770</t>
  </si>
  <si>
    <t>CS25782</t>
  </si>
  <si>
    <t>CS25806</t>
  </si>
  <si>
    <t>CS25814</t>
  </si>
  <si>
    <t>CS25825</t>
  </si>
  <si>
    <t>CS25796</t>
  </si>
  <si>
    <t>CS25749</t>
  </si>
  <si>
    <t>CS25769</t>
  </si>
  <si>
    <t>CS25751</t>
  </si>
  <si>
    <t>CS25752</t>
  </si>
  <si>
    <t>CS25755</t>
  </si>
  <si>
    <t>CS25779</t>
  </si>
  <si>
    <t>CS25822</t>
  </si>
  <si>
    <t>CS25812</t>
  </si>
  <si>
    <t>CS25811</t>
  </si>
  <si>
    <t>CS25756</t>
  </si>
  <si>
    <t>CS25760</t>
  </si>
  <si>
    <t>CS25801</t>
  </si>
  <si>
    <t>CS25758</t>
  </si>
  <si>
    <t>CS25765</t>
  </si>
  <si>
    <t>CS25772</t>
  </si>
  <si>
    <t>CS25783</t>
  </si>
  <si>
    <t>CS25794</t>
  </si>
  <si>
    <t>CS25810</t>
  </si>
  <si>
    <t>CS25823</t>
  </si>
  <si>
    <t>CS25828</t>
  </si>
  <si>
    <t>CS25780</t>
  </si>
  <si>
    <t>CS25830</t>
  </si>
  <si>
    <t>CS25815</t>
  </si>
  <si>
    <t>CS25753</t>
  </si>
  <si>
    <t>CS25750</t>
  </si>
  <si>
    <t>CS25813</t>
  </si>
  <si>
    <t>CS25771</t>
  </si>
  <si>
    <t>CS25745</t>
  </si>
  <si>
    <t>CS25773</t>
  </si>
  <si>
    <t>CS25817</t>
  </si>
  <si>
    <t>CS25820</t>
  </si>
  <si>
    <t>CS25759</t>
  </si>
  <si>
    <t>CS25746</t>
  </si>
  <si>
    <t>CS25807</t>
  </si>
  <si>
    <t>CS25809</t>
  </si>
  <si>
    <t>CS25808</t>
  </si>
  <si>
    <t>CS25827</t>
  </si>
  <si>
    <t>CS25816</t>
  </si>
  <si>
    <t>CS25793</t>
  </si>
  <si>
    <t>CS25768</t>
  </si>
  <si>
    <t>CS25800</t>
  </si>
  <si>
    <t>CS25761</t>
  </si>
  <si>
    <t>CS25829</t>
  </si>
  <si>
    <t>CS25777</t>
  </si>
  <si>
    <t>CS25826</t>
  </si>
  <si>
    <t>CS25762</t>
  </si>
  <si>
    <t>CS25821</t>
  </si>
  <si>
    <t>CS25767</t>
  </si>
  <si>
    <t>CS25803</t>
  </si>
  <si>
    <t>CS25818</t>
  </si>
  <si>
    <t>CS25766</t>
  </si>
  <si>
    <t>CS25781</t>
  </si>
  <si>
    <t>CS25802</t>
  </si>
  <si>
    <t>CS25784</t>
  </si>
  <si>
    <t>CS25805</t>
  </si>
  <si>
    <t>CS25790</t>
  </si>
  <si>
    <t>CS25778</t>
  </si>
  <si>
    <t>CS25819</t>
  </si>
  <si>
    <t>CS25744</t>
  </si>
  <si>
    <t>CS25754</t>
  </si>
  <si>
    <t>CS25789</t>
  </si>
  <si>
    <t>CS25799</t>
  </si>
  <si>
    <t>CS25775</t>
  </si>
  <si>
    <t>CS25785</t>
  </si>
  <si>
    <t>CS25757</t>
  </si>
  <si>
    <t>CS25786</t>
  </si>
  <si>
    <t>CM44678</t>
  </si>
  <si>
    <t>CF0157</t>
  </si>
  <si>
    <t>030628679</t>
  </si>
  <si>
    <t>CS25792</t>
  </si>
  <si>
    <t>INV68995</t>
  </si>
  <si>
    <t xml:space="preserve">מרקחת </t>
  </si>
  <si>
    <t xml:space="preserve">פארם </t>
  </si>
  <si>
    <t xml:space="preserve">חולים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</si>
</sst>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000"/>
    <numFmt numFmtId="165" formatCode="_ * #,##0_ ;_ * \-#,##0_ ;_ * &quot;-&quot;??_ ;_ @_ "/>
    <numFmt numFmtId="166" formatCode="&quot;₪&quot;#,##0_);\(&quot;₪&quot;#,##0\)"/>
    <numFmt numFmtId="167" formatCode="B1mmm\-yy"/>
    <numFmt numFmtId="168" formatCode="[$₪]\ #,##0.0"/>
    <numFmt numFmtId="169" formatCode="[$₪-40D]\ #,##0.00"/>
    <numFmt numFmtId="170" formatCode="_ * #,##0_ ;_ * \-#,##0_ ;_ * \-??_ ;_ @_ "/>
  </numFmts>
  <fonts count="4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name val="Arial"/>
      <family val="2"/>
    </font>
    <font>
      <sz val="8"/>
      <color rgb="FFFF0000"/>
      <name val="Arial"/>
      <family val="2"/>
      <charset val="177"/>
      <scheme val="minor"/>
    </font>
    <font>
      <b/>
      <sz val="8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</font>
    <font>
      <sz val="10"/>
      <color theme="1"/>
      <name val="Arial"/>
      <family val="2"/>
      <charset val="177"/>
      <scheme val="minor"/>
    </font>
    <font>
      <b/>
      <sz val="9"/>
      <color theme="1"/>
      <name val="Arial"/>
      <family val="2"/>
      <scheme val="minor"/>
    </font>
    <font>
      <b/>
      <sz val="8"/>
      <name val="Arial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  <charset val="1"/>
    </font>
    <font>
      <sz val="11"/>
      <color theme="1"/>
      <name val="Arial"/>
      <family val="2"/>
      <charset val="177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ashed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21" applyNumberFormat="0" applyFill="0" applyAlignment="0" applyProtection="0"/>
    <xf numFmtId="0" fontId="22" fillId="0" borderId="22" applyNumberFormat="0" applyFill="0" applyAlignment="0" applyProtection="0"/>
    <xf numFmtId="0" fontId="23" fillId="0" borderId="23" applyNumberFormat="0" applyFill="0" applyAlignment="0" applyProtection="0"/>
    <xf numFmtId="0" fontId="23" fillId="0" borderId="0" applyNumberFormat="0" applyFill="0" applyBorder="0" applyAlignment="0" applyProtection="0"/>
    <xf numFmtId="0" fontId="24" fillId="16" borderId="0" applyNumberFormat="0" applyBorder="0" applyAlignment="0" applyProtection="0"/>
    <xf numFmtId="0" fontId="25" fillId="17" borderId="0" applyNumberFormat="0" applyBorder="0" applyAlignment="0" applyProtection="0"/>
    <xf numFmtId="0" fontId="26" fillId="18" borderId="0" applyNumberFormat="0" applyBorder="0" applyAlignment="0" applyProtection="0"/>
    <xf numFmtId="0" fontId="27" fillId="19" borderId="24" applyNumberFormat="0" applyAlignment="0" applyProtection="0"/>
    <xf numFmtId="0" fontId="28" fillId="20" borderId="25" applyNumberFormat="0" applyAlignment="0" applyProtection="0"/>
    <xf numFmtId="0" fontId="29" fillId="20" borderId="24" applyNumberFormat="0" applyAlignment="0" applyProtection="0"/>
    <xf numFmtId="0" fontId="30" fillId="0" borderId="26" applyNumberFormat="0" applyFill="0" applyAlignment="0" applyProtection="0"/>
    <xf numFmtId="0" fontId="31" fillId="21" borderId="27" applyNumberFormat="0" applyAlignment="0" applyProtection="0"/>
    <xf numFmtId="0" fontId="10" fillId="0" borderId="0" applyNumberFormat="0" applyFill="0" applyBorder="0" applyAlignment="0" applyProtection="0"/>
    <xf numFmtId="0" fontId="1" fillId="22" borderId="2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29" applyNumberFormat="0" applyFill="0" applyAlignment="0" applyProtection="0"/>
    <xf numFmtId="0" fontId="3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34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34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9" fillId="0" borderId="0"/>
    <xf numFmtId="0" fontId="46" fillId="0" borderId="0"/>
  </cellStyleXfs>
  <cellXfs count="282">
    <xf numFmtId="0" fontId="0" fillId="0" borderId="0" xfId="0"/>
    <xf numFmtId="0" fontId="0" fillId="0" borderId="0" xfId="0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165" fontId="0" fillId="0" borderId="0" xfId="1" applyNumberFormat="1" applyFont="1"/>
    <xf numFmtId="165" fontId="0" fillId="0" borderId="0" xfId="0" applyNumberFormat="1"/>
    <xf numFmtId="165" fontId="0" fillId="0" borderId="2" xfId="1" applyNumberFormat="1" applyFont="1" applyBorder="1" applyAlignment="1">
      <alignment horizontal="center"/>
    </xf>
    <xf numFmtId="165" fontId="8" fillId="2" borderId="2" xfId="1" applyNumberFormat="1" applyFont="1" applyFill="1" applyBorder="1" applyAlignment="1">
      <alignment horizontal="center"/>
    </xf>
    <xf numFmtId="165" fontId="2" fillId="4" borderId="2" xfId="1" applyNumberFormat="1" applyFont="1" applyFill="1" applyBorder="1" applyAlignment="1">
      <alignment horizontal="center"/>
    </xf>
    <xf numFmtId="165" fontId="8" fillId="9" borderId="2" xfId="1" applyNumberFormat="1" applyFont="1" applyFill="1" applyBorder="1" applyAlignment="1">
      <alignment horizontal="center"/>
    </xf>
    <xf numFmtId="165" fontId="4" fillId="3" borderId="2" xfId="1" applyNumberFormat="1" applyFont="1" applyFill="1" applyBorder="1" applyAlignment="1">
      <alignment horizontal="center"/>
    </xf>
    <xf numFmtId="165" fontId="0" fillId="10" borderId="2" xfId="1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5" fontId="10" fillId="0" borderId="0" xfId="0" applyNumberFormat="1" applyFont="1"/>
    <xf numFmtId="9" fontId="2" fillId="8" borderId="6" xfId="2" applyFont="1" applyFill="1" applyBorder="1" applyAlignment="1">
      <alignment horizontal="center"/>
    </xf>
    <xf numFmtId="165" fontId="0" fillId="0" borderId="2" xfId="1" applyNumberFormat="1" applyFont="1" applyBorder="1"/>
    <xf numFmtId="165" fontId="6" fillId="3" borderId="2" xfId="1" applyNumberFormat="1" applyFont="1" applyFill="1" applyBorder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1" fontId="6" fillId="6" borderId="10" xfId="0" applyNumberFormat="1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165" fontId="2" fillId="6" borderId="11" xfId="1" applyNumberFormat="1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 readingOrder="2"/>
    </xf>
    <xf numFmtId="0" fontId="6" fillId="2" borderId="1" xfId="0" applyFont="1" applyFill="1" applyBorder="1" applyAlignment="1">
      <alignment horizontal="center"/>
    </xf>
    <xf numFmtId="165" fontId="5" fillId="7" borderId="15" xfId="1" applyNumberFormat="1" applyFont="1" applyFill="1" applyBorder="1" applyAlignment="1">
      <alignment horizontal="center"/>
    </xf>
    <xf numFmtId="165" fontId="6" fillId="6" borderId="11" xfId="1" applyNumberFormat="1" applyFont="1" applyFill="1" applyBorder="1" applyAlignment="1">
      <alignment horizontal="center"/>
    </xf>
    <xf numFmtId="165" fontId="6" fillId="3" borderId="13" xfId="0" applyNumberFormat="1" applyFont="1" applyFill="1" applyBorder="1" applyAlignment="1">
      <alignment horizontal="center"/>
    </xf>
    <xf numFmtId="165" fontId="6" fillId="11" borderId="15" xfId="0" applyNumberFormat="1" applyFont="1" applyFill="1" applyBorder="1" applyAlignment="1">
      <alignment horizontal="center"/>
    </xf>
    <xf numFmtId="165" fontId="6" fillId="11" borderId="3" xfId="0" applyNumberFormat="1" applyFont="1" applyFill="1" applyBorder="1" applyAlignment="1">
      <alignment horizontal="center"/>
    </xf>
    <xf numFmtId="164" fontId="6" fillId="6" borderId="11" xfId="0" applyNumberFormat="1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165" fontId="0" fillId="0" borderId="17" xfId="1" applyNumberFormat="1" applyFont="1" applyBorder="1"/>
    <xf numFmtId="0" fontId="5" fillId="0" borderId="4" xfId="0" applyFont="1" applyBorder="1"/>
    <xf numFmtId="0" fontId="5" fillId="0" borderId="0" xfId="0" applyFont="1"/>
    <xf numFmtId="166" fontId="11" fillId="0" borderId="0" xfId="0" applyNumberFormat="1" applyFont="1" applyAlignment="1">
      <alignment horizontal="right" vertical="center"/>
    </xf>
    <xf numFmtId="0" fontId="12" fillId="0" borderId="19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166" fontId="12" fillId="0" borderId="19" xfId="0" applyNumberFormat="1" applyFont="1" applyBorder="1" applyAlignment="1">
      <alignment horizontal="right" vertical="center"/>
    </xf>
    <xf numFmtId="0" fontId="13" fillId="12" borderId="0" xfId="0" applyFont="1" applyFill="1" applyAlignment="1">
      <alignment horizontal="right"/>
    </xf>
    <xf numFmtId="0" fontId="13" fillId="12" borderId="0" xfId="0" applyFont="1" applyFill="1" applyAlignment="1">
      <alignment horizontal="left"/>
    </xf>
    <xf numFmtId="0" fontId="13" fillId="12" borderId="0" xfId="0" applyFont="1" applyFill="1" applyAlignment="1">
      <alignment horizontal="center"/>
    </xf>
    <xf numFmtId="9" fontId="2" fillId="4" borderId="2" xfId="2" applyFont="1" applyFill="1" applyBorder="1" applyAlignment="1">
      <alignment horizontal="center"/>
    </xf>
    <xf numFmtId="9" fontId="5" fillId="7" borderId="15" xfId="2" applyFont="1" applyFill="1" applyBorder="1" applyAlignment="1">
      <alignment horizontal="center"/>
    </xf>
    <xf numFmtId="9" fontId="2" fillId="0" borderId="0" xfId="2" applyFont="1" applyAlignment="1">
      <alignment horizontal="center"/>
    </xf>
    <xf numFmtId="167" fontId="13" fillId="12" borderId="0" xfId="0" applyNumberFormat="1" applyFont="1" applyFill="1" applyAlignment="1">
      <alignment horizontal="center"/>
    </xf>
    <xf numFmtId="165" fontId="14" fillId="0" borderId="0" xfId="0" applyNumberFormat="1" applyFont="1"/>
    <xf numFmtId="9" fontId="2" fillId="6" borderId="11" xfId="2" applyFont="1" applyFill="1" applyBorder="1" applyAlignment="1">
      <alignment horizontal="center"/>
    </xf>
    <xf numFmtId="9" fontId="3" fillId="6" borderId="2" xfId="2" applyFont="1" applyFill="1" applyBorder="1" applyAlignment="1">
      <alignment horizontal="center"/>
    </xf>
    <xf numFmtId="9" fontId="2" fillId="3" borderId="2" xfId="2" applyFont="1" applyFill="1" applyBorder="1" applyAlignment="1">
      <alignment horizontal="center"/>
    </xf>
    <xf numFmtId="9" fontId="0" fillId="0" borderId="0" xfId="2" applyFont="1"/>
    <xf numFmtId="9" fontId="2" fillId="6" borderId="11" xfId="2" applyFont="1" applyFill="1" applyBorder="1" applyAlignment="1">
      <alignment horizontal="center" readingOrder="2"/>
    </xf>
    <xf numFmtId="166" fontId="15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165" fontId="12" fillId="0" borderId="19" xfId="1" applyNumberFormat="1" applyFont="1" applyBorder="1" applyAlignment="1">
      <alignment horizontal="left" vertical="center"/>
    </xf>
    <xf numFmtId="165" fontId="7" fillId="0" borderId="2" xfId="1" applyNumberFormat="1" applyFont="1" applyBorder="1" applyAlignment="1">
      <alignment horizontal="left"/>
    </xf>
    <xf numFmtId="165" fontId="6" fillId="2" borderId="2" xfId="1" applyNumberFormat="1" applyFont="1" applyFill="1" applyBorder="1" applyAlignment="1">
      <alignment horizontal="left"/>
    </xf>
    <xf numFmtId="165" fontId="6" fillId="6" borderId="16" xfId="1" applyNumberFormat="1" applyFont="1" applyFill="1" applyBorder="1" applyAlignment="1">
      <alignment horizontal="center"/>
    </xf>
    <xf numFmtId="165" fontId="6" fillId="3" borderId="17" xfId="1" applyNumberFormat="1" applyFont="1" applyFill="1" applyBorder="1" applyAlignment="1">
      <alignment horizontal="center"/>
    </xf>
    <xf numFmtId="165" fontId="6" fillId="11" borderId="18" xfId="1" applyNumberFormat="1" applyFont="1" applyFill="1" applyBorder="1" applyAlignment="1">
      <alignment horizontal="center"/>
    </xf>
    <xf numFmtId="9" fontId="6" fillId="3" borderId="2" xfId="2" applyFont="1" applyFill="1" applyBorder="1" applyAlignment="1">
      <alignment horizontal="center"/>
    </xf>
    <xf numFmtId="9" fontId="6" fillId="11" borderId="15" xfId="2" applyFont="1" applyFill="1" applyBorder="1" applyAlignment="1">
      <alignment horizontal="center"/>
    </xf>
    <xf numFmtId="9" fontId="6" fillId="11" borderId="3" xfId="2" applyFont="1" applyFill="1" applyBorder="1" applyAlignment="1">
      <alignment horizontal="center"/>
    </xf>
    <xf numFmtId="165" fontId="10" fillId="0" borderId="0" xfId="1" applyNumberFormat="1" applyFont="1"/>
    <xf numFmtId="166" fontId="0" fillId="0" borderId="0" xfId="0" applyNumberFormat="1"/>
    <xf numFmtId="165" fontId="4" fillId="13" borderId="2" xfId="1" applyNumberFormat="1" applyFont="1" applyFill="1" applyBorder="1" applyAlignment="1">
      <alignment horizontal="center"/>
    </xf>
    <xf numFmtId="9" fontId="2" fillId="13" borderId="2" xfId="2" applyFont="1" applyFill="1" applyBorder="1" applyAlignment="1">
      <alignment horizontal="center"/>
    </xf>
    <xf numFmtId="0" fontId="7" fillId="0" borderId="0" xfId="0" applyFont="1"/>
    <xf numFmtId="165" fontId="7" fillId="0" borderId="0" xfId="1" applyNumberFormat="1" applyFont="1"/>
    <xf numFmtId="165" fontId="7" fillId="0" borderId="2" xfId="1" applyNumberFormat="1" applyFont="1" applyBorder="1"/>
    <xf numFmtId="165" fontId="7" fillId="0" borderId="17" xfId="1" applyNumberFormat="1" applyFont="1" applyBorder="1"/>
    <xf numFmtId="9" fontId="7" fillId="0" borderId="2" xfId="2" applyFont="1" applyFill="1" applyBorder="1"/>
    <xf numFmtId="9" fontId="7" fillId="0" borderId="17" xfId="2" applyFont="1" applyBorder="1"/>
    <xf numFmtId="0" fontId="12" fillId="3" borderId="0" xfId="0" applyFont="1" applyFill="1" applyAlignment="1">
      <alignment horizontal="left" vertical="center"/>
    </xf>
    <xf numFmtId="166" fontId="11" fillId="3" borderId="0" xfId="0" applyNumberFormat="1" applyFont="1" applyFill="1" applyAlignment="1">
      <alignment horizontal="right" vertical="center"/>
    </xf>
    <xf numFmtId="0" fontId="0" fillId="3" borderId="0" xfId="0" applyFill="1"/>
    <xf numFmtId="0" fontId="12" fillId="14" borderId="0" xfId="0" applyFont="1" applyFill="1" applyAlignment="1">
      <alignment horizontal="left" vertical="center"/>
    </xf>
    <xf numFmtId="166" fontId="11" fillId="14" borderId="0" xfId="0" applyNumberFormat="1" applyFont="1" applyFill="1" applyAlignment="1">
      <alignment horizontal="right" vertical="center"/>
    </xf>
    <xf numFmtId="166" fontId="0" fillId="14" borderId="0" xfId="0" applyNumberFormat="1" applyFill="1"/>
    <xf numFmtId="0" fontId="0" fillId="14" borderId="0" xfId="0" applyFill="1"/>
    <xf numFmtId="0" fontId="12" fillId="15" borderId="0" xfId="0" applyFont="1" applyFill="1" applyAlignment="1">
      <alignment horizontal="left" vertical="center"/>
    </xf>
    <xf numFmtId="166" fontId="11" fillId="15" borderId="0" xfId="0" applyNumberFormat="1" applyFont="1" applyFill="1" applyAlignment="1">
      <alignment horizontal="right" vertical="center"/>
    </xf>
    <xf numFmtId="166" fontId="0" fillId="15" borderId="0" xfId="0" applyNumberFormat="1" applyFill="1"/>
    <xf numFmtId="0" fontId="0" fillId="15" borderId="0" xfId="0" applyFill="1"/>
    <xf numFmtId="165" fontId="8" fillId="0" borderId="2" xfId="1" applyNumberFormat="1" applyFont="1" applyFill="1" applyBorder="1" applyAlignment="1">
      <alignment horizontal="center"/>
    </xf>
    <xf numFmtId="165" fontId="8" fillId="0" borderId="2" xfId="5" applyNumberFormat="1" applyFont="1" applyFill="1" applyBorder="1" applyAlignment="1">
      <alignment horizontal="center"/>
    </xf>
    <xf numFmtId="165" fontId="18" fillId="0" borderId="2" xfId="1" applyNumberFormat="1" applyFont="1" applyFill="1" applyBorder="1" applyAlignment="1">
      <alignment horizontal="center"/>
    </xf>
    <xf numFmtId="165" fontId="7" fillId="0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0" xfId="0" applyFont="1"/>
    <xf numFmtId="0" fontId="6" fillId="6" borderId="2" xfId="0" applyFont="1" applyFill="1" applyBorder="1" applyAlignment="1">
      <alignment horizontal="center"/>
    </xf>
    <xf numFmtId="9" fontId="2" fillId="8" borderId="2" xfId="2" applyFont="1" applyFill="1" applyBorder="1" applyAlignment="1">
      <alignment horizontal="center"/>
    </xf>
    <xf numFmtId="0" fontId="0" fillId="0" borderId="2" xfId="0" applyBorder="1"/>
    <xf numFmtId="9" fontId="2" fillId="9" borderId="2" xfId="2" applyFont="1" applyFill="1" applyBorder="1" applyAlignment="1">
      <alignment horizontal="center"/>
    </xf>
    <xf numFmtId="0" fontId="6" fillId="2" borderId="2" xfId="0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9" fontId="36" fillId="0" borderId="0" xfId="2" applyFont="1" applyAlignment="1">
      <alignment horizontal="center"/>
    </xf>
    <xf numFmtId="0" fontId="36" fillId="0" borderId="0" xfId="0" applyFont="1" applyAlignment="1">
      <alignment horizontal="center"/>
    </xf>
    <xf numFmtId="165" fontId="6" fillId="7" borderId="16" xfId="1" applyNumberFormat="1" applyFont="1" applyFill="1" applyBorder="1" applyAlignment="1">
      <alignment horizontal="center"/>
    </xf>
    <xf numFmtId="0" fontId="0" fillId="7" borderId="0" xfId="0" applyFill="1"/>
    <xf numFmtId="1" fontId="6" fillId="3" borderId="2" xfId="0" applyNumberFormat="1" applyFont="1" applyFill="1" applyBorder="1"/>
    <xf numFmtId="1" fontId="6" fillId="11" borderId="15" xfId="0" applyNumberFormat="1" applyFont="1" applyFill="1" applyBorder="1"/>
    <xf numFmtId="0" fontId="3" fillId="2" borderId="2" xfId="0" applyFont="1" applyFill="1" applyBorder="1" applyAlignment="1">
      <alignment horizontal="right"/>
    </xf>
    <xf numFmtId="165" fontId="3" fillId="0" borderId="2" xfId="1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7" fillId="47" borderId="0" xfId="1" applyNumberFormat="1" applyFont="1" applyFill="1"/>
    <xf numFmtId="0" fontId="6" fillId="2" borderId="30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165" fontId="6" fillId="8" borderId="2" xfId="1" applyNumberFormat="1" applyFont="1" applyFill="1" applyBorder="1" applyAlignment="1">
      <alignment horizontal="center"/>
    </xf>
    <xf numFmtId="165" fontId="0" fillId="0" borderId="31" xfId="1" applyNumberFormat="1" applyFont="1" applyBorder="1"/>
    <xf numFmtId="165" fontId="0" fillId="0" borderId="32" xfId="1" applyNumberFormat="1" applyFont="1" applyBorder="1"/>
    <xf numFmtId="165" fontId="6" fillId="3" borderId="33" xfId="1" applyNumberFormat="1" applyFont="1" applyFill="1" applyBorder="1" applyAlignment="1">
      <alignment horizontal="center"/>
    </xf>
    <xf numFmtId="165" fontId="6" fillId="3" borderId="34" xfId="1" applyNumberFormat="1" applyFont="1" applyFill="1" applyBorder="1" applyAlignment="1">
      <alignment horizontal="center"/>
    </xf>
    <xf numFmtId="165" fontId="6" fillId="3" borderId="35" xfId="1" applyNumberFormat="1" applyFont="1" applyFill="1" applyBorder="1" applyAlignment="1">
      <alignment horizontal="center"/>
    </xf>
    <xf numFmtId="165" fontId="6" fillId="11" borderId="20" xfId="1" applyNumberFormat="1" applyFont="1" applyFill="1" applyBorder="1" applyAlignment="1">
      <alignment horizontal="center"/>
    </xf>
    <xf numFmtId="165" fontId="6" fillId="11" borderId="36" xfId="1" applyNumberFormat="1" applyFont="1" applyFill="1" applyBorder="1" applyAlignment="1">
      <alignment horizontal="center"/>
    </xf>
    <xf numFmtId="165" fontId="10" fillId="0" borderId="32" xfId="0" applyNumberFormat="1" applyFont="1" applyBorder="1"/>
    <xf numFmtId="0" fontId="0" fillId="0" borderId="32" xfId="0" applyBorder="1"/>
    <xf numFmtId="9" fontId="2" fillId="8" borderId="32" xfId="2" applyFont="1" applyFill="1" applyBorder="1" applyAlignment="1">
      <alignment horizontal="center"/>
    </xf>
    <xf numFmtId="9" fontId="2" fillId="0" borderId="32" xfId="2" applyFont="1" applyBorder="1" applyAlignment="1">
      <alignment horizontal="center"/>
    </xf>
    <xf numFmtId="9" fontId="7" fillId="0" borderId="2" xfId="2" applyFont="1" applyFill="1" applyBorder="1" applyAlignment="1">
      <alignment horizontal="center"/>
    </xf>
    <xf numFmtId="0" fontId="0" fillId="2" borderId="0" xfId="0" applyFill="1"/>
    <xf numFmtId="0" fontId="3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left" readingOrder="1"/>
    </xf>
    <xf numFmtId="1" fontId="4" fillId="0" borderId="2" xfId="0" applyNumberFormat="1" applyFont="1" applyBorder="1"/>
    <xf numFmtId="0" fontId="2" fillId="0" borderId="2" xfId="0" applyFont="1" applyBorder="1"/>
    <xf numFmtId="0" fontId="12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right"/>
    </xf>
    <xf numFmtId="0" fontId="37" fillId="0" borderId="2" xfId="0" applyFont="1" applyBorder="1" applyAlignment="1">
      <alignment horizontal="right"/>
    </xf>
    <xf numFmtId="0" fontId="38" fillId="0" borderId="2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1" fontId="38" fillId="0" borderId="2" xfId="0" applyNumberFormat="1" applyFont="1" applyBorder="1" applyAlignment="1">
      <alignment horizontal="right" readingOrder="1"/>
    </xf>
    <xf numFmtId="0" fontId="6" fillId="0" borderId="32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6" fillId="0" borderId="37" xfId="0" applyFont="1" applyBorder="1" applyAlignment="1">
      <alignment horizontal="center"/>
    </xf>
    <xf numFmtId="0" fontId="38" fillId="0" borderId="32" xfId="0" applyFont="1" applyBorder="1" applyAlignment="1">
      <alignment horizontal="right"/>
    </xf>
    <xf numFmtId="1" fontId="6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right"/>
    </xf>
    <xf numFmtId="0" fontId="2" fillId="0" borderId="0" xfId="0" applyFont="1"/>
    <xf numFmtId="165" fontId="2" fillId="0" borderId="0" xfId="0" applyNumberFormat="1" applyFont="1"/>
    <xf numFmtId="9" fontId="3" fillId="0" borderId="0" xfId="2" applyFont="1" applyAlignment="1">
      <alignment horizontal="center"/>
    </xf>
    <xf numFmtId="164" fontId="6" fillId="48" borderId="2" xfId="0" applyNumberFormat="1" applyFont="1" applyFill="1" applyBorder="1" applyAlignment="1">
      <alignment horizontal="center"/>
    </xf>
    <xf numFmtId="9" fontId="2" fillId="48" borderId="2" xfId="2" applyFont="1" applyFill="1" applyBorder="1" applyAlignment="1">
      <alignment horizontal="center" readingOrder="2"/>
    </xf>
    <xf numFmtId="165" fontId="2" fillId="48" borderId="2" xfId="1" applyNumberFormat="1" applyFont="1" applyFill="1" applyBorder="1" applyAlignment="1">
      <alignment horizontal="center"/>
    </xf>
    <xf numFmtId="0" fontId="2" fillId="48" borderId="2" xfId="0" applyFont="1" applyFill="1" applyBorder="1" applyAlignment="1">
      <alignment horizontal="center" readingOrder="2"/>
    </xf>
    <xf numFmtId="1" fontId="4" fillId="49" borderId="2" xfId="0" applyNumberFormat="1" applyFont="1" applyFill="1" applyBorder="1" applyAlignment="1">
      <alignment horizontal="right" readingOrder="1"/>
    </xf>
    <xf numFmtId="1" fontId="4" fillId="49" borderId="2" xfId="0" applyNumberFormat="1" applyFont="1" applyFill="1" applyBorder="1" applyAlignment="1">
      <alignment horizontal="center" readingOrder="1"/>
    </xf>
    <xf numFmtId="165" fontId="4" fillId="49" borderId="2" xfId="1" applyNumberFormat="1" applyFont="1" applyFill="1" applyBorder="1" applyAlignment="1">
      <alignment horizontal="center"/>
    </xf>
    <xf numFmtId="9" fontId="2" fillId="49" borderId="2" xfId="2" applyFont="1" applyFill="1" applyBorder="1" applyAlignment="1">
      <alignment horizontal="center"/>
    </xf>
    <xf numFmtId="1" fontId="4" fillId="49" borderId="2" xfId="0" applyNumberFormat="1" applyFont="1" applyFill="1" applyBorder="1" applyAlignment="1">
      <alignment horizontal="right"/>
    </xf>
    <xf numFmtId="1" fontId="4" fillId="49" borderId="2" xfId="0" applyNumberFormat="1" applyFont="1" applyFill="1" applyBorder="1" applyAlignment="1">
      <alignment horizontal="center"/>
    </xf>
    <xf numFmtId="0" fontId="2" fillId="9" borderId="2" xfId="0" applyFont="1" applyFill="1" applyBorder="1" applyAlignment="1">
      <alignment horizontal="right"/>
    </xf>
    <xf numFmtId="165" fontId="2" fillId="9" borderId="2" xfId="1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" fontId="4" fillId="13" borderId="1" xfId="0" applyNumberFormat="1" applyFont="1" applyFill="1" applyBorder="1"/>
    <xf numFmtId="1" fontId="4" fillId="3" borderId="1" xfId="0" applyNumberFormat="1" applyFont="1" applyFill="1" applyBorder="1"/>
    <xf numFmtId="0" fontId="2" fillId="4" borderId="1" xfId="0" applyFont="1" applyFill="1" applyBorder="1"/>
    <xf numFmtId="0" fontId="2" fillId="4" borderId="2" xfId="0" applyFont="1" applyFill="1" applyBorder="1"/>
    <xf numFmtId="0" fontId="2" fillId="7" borderId="14" xfId="0" applyFont="1" applyFill="1" applyBorder="1"/>
    <xf numFmtId="0" fontId="2" fillId="8" borderId="7" xfId="0" applyFont="1" applyFill="1" applyBorder="1"/>
    <xf numFmtId="0" fontId="2" fillId="8" borderId="9" xfId="0" applyFont="1" applyFill="1" applyBorder="1"/>
    <xf numFmtId="0" fontId="5" fillId="5" borderId="5" xfId="0" applyFont="1" applyFill="1" applyBorder="1"/>
    <xf numFmtId="0" fontId="5" fillId="5" borderId="0" xfId="0" applyFont="1" applyFill="1"/>
    <xf numFmtId="9" fontId="5" fillId="0" borderId="0" xfId="2" applyFont="1" applyFill="1" applyBorder="1"/>
    <xf numFmtId="9" fontId="6" fillId="48" borderId="2" xfId="2" applyFont="1" applyFill="1" applyBorder="1" applyAlignment="1">
      <alignment horizontal="center"/>
    </xf>
    <xf numFmtId="9" fontId="8" fillId="0" borderId="2" xfId="2" applyFont="1" applyFill="1" applyBorder="1" applyAlignment="1">
      <alignment horizontal="center"/>
    </xf>
    <xf numFmtId="9" fontId="4" fillId="49" borderId="2" xfId="2" applyFont="1" applyFill="1" applyBorder="1" applyAlignment="1">
      <alignment horizontal="center"/>
    </xf>
    <xf numFmtId="0" fontId="5" fillId="2" borderId="0" xfId="0" applyFont="1" applyFill="1"/>
    <xf numFmtId="9" fontId="5" fillId="2" borderId="0" xfId="2" applyFont="1" applyFill="1" applyBorder="1"/>
    <xf numFmtId="9" fontId="2" fillId="50" borderId="32" xfId="2" applyFont="1" applyFill="1" applyBorder="1" applyAlignment="1">
      <alignment horizontal="center"/>
    </xf>
    <xf numFmtId="165" fontId="4" fillId="50" borderId="2" xfId="0" applyNumberFormat="1" applyFont="1" applyFill="1" applyBorder="1"/>
    <xf numFmtId="0" fontId="2" fillId="50" borderId="2" xfId="0" applyFont="1" applyFill="1" applyBorder="1"/>
    <xf numFmtId="9" fontId="2" fillId="50" borderId="2" xfId="2" applyFont="1" applyFill="1" applyBorder="1" applyAlignment="1">
      <alignment horizontal="center"/>
    </xf>
    <xf numFmtId="165" fontId="10" fillId="50" borderId="2" xfId="0" applyNumberFormat="1" applyFont="1" applyFill="1" applyBorder="1"/>
    <xf numFmtId="9" fontId="10" fillId="50" borderId="2" xfId="2" applyFont="1" applyFill="1" applyBorder="1"/>
    <xf numFmtId="1" fontId="6" fillId="3" borderId="1" xfId="0" applyNumberFormat="1" applyFont="1" applyFill="1" applyBorder="1"/>
    <xf numFmtId="0" fontId="5" fillId="7" borderId="14" xfId="0" applyFont="1" applyFill="1" applyBorder="1"/>
    <xf numFmtId="0" fontId="5" fillId="7" borderId="15" xfId="0" applyFont="1" applyFill="1" applyBorder="1"/>
    <xf numFmtId="1" fontId="6" fillId="13" borderId="1" xfId="0" applyNumberFormat="1" applyFont="1" applyFill="1" applyBorder="1"/>
    <xf numFmtId="1" fontId="6" fillId="13" borderId="2" xfId="0" applyNumberFormat="1" applyFont="1" applyFill="1" applyBorder="1"/>
    <xf numFmtId="9" fontId="14" fillId="0" borderId="0" xfId="2" applyFont="1"/>
    <xf numFmtId="0" fontId="15" fillId="0" borderId="31" xfId="0" applyFont="1" applyBorder="1" applyAlignment="1">
      <alignment horizontal="right"/>
    </xf>
    <xf numFmtId="0" fontId="7" fillId="0" borderId="31" xfId="0" applyFont="1" applyBorder="1" applyAlignment="1">
      <alignment horizontal="right"/>
    </xf>
    <xf numFmtId="165" fontId="8" fillId="0" borderId="31" xfId="1" applyNumberFormat="1" applyFont="1" applyFill="1" applyBorder="1" applyAlignment="1">
      <alignment horizontal="center"/>
    </xf>
    <xf numFmtId="9" fontId="7" fillId="0" borderId="31" xfId="2" applyFont="1" applyFill="1" applyBorder="1" applyAlignment="1">
      <alignment horizontal="center"/>
    </xf>
    <xf numFmtId="0" fontId="0" fillId="50" borderId="32" xfId="0" applyFill="1" applyBorder="1"/>
    <xf numFmtId="165" fontId="2" fillId="50" borderId="32" xfId="1" applyNumberFormat="1" applyFont="1" applyFill="1" applyBorder="1" applyAlignment="1">
      <alignment horizontal="center"/>
    </xf>
    <xf numFmtId="9" fontId="5" fillId="2" borderId="0" xfId="2" applyFont="1" applyFill="1"/>
    <xf numFmtId="165" fontId="0" fillId="0" borderId="2" xfId="0" applyNumberFormat="1" applyBorder="1"/>
    <xf numFmtId="9" fontId="0" fillId="0" borderId="2" xfId="2" applyFont="1" applyBorder="1"/>
    <xf numFmtId="165" fontId="19" fillId="0" borderId="2" xfId="0" applyNumberFormat="1" applyFont="1" applyBorder="1"/>
    <xf numFmtId="9" fontId="19" fillId="0" borderId="2" xfId="2" applyFont="1" applyFill="1" applyBorder="1" applyAlignment="1">
      <alignment horizontal="center"/>
    </xf>
    <xf numFmtId="165" fontId="19" fillId="0" borderId="2" xfId="1" applyNumberFormat="1" applyFont="1" applyFill="1" applyBorder="1" applyAlignment="1">
      <alignment horizontal="center"/>
    </xf>
    <xf numFmtId="9" fontId="2" fillId="0" borderId="0" xfId="2" applyFont="1"/>
    <xf numFmtId="165" fontId="19" fillId="3" borderId="2" xfId="0" applyNumberFormat="1" applyFont="1" applyFill="1" applyBorder="1"/>
    <xf numFmtId="9" fontId="19" fillId="3" borderId="2" xfId="2" applyFont="1" applyFill="1" applyBorder="1" applyAlignment="1">
      <alignment horizontal="center"/>
    </xf>
    <xf numFmtId="165" fontId="19" fillId="3" borderId="2" xfId="1" applyNumberFormat="1" applyFont="1" applyFill="1" applyBorder="1" applyAlignment="1">
      <alignment horizontal="center"/>
    </xf>
    <xf numFmtId="165" fontId="0" fillId="3" borderId="2" xfId="0" applyNumberFormat="1" applyFill="1" applyBorder="1"/>
    <xf numFmtId="9" fontId="0" fillId="3" borderId="2" xfId="2" applyFont="1" applyFill="1" applyBorder="1"/>
    <xf numFmtId="165" fontId="6" fillId="3" borderId="38" xfId="1" applyNumberFormat="1" applyFont="1" applyFill="1" applyBorder="1" applyAlignment="1">
      <alignment horizontal="center"/>
    </xf>
    <xf numFmtId="0" fontId="6" fillId="8" borderId="39" xfId="0" applyFont="1" applyFill="1" applyBorder="1" applyAlignment="1">
      <alignment horizontal="center"/>
    </xf>
    <xf numFmtId="165" fontId="0" fillId="0" borderId="39" xfId="1" applyNumberFormat="1" applyFont="1" applyBorder="1"/>
    <xf numFmtId="165" fontId="0" fillId="0" borderId="40" xfId="1" applyNumberFormat="1" applyFont="1" applyBorder="1"/>
    <xf numFmtId="165" fontId="0" fillId="0" borderId="41" xfId="1" applyNumberFormat="1" applyFont="1" applyBorder="1"/>
    <xf numFmtId="165" fontId="6" fillId="11" borderId="42" xfId="1" applyNumberFormat="1" applyFont="1" applyFill="1" applyBorder="1" applyAlignment="1">
      <alignment horizontal="center"/>
    </xf>
    <xf numFmtId="165" fontId="6" fillId="8" borderId="43" xfId="1" applyNumberFormat="1" applyFont="1" applyFill="1" applyBorder="1" applyAlignment="1">
      <alignment horizontal="center"/>
    </xf>
    <xf numFmtId="165" fontId="2" fillId="0" borderId="43" xfId="1" applyNumberFormat="1" applyFont="1" applyBorder="1"/>
    <xf numFmtId="165" fontId="2" fillId="0" borderId="44" xfId="1" applyNumberFormat="1" applyFont="1" applyBorder="1"/>
    <xf numFmtId="165" fontId="6" fillId="3" borderId="36" xfId="1" applyNumberFormat="1" applyFont="1" applyFill="1" applyBorder="1" applyAlignment="1">
      <alignment horizontal="center"/>
    </xf>
    <xf numFmtId="165" fontId="2" fillId="0" borderId="37" xfId="1" applyNumberFormat="1" applyFont="1" applyBorder="1"/>
    <xf numFmtId="0" fontId="6" fillId="8" borderId="45" xfId="0" applyFont="1" applyFill="1" applyBorder="1" applyAlignment="1">
      <alignment horizontal="center"/>
    </xf>
    <xf numFmtId="165" fontId="0" fillId="0" borderId="46" xfId="1" applyNumberFormat="1" applyFont="1" applyBorder="1"/>
    <xf numFmtId="165" fontId="0" fillId="0" borderId="47" xfId="1" applyNumberFormat="1" applyFont="1" applyBorder="1"/>
    <xf numFmtId="165" fontId="6" fillId="3" borderId="20" xfId="1" applyNumberFormat="1" applyFont="1" applyFill="1" applyBorder="1" applyAlignment="1">
      <alignment horizontal="center"/>
    </xf>
    <xf numFmtId="165" fontId="0" fillId="0" borderId="48" xfId="1" applyNumberFormat="1" applyFont="1" applyBorder="1"/>
    <xf numFmtId="165" fontId="6" fillId="7" borderId="45" xfId="1" applyNumberFormat="1" applyFont="1" applyFill="1" applyBorder="1" applyAlignment="1">
      <alignment horizontal="center"/>
    </xf>
    <xf numFmtId="165" fontId="6" fillId="3" borderId="46" xfId="1" applyNumberFormat="1" applyFont="1" applyFill="1" applyBorder="1" applyAlignment="1">
      <alignment horizontal="center"/>
    </xf>
    <xf numFmtId="165" fontId="6" fillId="11" borderId="49" xfId="1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5" fontId="7" fillId="0" borderId="2" xfId="1" applyNumberFormat="1" applyFont="1" applyFill="1" applyBorder="1"/>
    <xf numFmtId="165" fontId="7" fillId="0" borderId="17" xfId="1" applyNumberFormat="1" applyFont="1" applyFill="1" applyBorder="1"/>
    <xf numFmtId="165" fontId="0" fillId="0" borderId="2" xfId="1" applyNumberFormat="1" applyFont="1" applyFill="1" applyBorder="1"/>
    <xf numFmtId="165" fontId="0" fillId="0" borderId="17" xfId="1" applyNumberFormat="1" applyFont="1" applyFill="1" applyBorder="1"/>
    <xf numFmtId="165" fontId="0" fillId="0" borderId="46" xfId="1" applyNumberFormat="1" applyFont="1" applyFill="1" applyBorder="1"/>
    <xf numFmtId="165" fontId="0" fillId="0" borderId="39" xfId="1" applyNumberFormat="1" applyFont="1" applyFill="1" applyBorder="1"/>
    <xf numFmtId="165" fontId="2" fillId="0" borderId="43" xfId="1" applyNumberFormat="1" applyFont="1" applyFill="1" applyBorder="1"/>
    <xf numFmtId="165" fontId="6" fillId="8" borderId="10" xfId="1" applyNumberFormat="1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165" fontId="2" fillId="0" borderId="1" xfId="1" applyNumberFormat="1" applyFont="1" applyBorder="1"/>
    <xf numFmtId="165" fontId="0" fillId="0" borderId="13" xfId="1" applyNumberFormat="1" applyFont="1" applyBorder="1"/>
    <xf numFmtId="165" fontId="2" fillId="0" borderId="50" xfId="1" applyNumberFormat="1" applyFont="1" applyBorder="1"/>
    <xf numFmtId="165" fontId="2" fillId="0" borderId="51" xfId="1" applyNumberFormat="1" applyFont="1" applyBorder="1"/>
    <xf numFmtId="165" fontId="2" fillId="0" borderId="1" xfId="1" applyNumberFormat="1" applyFont="1" applyFill="1" applyBorder="1"/>
    <xf numFmtId="165" fontId="0" fillId="0" borderId="13" xfId="1" applyNumberFormat="1" applyFont="1" applyFill="1" applyBorder="1"/>
    <xf numFmtId="43" fontId="0" fillId="0" borderId="0" xfId="0" applyNumberFormat="1"/>
    <xf numFmtId="0" fontId="42" fillId="12" borderId="0" xfId="0" applyFont="1" applyFill="1" applyAlignment="1">
      <alignment horizontal="left"/>
    </xf>
    <xf numFmtId="0" fontId="42" fillId="12" borderId="0" xfId="0" applyFont="1" applyFill="1" applyAlignment="1">
      <alignment horizontal="right"/>
    </xf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166" fontId="44" fillId="0" borderId="0" xfId="0" applyNumberFormat="1" applyFont="1" applyAlignment="1">
      <alignment horizontal="right" vertical="center"/>
    </xf>
    <xf numFmtId="4" fontId="44" fillId="0" borderId="0" xfId="0" applyNumberFormat="1" applyFont="1" applyAlignment="1">
      <alignment horizontal="right" vertical="center"/>
    </xf>
    <xf numFmtId="0" fontId="44" fillId="0" borderId="0" xfId="0" applyFont="1" applyAlignment="1">
      <alignment horizontal="left" indent="1"/>
    </xf>
    <xf numFmtId="0" fontId="43" fillId="0" borderId="0" xfId="0" applyFont="1" applyAlignment="1">
      <alignment horizontal="left" indent="1"/>
    </xf>
    <xf numFmtId="0" fontId="44" fillId="0" borderId="0" xfId="0" applyFont="1" applyAlignment="1">
      <alignment horizontal="left" indent="2"/>
    </xf>
    <xf numFmtId="0" fontId="43" fillId="0" borderId="19" xfId="0" applyFont="1" applyBorder="1" applyAlignment="1">
      <alignment horizontal="left" indent="1"/>
    </xf>
    <xf numFmtId="0" fontId="43" fillId="0" borderId="19" xfId="0" applyFont="1" applyBorder="1" applyAlignment="1">
      <alignment horizontal="left" vertical="center"/>
    </xf>
    <xf numFmtId="166" fontId="43" fillId="0" borderId="19" xfId="0" applyNumberFormat="1" applyFont="1" applyBorder="1" applyAlignment="1">
      <alignment horizontal="right" vertical="center"/>
    </xf>
    <xf numFmtId="4" fontId="43" fillId="0" borderId="19" xfId="0" applyNumberFormat="1" applyFont="1" applyBorder="1" applyAlignment="1">
      <alignment horizontal="right" vertical="center"/>
    </xf>
    <xf numFmtId="0" fontId="43" fillId="0" borderId="0" xfId="0" applyFont="1" applyAlignment="1">
      <alignment horizontal="left" indent="2"/>
    </xf>
    <xf numFmtId="0" fontId="44" fillId="0" borderId="0" xfId="0" applyFont="1" applyAlignment="1">
      <alignment horizontal="left" indent="3"/>
    </xf>
    <xf numFmtId="0" fontId="43" fillId="0" borderId="19" xfId="0" applyFont="1" applyBorder="1" applyAlignment="1">
      <alignment horizontal="left" indent="2"/>
    </xf>
    <xf numFmtId="168" fontId="0" fillId="0" borderId="0" xfId="0" applyNumberFormat="1" applyAlignment="1">
      <alignment wrapText="1"/>
    </xf>
    <xf numFmtId="169" fontId="0" fillId="0" borderId="0" xfId="0" applyNumberFormat="1"/>
    <xf numFmtId="166" fontId="44" fillId="7" borderId="0" xfId="0" applyNumberFormat="1" applyFont="1" applyFill="1" applyAlignment="1">
      <alignment horizontal="right" vertical="center"/>
    </xf>
    <xf numFmtId="170" fontId="45" fillId="0" borderId="2" xfId="0" applyNumberFormat="1" applyFont="1" applyBorder="1" applyAlignment="1">
      <alignment horizontal="center"/>
    </xf>
    <xf numFmtId="170" fontId="45" fillId="0" borderId="2" xfId="53" applyNumberFormat="1" applyFont="1" applyBorder="1" applyAlignment="1">
      <alignment horizontal="center"/>
    </xf>
    <xf numFmtId="1" fontId="6" fillId="11" borderId="14" xfId="0" applyNumberFormat="1" applyFont="1" applyFill="1" applyBorder="1" applyAlignment="1">
      <alignment horizontal="center"/>
    </xf>
    <xf numFmtId="1" fontId="6" fillId="11" borderId="15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1" fontId="6" fillId="13" borderId="1" xfId="0" applyNumberFormat="1" applyFont="1" applyFill="1" applyBorder="1" applyAlignment="1">
      <alignment horizontal="center"/>
    </xf>
    <xf numFmtId="1" fontId="6" fillId="13" borderId="2" xfId="0" applyNumberFormat="1" applyFont="1" applyFill="1" applyBorder="1" applyAlignment="1">
      <alignment horizontal="center"/>
    </xf>
    <xf numFmtId="0" fontId="2" fillId="8" borderId="32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40" fillId="0" borderId="0" xfId="0" applyFont="1" applyAlignment="1">
      <alignment horizontal="center"/>
    </xf>
  </cellXfs>
  <cellStyles count="54">
    <cellStyle name="20% - הדגשה1" xfId="24" builtinId="30" customBuiltin="1"/>
    <cellStyle name="20% - הדגשה2" xfId="28" builtinId="34" customBuiltin="1"/>
    <cellStyle name="20% - הדגשה3" xfId="32" builtinId="38" customBuiltin="1"/>
    <cellStyle name="20% - הדגשה4" xfId="36" builtinId="42" customBuiltin="1"/>
    <cellStyle name="20% - הדגשה5" xfId="40" builtinId="46" customBuiltin="1"/>
    <cellStyle name="20% - הדגשה6" xfId="44" builtinId="50" customBuiltin="1"/>
    <cellStyle name="40% - הדגשה1" xfId="25" builtinId="31" customBuiltin="1"/>
    <cellStyle name="40% - הדגשה2" xfId="29" builtinId="35" customBuiltin="1"/>
    <cellStyle name="40% - הדגשה3" xfId="33" builtinId="39" customBuiltin="1"/>
    <cellStyle name="40% - הדגשה4" xfId="37" builtinId="43" customBuiltin="1"/>
    <cellStyle name="40% - הדגשה5" xfId="41" builtinId="47" customBuiltin="1"/>
    <cellStyle name="40% - הדגשה6" xfId="45" builtinId="51" customBuiltin="1"/>
    <cellStyle name="60% - הדגשה1" xfId="26" builtinId="32" customBuiltin="1"/>
    <cellStyle name="60% - הדגשה2" xfId="30" builtinId="36" customBuiltin="1"/>
    <cellStyle name="60% - הדגשה3" xfId="34" builtinId="40" customBuiltin="1"/>
    <cellStyle name="60% - הדגשה4" xfId="38" builtinId="44" customBuiltin="1"/>
    <cellStyle name="60% - הדגשה5" xfId="42" builtinId="48" customBuiltin="1"/>
    <cellStyle name="60% - הדגשה6" xfId="46" builtinId="52" customBuiltin="1"/>
    <cellStyle name="Comma" xfId="1" builtinId="3"/>
    <cellStyle name="Comma 2" xfId="3" xr:uid="{25BB6A7D-49ED-4953-9F7B-DFC6F9011DFC}"/>
    <cellStyle name="Comma 2 2" xfId="5" xr:uid="{6EA4DA24-645A-4EA3-A401-0CD5B58487C4}"/>
    <cellStyle name="Comma 2 2 2" xfId="51" xr:uid="{29B35531-4CEF-4837-B128-38F82A38B1FF}"/>
    <cellStyle name="Comma 2 3" xfId="49" xr:uid="{854421F0-7BCA-4754-BDFC-B2600901CA0F}"/>
    <cellStyle name="Comma 3" xfId="4" xr:uid="{5E376CF5-2D9E-494F-B787-F26BB35E46AD}"/>
    <cellStyle name="Comma 3 2" xfId="50" xr:uid="{CF3EC51A-B8E2-4404-BD97-C4C081BD8A0C}"/>
    <cellStyle name="Comma 4" xfId="48" xr:uid="{259C6B2F-3A7E-42E3-8D6F-8AAAE841518D}"/>
    <cellStyle name="Normal" xfId="0" builtinId="0"/>
    <cellStyle name="Normal 2" xfId="47" xr:uid="{FABFB8E8-676A-49BD-B561-8AE4F429BE21}"/>
    <cellStyle name="Normal 3" xfId="52" xr:uid="{CDF47B12-FA50-4BC7-8284-646EC78B00ED}"/>
    <cellStyle name="Normal 4" xfId="53" xr:uid="{8D80DC23-5203-4547-AAB2-60F38BFCB3ED}"/>
    <cellStyle name="Percent" xfId="2" builtinId="5"/>
    <cellStyle name="הדגשה1" xfId="23" builtinId="29" customBuiltin="1"/>
    <cellStyle name="הדגשה2" xfId="27" builtinId="33" customBuiltin="1"/>
    <cellStyle name="הדגשה3" xfId="31" builtinId="37" customBuiltin="1"/>
    <cellStyle name="הדגשה4" xfId="35" builtinId="41" customBuiltin="1"/>
    <cellStyle name="הדגשה5" xfId="39" builtinId="45" customBuiltin="1"/>
    <cellStyle name="הדגשה6" xfId="43" builtinId="49" customBuiltin="1"/>
    <cellStyle name="הערה" xfId="20" builtinId="10" customBuiltin="1"/>
    <cellStyle name="חישוב" xfId="16" builtinId="22" customBuiltin="1"/>
    <cellStyle name="טוב" xfId="11" builtinId="26" customBuiltin="1"/>
    <cellStyle name="טקסט אזהרה" xfId="19" builtinId="11" customBuiltin="1"/>
    <cellStyle name="טקסט הסברי" xfId="21" builtinId="53" customBuiltin="1"/>
    <cellStyle name="כותרת" xfId="6" builtinId="15" customBuiltin="1"/>
    <cellStyle name="כותרת 1" xfId="7" builtinId="16" customBuiltin="1"/>
    <cellStyle name="כותרת 2" xfId="8" builtinId="17" customBuiltin="1"/>
    <cellStyle name="כותרת 3" xfId="9" builtinId="18" customBuiltin="1"/>
    <cellStyle name="כותרת 4" xfId="10" builtinId="19" customBuiltin="1"/>
    <cellStyle name="ניטראלי" xfId="13" builtinId="28" customBuiltin="1"/>
    <cellStyle name="סה&quot;כ" xfId="22" builtinId="25" customBuiltin="1"/>
    <cellStyle name="פלט" xfId="15" builtinId="21" customBuiltin="1"/>
    <cellStyle name="קלט" xfId="14" builtinId="20" customBuiltin="1"/>
    <cellStyle name="רע" xfId="12" builtinId="27" customBuiltin="1"/>
    <cellStyle name="תא מסומן" xfId="18" builtinId="23" customBuiltin="1"/>
    <cellStyle name="תא מקושר" xfId="17" builtinId="24" customBuiltin="1"/>
  </cellStyles>
  <dxfs count="0"/>
  <tableStyles count="0" defaultTableStyle="TableStyleMedium2" defaultPivotStyle="PivotStyleLight16"/>
  <colors>
    <mruColors>
      <color rgb="FFFD5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1156658meditex-my.sharepoint.com/personal/eyals_uriel_co_il/Documents/&#1513;&#1493;&#1500;&#1495;&#1503;%20&#1492;&#1506;&#1489;&#1493;&#1491;&#1492;/&#1488;&#1497;&#1497;&#1500;%20&#1514;&#1511;&#1510;&#1497;&#1489;%202026/Final/&#1511;&#1493;&#1489;&#1509;%20&#1506;&#1489;&#1493;&#1491;&#1492;%20&#1500;&#1514;&#1511;&#1510;&#1497;&#1489;%20&#1495;&#1510;&#1497;&#1493;&#1503;%202%20-%20&#1506;&#1491;&#1499;&#1493;&#1503;.xlsx" TargetMode="External"/><Relationship Id="rId1" Type="http://schemas.openxmlformats.org/officeDocument/2006/relationships/externalLinkPath" Target="https://1156658meditex-my.sharepoint.com/personal/eyals_uriel_co_il/Documents/&#1513;&#1493;&#1500;&#1495;&#1503;%20&#1492;&#1506;&#1489;&#1493;&#1491;&#1492;/&#1488;&#1497;&#1497;&#1500;%20&#1514;&#1511;&#1510;&#1497;&#1489;%202026/Final/&#1511;&#1493;&#1489;&#1509;%20&#1506;&#1489;&#1493;&#1491;&#1492;%20&#1500;&#1514;&#1511;&#1510;&#1497;&#1489;%20&#1495;&#1510;&#1497;&#1493;&#1503;%202%20-%20&#1506;&#1491;&#1499;&#1493;&#15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קציב ישראל 2026"/>
      <sheetName val="ישראל חציון שני הערכה "/>
      <sheetName val="מפיצים תקציב 2026"/>
      <sheetName val="מפיצים הערכה לחציון שני "/>
      <sheetName val="אמזון"/>
      <sheetName val="ישראל חציון שני הערכה חנה"/>
    </sheetNames>
    <sheetDataSet>
      <sheetData sheetId="0"/>
      <sheetData sheetId="1">
        <row r="2">
          <cell r="O2" t="str">
            <v>מכירות לפי קצב H1</v>
          </cell>
        </row>
        <row r="3">
          <cell r="L3" t="str">
            <v xml:space="preserve">% ביצוע </v>
          </cell>
          <cell r="O3" t="str">
            <v>H2</v>
          </cell>
          <cell r="P3" t="str">
            <v xml:space="preserve">סה"כ </v>
          </cell>
        </row>
        <row r="4">
          <cell r="L4">
            <v>0.91960954876755252</v>
          </cell>
          <cell r="O4">
            <v>2774937.8930000006</v>
          </cell>
          <cell r="P4">
            <v>5549875.7860000012</v>
          </cell>
        </row>
        <row r="5">
          <cell r="L5">
            <v>0.91345066741824321</v>
          </cell>
          <cell r="O5">
            <v>2231238.2000000309</v>
          </cell>
          <cell r="P5">
            <v>4462476.4000000618</v>
          </cell>
        </row>
        <row r="6">
          <cell r="L6">
            <v>0.89783402191280537</v>
          </cell>
          <cell r="O6">
            <v>1742410.85</v>
          </cell>
          <cell r="P6">
            <v>3484821.7</v>
          </cell>
        </row>
        <row r="7">
          <cell r="L7">
            <v>0.98466513899283392</v>
          </cell>
          <cell r="O7">
            <v>918523.97800000012</v>
          </cell>
          <cell r="P7">
            <v>1837047.9560000002</v>
          </cell>
        </row>
        <row r="8">
          <cell r="L8">
            <v>0.84352436318972024</v>
          </cell>
          <cell r="O8">
            <v>740443.29999999993</v>
          </cell>
          <cell r="P8">
            <v>1480886.5999999999</v>
          </cell>
        </row>
        <row r="9">
          <cell r="L9">
            <v>0.77023217522077048</v>
          </cell>
          <cell r="O9">
            <v>475277.56999999995</v>
          </cell>
          <cell r="P9">
            <v>950555.1399999999</v>
          </cell>
        </row>
        <row r="10">
          <cell r="L10">
            <v>0.99776538968253969</v>
          </cell>
          <cell r="O10">
            <v>437274.56499999994</v>
          </cell>
          <cell r="P10">
            <v>874549.12999999989</v>
          </cell>
        </row>
        <row r="11">
          <cell r="L11">
            <v>0.78278883024980483</v>
          </cell>
          <cell r="O11">
            <v>343097.61100000003</v>
          </cell>
          <cell r="P11">
            <v>686195.22200000007</v>
          </cell>
        </row>
        <row r="12">
          <cell r="L12">
            <v>0.95746026190476197</v>
          </cell>
          <cell r="O12">
            <v>89111.1</v>
          </cell>
          <cell r="P12">
            <v>178222.2</v>
          </cell>
        </row>
        <row r="13">
          <cell r="L13">
            <v>0.83419465664160386</v>
          </cell>
          <cell r="O13">
            <v>61235.08</v>
          </cell>
          <cell r="P13">
            <v>122470.16</v>
          </cell>
        </row>
        <row r="14">
          <cell r="L14">
            <v>0.87205886190476201</v>
          </cell>
          <cell r="O14">
            <v>34015.410000000003</v>
          </cell>
          <cell r="P14">
            <v>68030.820000000007</v>
          </cell>
        </row>
        <row r="15">
          <cell r="L15">
            <v>0.82214219689558965</v>
          </cell>
          <cell r="O15">
            <v>9807.0200000000023</v>
          </cell>
          <cell r="P15">
            <v>19614.040000000005</v>
          </cell>
        </row>
        <row r="16">
          <cell r="L16">
            <v>0.64437180000000005</v>
          </cell>
          <cell r="O16">
            <v>7748.72</v>
          </cell>
          <cell r="P16">
            <v>15497.44</v>
          </cell>
        </row>
        <row r="17">
          <cell r="L17"/>
          <cell r="O17">
            <v>3576.1499999999996</v>
          </cell>
          <cell r="P17">
            <v>7152.2999999999993</v>
          </cell>
        </row>
        <row r="18">
          <cell r="L18">
            <v>0.57587279999999996</v>
          </cell>
          <cell r="O18">
            <v>1896.82</v>
          </cell>
          <cell r="P18">
            <v>3793.64</v>
          </cell>
        </row>
        <row r="19">
          <cell r="L19">
            <v>0.89575049766400017</v>
          </cell>
          <cell r="O19">
            <v>9870594.2670000326</v>
          </cell>
          <cell r="P19">
            <v>19741188.534000065</v>
          </cell>
        </row>
        <row r="20">
          <cell r="L20"/>
          <cell r="M20"/>
          <cell r="N20"/>
          <cell r="O20"/>
          <cell r="P20"/>
        </row>
        <row r="22">
          <cell r="L22" t="str">
            <v xml:space="preserve">אוגוסט </v>
          </cell>
          <cell r="M22" t="str">
            <v>ספטמבר</v>
          </cell>
          <cell r="N22" t="str">
            <v>אוקטובר</v>
          </cell>
          <cell r="O22" t="str">
            <v>נובמבר</v>
          </cell>
          <cell r="P22" t="str">
            <v>דצמבר</v>
          </cell>
        </row>
        <row r="23">
          <cell r="B23">
            <v>1</v>
          </cell>
          <cell r="L23">
            <v>550000</v>
          </cell>
          <cell r="M23">
            <v>550000</v>
          </cell>
          <cell r="N23">
            <v>550000</v>
          </cell>
          <cell r="O23">
            <v>550000</v>
          </cell>
          <cell r="P23">
            <v>550000</v>
          </cell>
        </row>
        <row r="24">
          <cell r="B24">
            <v>2</v>
          </cell>
          <cell r="L24">
            <v>481500</v>
          </cell>
          <cell r="M24">
            <v>977100.84745762718</v>
          </cell>
          <cell r="N24">
            <v>1159556.779661017</v>
          </cell>
          <cell r="O24">
            <v>1012800</v>
          </cell>
          <cell r="P24">
            <v>1300521.1864406781</v>
          </cell>
        </row>
        <row r="25">
          <cell r="B25">
            <v>3</v>
          </cell>
          <cell r="L25">
            <v>330000</v>
          </cell>
          <cell r="M25">
            <v>330000</v>
          </cell>
          <cell r="N25">
            <v>330000</v>
          </cell>
          <cell r="O25">
            <v>330000</v>
          </cell>
          <cell r="P25">
            <v>330000</v>
          </cell>
        </row>
        <row r="26">
          <cell r="B26">
            <v>4</v>
          </cell>
          <cell r="L26">
            <v>200000</v>
          </cell>
          <cell r="M26">
            <v>200000</v>
          </cell>
          <cell r="N26">
            <v>200000</v>
          </cell>
          <cell r="O26">
            <v>200000</v>
          </cell>
          <cell r="P26">
            <v>200000</v>
          </cell>
        </row>
        <row r="27">
          <cell r="B27">
            <v>5</v>
          </cell>
          <cell r="L27">
            <v>200000</v>
          </cell>
          <cell r="M27">
            <v>200000</v>
          </cell>
          <cell r="N27">
            <v>200000</v>
          </cell>
          <cell r="O27">
            <v>200000</v>
          </cell>
          <cell r="P27">
            <v>200000</v>
          </cell>
        </row>
        <row r="28">
          <cell r="B28">
            <v>6</v>
          </cell>
          <cell r="L28">
            <v>100000</v>
          </cell>
          <cell r="M28">
            <v>100000</v>
          </cell>
          <cell r="N28">
            <v>100000</v>
          </cell>
          <cell r="O28">
            <v>100000</v>
          </cell>
          <cell r="P28">
            <v>100000</v>
          </cell>
        </row>
        <row r="29">
          <cell r="B29">
            <v>7</v>
          </cell>
          <cell r="L29">
            <v>100000</v>
          </cell>
          <cell r="M29">
            <v>100000</v>
          </cell>
          <cell r="N29">
            <v>100000</v>
          </cell>
          <cell r="O29">
            <v>100000</v>
          </cell>
          <cell r="P29">
            <v>100000</v>
          </cell>
        </row>
        <row r="30">
          <cell r="B30">
            <v>8</v>
          </cell>
          <cell r="L30">
            <v>100000</v>
          </cell>
          <cell r="M30">
            <v>100000</v>
          </cell>
          <cell r="N30">
            <v>100000</v>
          </cell>
          <cell r="O30">
            <v>100000</v>
          </cell>
          <cell r="P30">
            <v>100000</v>
          </cell>
        </row>
        <row r="31">
          <cell r="B31">
            <v>9</v>
          </cell>
          <cell r="L31">
            <v>25000</v>
          </cell>
          <cell r="M31">
            <v>25000</v>
          </cell>
          <cell r="N31">
            <v>25000</v>
          </cell>
          <cell r="O31">
            <v>25000</v>
          </cell>
          <cell r="P31">
            <v>25000</v>
          </cell>
        </row>
        <row r="32">
          <cell r="B32">
            <v>10</v>
          </cell>
          <cell r="L32">
            <v>15000</v>
          </cell>
          <cell r="M32">
            <v>15000</v>
          </cell>
          <cell r="N32">
            <v>15000</v>
          </cell>
          <cell r="O32">
            <v>15000</v>
          </cell>
          <cell r="P32">
            <v>15000</v>
          </cell>
        </row>
        <row r="33">
          <cell r="B33">
            <v>11</v>
          </cell>
          <cell r="L33">
            <v>10000</v>
          </cell>
          <cell r="M33">
            <v>10000</v>
          </cell>
          <cell r="N33">
            <v>10000</v>
          </cell>
          <cell r="O33">
            <v>10000</v>
          </cell>
          <cell r="P33">
            <v>10000</v>
          </cell>
        </row>
        <row r="34">
          <cell r="B34">
            <v>12</v>
          </cell>
          <cell r="L34">
            <v>5000</v>
          </cell>
          <cell r="M34">
            <v>5000</v>
          </cell>
          <cell r="N34">
            <v>5000</v>
          </cell>
          <cell r="O34">
            <v>5000</v>
          </cell>
          <cell r="P34">
            <v>5000</v>
          </cell>
        </row>
        <row r="35">
          <cell r="B35">
            <v>13</v>
          </cell>
          <cell r="L35">
            <v>5000</v>
          </cell>
          <cell r="M35">
            <v>5000</v>
          </cell>
          <cell r="N35">
            <v>5000</v>
          </cell>
          <cell r="O35">
            <v>5000</v>
          </cell>
          <cell r="P35">
            <v>5000</v>
          </cell>
        </row>
        <row r="36">
          <cell r="B36">
            <v>14</v>
          </cell>
          <cell r="L36">
            <v>5000</v>
          </cell>
          <cell r="M36">
            <v>5000</v>
          </cell>
          <cell r="N36">
            <v>5000</v>
          </cell>
          <cell r="O36">
            <v>5000</v>
          </cell>
          <cell r="P36">
            <v>5000</v>
          </cell>
        </row>
        <row r="37">
          <cell r="B37">
            <v>15</v>
          </cell>
          <cell r="L37">
            <v>5000</v>
          </cell>
          <cell r="M37">
            <v>5000</v>
          </cell>
          <cell r="N37">
            <v>5000</v>
          </cell>
          <cell r="O37">
            <v>5000</v>
          </cell>
          <cell r="P37">
            <v>5000</v>
          </cell>
        </row>
        <row r="38">
          <cell r="L38">
            <v>2131500</v>
          </cell>
          <cell r="M38">
            <v>2627100.8474576273</v>
          </cell>
          <cell r="N38">
            <v>2809556.779661017</v>
          </cell>
          <cell r="O38">
            <v>2662800</v>
          </cell>
          <cell r="P38">
            <v>2950521.1864406783</v>
          </cell>
        </row>
        <row r="41">
          <cell r="B41">
            <v>1</v>
          </cell>
        </row>
        <row r="42">
          <cell r="B42">
            <v>2</v>
          </cell>
        </row>
        <row r="43">
          <cell r="B43">
            <v>3</v>
          </cell>
        </row>
        <row r="44">
          <cell r="B44">
            <v>4</v>
          </cell>
        </row>
        <row r="45">
          <cell r="B45">
            <v>5</v>
          </cell>
        </row>
        <row r="46">
          <cell r="B46">
            <v>6</v>
          </cell>
        </row>
        <row r="47">
          <cell r="B47">
            <v>7</v>
          </cell>
        </row>
        <row r="48">
          <cell r="B48">
            <v>8</v>
          </cell>
        </row>
        <row r="49">
          <cell r="B49">
            <v>9</v>
          </cell>
        </row>
        <row r="50">
          <cell r="B50">
            <v>10</v>
          </cell>
        </row>
        <row r="51">
          <cell r="B51">
            <v>11</v>
          </cell>
        </row>
        <row r="52">
          <cell r="B52">
            <v>12</v>
          </cell>
        </row>
        <row r="53">
          <cell r="B53">
            <v>13</v>
          </cell>
        </row>
        <row r="54">
          <cell r="B54">
            <v>14</v>
          </cell>
        </row>
        <row r="55">
          <cell r="B55">
            <v>15</v>
          </cell>
        </row>
      </sheetData>
      <sheetData sheetId="2"/>
      <sheetData sheetId="3">
        <row r="1">
          <cell r="O1" t="str">
            <v xml:space="preserve">Budget </v>
          </cell>
        </row>
        <row r="2">
          <cell r="O2" t="str">
            <v xml:space="preserve">July </v>
          </cell>
          <cell r="P2" t="str">
            <v>August</v>
          </cell>
          <cell r="Q2" t="str">
            <v>September</v>
          </cell>
          <cell r="R2" t="str">
            <v>October</v>
          </cell>
          <cell r="S2" t="str">
            <v>November</v>
          </cell>
          <cell r="T2" t="str">
            <v>December</v>
          </cell>
        </row>
        <row r="3">
          <cell r="O3">
            <v>205800</v>
          </cell>
          <cell r="P3">
            <v>0</v>
          </cell>
          <cell r="Q3">
            <v>0</v>
          </cell>
          <cell r="R3">
            <v>156800</v>
          </cell>
          <cell r="S3">
            <v>0</v>
          </cell>
          <cell r="T3">
            <v>147000</v>
          </cell>
        </row>
        <row r="4">
          <cell r="O4">
            <v>13390</v>
          </cell>
          <cell r="P4">
            <v>120000</v>
          </cell>
          <cell r="Q4">
            <v>15000</v>
          </cell>
          <cell r="R4">
            <v>0</v>
          </cell>
          <cell r="S4">
            <v>200000</v>
          </cell>
          <cell r="T4">
            <v>0</v>
          </cell>
        </row>
        <row r="5">
          <cell r="O5">
            <v>85000</v>
          </cell>
          <cell r="P5">
            <v>0</v>
          </cell>
          <cell r="Q5">
            <v>85000</v>
          </cell>
          <cell r="R5">
            <v>0</v>
          </cell>
          <cell r="S5">
            <v>82841</v>
          </cell>
          <cell r="T5">
            <v>0</v>
          </cell>
        </row>
        <row r="6">
          <cell r="O6">
            <v>17000</v>
          </cell>
          <cell r="P6">
            <v>10000</v>
          </cell>
          <cell r="Q6">
            <v>17000</v>
          </cell>
          <cell r="R6">
            <v>9225</v>
          </cell>
          <cell r="S6">
            <v>17000</v>
          </cell>
          <cell r="T6">
            <v>0</v>
          </cell>
        </row>
        <row r="7">
          <cell r="O7">
            <v>5000</v>
          </cell>
          <cell r="P7">
            <v>5000</v>
          </cell>
          <cell r="Q7">
            <v>5000</v>
          </cell>
          <cell r="R7">
            <v>5000</v>
          </cell>
          <cell r="S7">
            <v>5000</v>
          </cell>
          <cell r="T7">
            <v>5000</v>
          </cell>
        </row>
        <row r="8">
          <cell r="O8">
            <v>150000</v>
          </cell>
          <cell r="P8">
            <v>0</v>
          </cell>
          <cell r="Q8">
            <v>0</v>
          </cell>
          <cell r="R8">
            <v>0</v>
          </cell>
          <cell r="S8">
            <v>150000</v>
          </cell>
          <cell r="T8">
            <v>0</v>
          </cell>
        </row>
        <row r="9">
          <cell r="O9">
            <v>0</v>
          </cell>
          <cell r="P9">
            <v>40000</v>
          </cell>
          <cell r="Q9">
            <v>0</v>
          </cell>
          <cell r="R9">
            <v>0</v>
          </cell>
          <cell r="S9">
            <v>40000</v>
          </cell>
          <cell r="T9">
            <v>0</v>
          </cell>
        </row>
        <row r="10">
          <cell r="O10">
            <v>0</v>
          </cell>
          <cell r="P10">
            <v>250000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O11">
            <v>43000</v>
          </cell>
          <cell r="P11">
            <v>43000</v>
          </cell>
          <cell r="Q11">
            <v>43000</v>
          </cell>
          <cell r="R11">
            <v>43000</v>
          </cell>
          <cell r="S11">
            <v>43000</v>
          </cell>
          <cell r="T11">
            <v>43000</v>
          </cell>
        </row>
        <row r="12">
          <cell r="O12">
            <v>0</v>
          </cell>
          <cell r="P12">
            <v>0</v>
          </cell>
          <cell r="Q12">
            <v>0</v>
          </cell>
          <cell r="R12">
            <v>35000</v>
          </cell>
          <cell r="S12">
            <v>0</v>
          </cell>
          <cell r="T12">
            <v>0</v>
          </cell>
        </row>
        <row r="13">
          <cell r="O13">
            <v>20000</v>
          </cell>
          <cell r="P13">
            <v>0</v>
          </cell>
          <cell r="Q13">
            <v>0</v>
          </cell>
          <cell r="R13">
            <v>0</v>
          </cell>
          <cell r="S13">
            <v>19793</v>
          </cell>
          <cell r="T13">
            <v>0</v>
          </cell>
        </row>
        <row r="14">
          <cell r="O14">
            <v>18000</v>
          </cell>
          <cell r="P14">
            <v>0</v>
          </cell>
          <cell r="Q14">
            <v>49000</v>
          </cell>
          <cell r="R14">
            <v>0</v>
          </cell>
          <cell r="S14">
            <v>0</v>
          </cell>
          <cell r="T14">
            <v>0</v>
          </cell>
        </row>
        <row r="15"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40000</v>
          </cell>
          <cell r="T16">
            <v>0</v>
          </cell>
        </row>
        <row r="17"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20000</v>
          </cell>
          <cell r="T17">
            <v>0</v>
          </cell>
        </row>
        <row r="18">
          <cell r="O18">
            <v>0</v>
          </cell>
          <cell r="P18">
            <v>200000</v>
          </cell>
          <cell r="Q18">
            <v>0</v>
          </cell>
          <cell r="R18">
            <v>0</v>
          </cell>
          <cell r="S18">
            <v>200000</v>
          </cell>
          <cell r="T18">
            <v>0</v>
          </cell>
        </row>
        <row r="19"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200000</v>
          </cell>
          <cell r="T19">
            <v>0</v>
          </cell>
        </row>
        <row r="20">
          <cell r="O20">
            <v>557190</v>
          </cell>
          <cell r="P20">
            <v>668000</v>
          </cell>
          <cell r="Q20">
            <v>214000</v>
          </cell>
          <cell r="R20">
            <v>249025</v>
          </cell>
          <cell r="S20">
            <v>1017634</v>
          </cell>
          <cell r="T20">
            <v>195000</v>
          </cell>
        </row>
        <row r="23">
          <cell r="O23" t="str">
            <v xml:space="preserve">Today </v>
          </cell>
        </row>
        <row r="24">
          <cell r="O24" t="str">
            <v xml:space="preserve">July </v>
          </cell>
          <cell r="P24" t="str">
            <v>August</v>
          </cell>
          <cell r="Q24" t="str">
            <v>September</v>
          </cell>
          <cell r="R24" t="str">
            <v>October</v>
          </cell>
          <cell r="S24" t="str">
            <v>November</v>
          </cell>
          <cell r="T24" t="str">
            <v>December</v>
          </cell>
        </row>
        <row r="25">
          <cell r="L25">
            <v>20</v>
          </cell>
          <cell r="O25"/>
          <cell r="P25">
            <v>130000</v>
          </cell>
          <cell r="Q25"/>
          <cell r="R25">
            <v>300000</v>
          </cell>
          <cell r="S25"/>
          <cell r="T25">
            <v>150000</v>
          </cell>
        </row>
        <row r="26">
          <cell r="L26">
            <v>21</v>
          </cell>
          <cell r="O26"/>
          <cell r="P26">
            <v>20000</v>
          </cell>
          <cell r="Q26">
            <v>40000</v>
          </cell>
          <cell r="R26"/>
          <cell r="S26">
            <v>220000</v>
          </cell>
          <cell r="T26"/>
        </row>
        <row r="27">
          <cell r="L27">
            <v>22</v>
          </cell>
          <cell r="O27"/>
          <cell r="P27"/>
          <cell r="Q27">
            <v>75000</v>
          </cell>
          <cell r="R27"/>
          <cell r="S27">
            <v>75000</v>
          </cell>
          <cell r="T27"/>
        </row>
        <row r="28">
          <cell r="L28">
            <v>23</v>
          </cell>
          <cell r="O28">
            <v>20000</v>
          </cell>
          <cell r="P28"/>
          <cell r="Q28">
            <v>15000</v>
          </cell>
          <cell r="R28"/>
          <cell r="S28">
            <v>20000</v>
          </cell>
          <cell r="T28"/>
        </row>
        <row r="29">
          <cell r="L29">
            <v>24</v>
          </cell>
          <cell r="O29"/>
          <cell r="P29"/>
          <cell r="Q29"/>
          <cell r="R29"/>
          <cell r="S29"/>
          <cell r="T29"/>
        </row>
        <row r="30">
          <cell r="L30">
            <v>25</v>
          </cell>
          <cell r="O30">
            <v>240000</v>
          </cell>
          <cell r="P30"/>
          <cell r="Q30">
            <v>70000</v>
          </cell>
          <cell r="R30"/>
          <cell r="S30">
            <v>70000</v>
          </cell>
          <cell r="T30"/>
        </row>
        <row r="31">
          <cell r="L31">
            <v>26</v>
          </cell>
          <cell r="O31"/>
          <cell r="P31"/>
          <cell r="Q31">
            <v>20000</v>
          </cell>
          <cell r="R31"/>
          <cell r="S31">
            <v>20000</v>
          </cell>
          <cell r="T31"/>
        </row>
        <row r="32">
          <cell r="L32">
            <v>27</v>
          </cell>
          <cell r="O32"/>
          <cell r="P32"/>
          <cell r="Q32">
            <v>150000</v>
          </cell>
          <cell r="R32">
            <v>100000</v>
          </cell>
          <cell r="S32"/>
          <cell r="T32"/>
        </row>
        <row r="33">
          <cell r="L33">
            <v>28</v>
          </cell>
          <cell r="O33">
            <v>40000</v>
          </cell>
          <cell r="P33">
            <v>20000</v>
          </cell>
          <cell r="Q33">
            <v>40000</v>
          </cell>
          <cell r="R33">
            <v>20000</v>
          </cell>
          <cell r="S33">
            <v>40000</v>
          </cell>
          <cell r="T33">
            <v>15000</v>
          </cell>
        </row>
        <row r="34">
          <cell r="L34">
            <v>29</v>
          </cell>
          <cell r="O34"/>
          <cell r="P34"/>
          <cell r="Q34"/>
          <cell r="R34">
            <v>30000</v>
          </cell>
          <cell r="S34"/>
          <cell r="T34"/>
        </row>
        <row r="35">
          <cell r="L35">
            <v>30</v>
          </cell>
          <cell r="O35"/>
          <cell r="P35"/>
          <cell r="Q35">
            <v>25000</v>
          </cell>
          <cell r="R35"/>
          <cell r="S35"/>
          <cell r="T35"/>
        </row>
        <row r="36">
          <cell r="L36">
            <v>31</v>
          </cell>
          <cell r="O36"/>
          <cell r="P36"/>
          <cell r="Q36">
            <v>17500</v>
          </cell>
          <cell r="R36"/>
          <cell r="S36"/>
          <cell r="T36"/>
        </row>
        <row r="37">
          <cell r="L37">
            <v>32</v>
          </cell>
          <cell r="O37"/>
          <cell r="P37">
            <v>20000</v>
          </cell>
          <cell r="Q37"/>
          <cell r="R37"/>
          <cell r="S37"/>
          <cell r="T37"/>
        </row>
        <row r="38">
          <cell r="L38">
            <v>33</v>
          </cell>
          <cell r="O38"/>
          <cell r="P38"/>
          <cell r="Q38"/>
          <cell r="R38"/>
          <cell r="S38"/>
          <cell r="T38">
            <v>25000</v>
          </cell>
        </row>
        <row r="39">
          <cell r="L39">
            <v>34</v>
          </cell>
          <cell r="O39"/>
          <cell r="P39"/>
          <cell r="Q39"/>
          <cell r="R39"/>
          <cell r="S39"/>
          <cell r="T39"/>
        </row>
        <row r="40">
          <cell r="L40">
            <v>35</v>
          </cell>
          <cell r="O40"/>
          <cell r="P40"/>
          <cell r="Q40"/>
          <cell r="R40"/>
          <cell r="S40"/>
          <cell r="T40"/>
        </row>
        <row r="41">
          <cell r="L41">
            <v>36</v>
          </cell>
          <cell r="O41"/>
          <cell r="P41"/>
          <cell r="Q41"/>
          <cell r="R41">
            <v>100000</v>
          </cell>
          <cell r="S41"/>
          <cell r="T41"/>
        </row>
        <row r="42">
          <cell r="O42">
            <v>300000</v>
          </cell>
          <cell r="P42">
            <v>190000</v>
          </cell>
          <cell r="Q42">
            <v>452500</v>
          </cell>
          <cell r="R42">
            <v>550000</v>
          </cell>
          <cell r="S42">
            <v>445000</v>
          </cell>
          <cell r="T42">
            <v>190000</v>
          </cell>
        </row>
      </sheetData>
      <sheetData sheetId="4">
        <row r="29">
          <cell r="M29">
            <v>265966.8</v>
          </cell>
        </row>
        <row r="30">
          <cell r="M30">
            <v>305012.39999999997</v>
          </cell>
        </row>
        <row r="31">
          <cell r="M31">
            <v>327115.8</v>
          </cell>
        </row>
        <row r="32">
          <cell r="M32">
            <v>321888.59999999998</v>
          </cell>
        </row>
        <row r="33">
          <cell r="M33">
            <v>326122.5</v>
          </cell>
        </row>
        <row r="34">
          <cell r="M34">
            <v>297561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9238-1335-4796-8AB6-3DE3A27F831D}">
  <dimension ref="A1:AW78"/>
  <sheetViews>
    <sheetView rightToLeft="1" zoomScale="70" zoomScaleNormal="70" workbookViewId="0">
      <pane xSplit="4" ySplit="4" topLeftCell="AA5" activePane="bottomRight" state="frozen"/>
      <selection activeCell="E2" sqref="E1:E1048576"/>
      <selection pane="topRight" activeCell="E2" sqref="E1:E1048576"/>
      <selection pane="bottomLeft" activeCell="E2" sqref="E1:E1048576"/>
      <selection pane="bottomRight" activeCell="I21" sqref="I21"/>
    </sheetView>
  </sheetViews>
  <sheetFormatPr defaultRowHeight="14.25" x14ac:dyDescent="0.2"/>
  <cols>
    <col min="1" max="1" width="3.625" bestFit="1" customWidth="1"/>
    <col min="2" max="2" width="37.25" bestFit="1" customWidth="1"/>
    <col min="3" max="3" width="27" bestFit="1" customWidth="1"/>
    <col min="4" max="4" width="8.5" style="1" customWidth="1"/>
    <col min="5" max="13" width="9.75" style="69" customWidth="1"/>
    <col min="14" max="14" width="9.75" style="70" customWidth="1"/>
    <col min="15" max="16" width="9.75" style="69" customWidth="1"/>
    <col min="17" max="17" width="11.75" style="70" customWidth="1"/>
    <col min="18" max="18" width="9.75" style="6" hidden="1" customWidth="1"/>
    <col min="19" max="19" width="9.75" style="6" customWidth="1"/>
    <col min="20" max="20" width="10.5" hidden="1" customWidth="1"/>
    <col min="21" max="21" width="12.125" style="6" bestFit="1" customWidth="1"/>
    <col min="22" max="22" width="9.875" style="6" bestFit="1" customWidth="1"/>
    <col min="23" max="23" width="11.125" style="6" bestFit="1" customWidth="1"/>
    <col min="24" max="26" width="10.875" style="6" bestFit="1" customWidth="1"/>
    <col min="27" max="27" width="11.75" style="6" bestFit="1" customWidth="1"/>
    <col min="28" max="28" width="13.125" style="6" bestFit="1" customWidth="1"/>
    <col min="29" max="29" width="12.875" style="6" bestFit="1" customWidth="1"/>
    <col min="30" max="30" width="12.125" style="6" bestFit="1" customWidth="1"/>
    <col min="31" max="31" width="11.75" style="6" bestFit="1" customWidth="1"/>
    <col min="33" max="33" width="11.75" style="6" bestFit="1" customWidth="1"/>
    <col min="35" max="37" width="9.875" bestFit="1" customWidth="1"/>
    <col min="38" max="42" width="10.875" bestFit="1" customWidth="1"/>
    <col min="44" max="44" width="10.875" bestFit="1" customWidth="1"/>
    <col min="45" max="45" width="11" bestFit="1" customWidth="1"/>
    <col min="46" max="46" width="12.5" bestFit="1" customWidth="1"/>
    <col min="47" max="47" width="11.75" bestFit="1" customWidth="1"/>
    <col min="48" max="48" width="10.75" bestFit="1" customWidth="1"/>
    <col min="49" max="49" width="12.125" bestFit="1" customWidth="1"/>
  </cols>
  <sheetData>
    <row r="1" spans="1:49" hidden="1" x14ac:dyDescent="0.2">
      <c r="E1" s="69">
        <v>2</v>
      </c>
      <c r="F1" s="69">
        <f>+E1+1</f>
        <v>3</v>
      </c>
      <c r="G1" s="69">
        <f t="shared" ref="G1:P1" si="0">+F1+1</f>
        <v>4</v>
      </c>
      <c r="H1" s="69">
        <f t="shared" si="0"/>
        <v>5</v>
      </c>
      <c r="I1" s="69">
        <f t="shared" si="0"/>
        <v>6</v>
      </c>
      <c r="J1" s="69">
        <f t="shared" si="0"/>
        <v>7</v>
      </c>
      <c r="K1" s="69">
        <f t="shared" si="0"/>
        <v>8</v>
      </c>
      <c r="L1" s="69">
        <f t="shared" si="0"/>
        <v>9</v>
      </c>
      <c r="M1" s="69">
        <f t="shared" si="0"/>
        <v>10</v>
      </c>
      <c r="N1" s="69">
        <f t="shared" si="0"/>
        <v>11</v>
      </c>
      <c r="O1" s="69">
        <f t="shared" si="0"/>
        <v>12</v>
      </c>
      <c r="P1" s="69">
        <f t="shared" si="0"/>
        <v>13</v>
      </c>
    </row>
    <row r="2" spans="1:49" ht="15.75" hidden="1" x14ac:dyDescent="0.25">
      <c r="B2" s="33"/>
      <c r="C2" s="34"/>
      <c r="D2" s="34"/>
      <c r="E2" s="70">
        <v>3</v>
      </c>
      <c r="F2" s="70">
        <f>E2+3</f>
        <v>6</v>
      </c>
      <c r="G2" s="70">
        <f t="shared" ref="G2:P2" si="1">F2+3</f>
        <v>9</v>
      </c>
      <c r="H2" s="70">
        <f t="shared" si="1"/>
        <v>12</v>
      </c>
      <c r="I2" s="70">
        <f t="shared" si="1"/>
        <v>15</v>
      </c>
      <c r="J2" s="70">
        <f t="shared" si="1"/>
        <v>18</v>
      </c>
      <c r="K2" s="70">
        <f t="shared" si="1"/>
        <v>21</v>
      </c>
      <c r="L2" s="70">
        <f t="shared" si="1"/>
        <v>24</v>
      </c>
      <c r="M2" s="70">
        <f t="shared" si="1"/>
        <v>27</v>
      </c>
      <c r="N2" s="70">
        <f t="shared" si="1"/>
        <v>30</v>
      </c>
      <c r="O2" s="70">
        <f t="shared" si="1"/>
        <v>33</v>
      </c>
      <c r="P2" s="70">
        <f t="shared" si="1"/>
        <v>36</v>
      </c>
    </row>
    <row r="3" spans="1:49" ht="16.5" thickBot="1" x14ac:dyDescent="0.3">
      <c r="B3" s="33"/>
      <c r="C3" s="34"/>
      <c r="D3" s="34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AG3" s="6" t="s">
        <v>244</v>
      </c>
      <c r="AI3" s="112" t="s">
        <v>229</v>
      </c>
    </row>
    <row r="4" spans="1:49" x14ac:dyDescent="0.2">
      <c r="A4" s="21" t="s">
        <v>228</v>
      </c>
      <c r="B4" s="21"/>
      <c r="C4" s="21"/>
      <c r="D4" s="21" t="s">
        <v>10</v>
      </c>
      <c r="E4" s="21" t="s">
        <v>60</v>
      </c>
      <c r="F4" s="21" t="s">
        <v>61</v>
      </c>
      <c r="G4" s="21" t="s">
        <v>59</v>
      </c>
      <c r="H4" s="26" t="s">
        <v>58</v>
      </c>
      <c r="I4" s="26" t="s">
        <v>57</v>
      </c>
      <c r="J4" s="21" t="s">
        <v>56</v>
      </c>
      <c r="K4" s="21" t="s">
        <v>55</v>
      </c>
      <c r="L4" s="21" t="s">
        <v>54</v>
      </c>
      <c r="M4" s="21" t="s">
        <v>53</v>
      </c>
      <c r="N4" s="26" t="s">
        <v>52</v>
      </c>
      <c r="O4" s="21" t="s">
        <v>51</v>
      </c>
      <c r="P4" s="31" t="s">
        <v>50</v>
      </c>
      <c r="Q4" s="59" t="s">
        <v>62</v>
      </c>
      <c r="S4" s="103" t="s">
        <v>230</v>
      </c>
      <c r="T4" s="104"/>
      <c r="U4" s="103" t="s">
        <v>152</v>
      </c>
      <c r="V4" s="103" t="s">
        <v>153</v>
      </c>
      <c r="W4" s="103" t="s">
        <v>154</v>
      </c>
      <c r="X4" s="103" t="s">
        <v>155</v>
      </c>
      <c r="Y4" s="103" t="s">
        <v>156</v>
      </c>
      <c r="Z4" s="103" t="s">
        <v>157</v>
      </c>
      <c r="AA4" s="103" t="s">
        <v>158</v>
      </c>
      <c r="AB4" s="103" t="s">
        <v>159</v>
      </c>
      <c r="AC4" s="103" t="s">
        <v>160</v>
      </c>
      <c r="AD4" s="103" t="s">
        <v>161</v>
      </c>
      <c r="AE4" s="103" t="s">
        <v>162</v>
      </c>
      <c r="AG4" s="222" t="s">
        <v>240</v>
      </c>
      <c r="AI4" s="112" t="s">
        <v>55</v>
      </c>
      <c r="AJ4" s="112" t="s">
        <v>54</v>
      </c>
      <c r="AK4" s="112" t="s">
        <v>53</v>
      </c>
      <c r="AL4" s="113" t="s">
        <v>52</v>
      </c>
      <c r="AM4" s="112" t="s">
        <v>51</v>
      </c>
      <c r="AN4" s="207" t="s">
        <v>50</v>
      </c>
      <c r="AO4" s="217" t="s">
        <v>242</v>
      </c>
      <c r="AP4" s="212" t="s">
        <v>62</v>
      </c>
      <c r="AR4" s="233" t="s">
        <v>157</v>
      </c>
      <c r="AS4" s="234" t="s">
        <v>158</v>
      </c>
      <c r="AT4" s="234" t="s">
        <v>159</v>
      </c>
      <c r="AU4" s="234" t="s">
        <v>160</v>
      </c>
      <c r="AV4" s="234" t="s">
        <v>161</v>
      </c>
      <c r="AW4" s="235" t="s">
        <v>162</v>
      </c>
    </row>
    <row r="5" spans="1:49" ht="15" x14ac:dyDescent="0.25">
      <c r="A5" s="2">
        <v>5</v>
      </c>
      <c r="B5" s="2" t="s">
        <v>1</v>
      </c>
      <c r="C5" s="98" t="s">
        <v>1</v>
      </c>
      <c r="D5" s="3" t="s">
        <v>40</v>
      </c>
      <c r="E5" s="71">
        <v>176666.66666666666</v>
      </c>
      <c r="F5" s="71">
        <v>168253.96825396825</v>
      </c>
      <c r="G5" s="71">
        <v>193492.06349206349</v>
      </c>
      <c r="H5" s="71">
        <v>173015.87301587302</v>
      </c>
      <c r="I5" s="71">
        <v>188253.96825396825</v>
      </c>
      <c r="J5" s="71">
        <v>235079.36507936506</v>
      </c>
      <c r="K5" s="71">
        <v>235079.36507936506</v>
      </c>
      <c r="L5" s="71">
        <v>235079.36507936506</v>
      </c>
      <c r="M5" s="71">
        <v>209841.26984126982</v>
      </c>
      <c r="N5" s="71">
        <v>226666.66666666666</v>
      </c>
      <c r="O5" s="71">
        <v>235079.36507936506</v>
      </c>
      <c r="P5" s="71">
        <v>243492.06349206349</v>
      </c>
      <c r="Q5" s="72">
        <f t="shared" ref="Q5:Q17" si="2">SUM(E5:P5)</f>
        <v>2520000</v>
      </c>
      <c r="R5"/>
      <c r="S5" s="32">
        <f>SUM(E5:E5)</f>
        <v>176666.66666666666</v>
      </c>
      <c r="U5" s="32">
        <f>SUM($E5:F5)</f>
        <v>344920.63492063491</v>
      </c>
      <c r="V5" s="32">
        <f>SUM($E5:G5)</f>
        <v>538412.69841269846</v>
      </c>
      <c r="W5" s="32">
        <f>SUM($E5:H5)</f>
        <v>711428.57142857148</v>
      </c>
      <c r="X5" s="32">
        <f>SUM($E5:I5)</f>
        <v>899682.53968253976</v>
      </c>
      <c r="Y5" s="32">
        <f>SUM($E5:J5)</f>
        <v>1134761.9047619049</v>
      </c>
      <c r="Z5" s="32">
        <f>SUM($E5:K5)</f>
        <v>1369841.2698412698</v>
      </c>
      <c r="AA5" s="32">
        <f>SUM($E5:L5)</f>
        <v>1604920.6349206348</v>
      </c>
      <c r="AB5" s="32">
        <f>SUM($E5:M5)</f>
        <v>1814761.9047619046</v>
      </c>
      <c r="AC5" s="32">
        <f>SUM($E5:N5)</f>
        <v>2041428.5714285714</v>
      </c>
      <c r="AD5" s="32">
        <f>SUM($E5:O5)</f>
        <v>2276507.9365079366</v>
      </c>
      <c r="AE5" s="32">
        <f>SUM($E5:P5)</f>
        <v>2520000</v>
      </c>
      <c r="AG5" s="218">
        <f>_xlfn.XLOOKUP(A5,'מצטבר יוני'!A:A,'מצטבר יוני'!H:H)</f>
        <v>740443.29999999993</v>
      </c>
      <c r="AI5" s="17">
        <f>AJ5</f>
        <v>200000</v>
      </c>
      <c r="AJ5" s="17">
        <f>_xlfn.XLOOKUP($A5,'[1]ישראל חציון שני הערכה '!$B:$B,'[1]ישראל חציון שני הערכה '!L:L)</f>
        <v>200000</v>
      </c>
      <c r="AK5" s="17">
        <f>_xlfn.XLOOKUP($A5,'[1]ישראל חציון שני הערכה '!$B:$B,'[1]ישראל חציון שני הערכה '!M:M)</f>
        <v>200000</v>
      </c>
      <c r="AL5" s="17">
        <f>_xlfn.XLOOKUP($A5,'[1]ישראל חציון שני הערכה '!$B:$B,'[1]ישראל חציון שני הערכה '!N:N)</f>
        <v>200000</v>
      </c>
      <c r="AM5" s="17">
        <f>_xlfn.XLOOKUP($A5,'[1]ישראל חציון שני הערכה '!$B:$B,'[1]ישראל חציון שני הערכה '!O:O)</f>
        <v>200000</v>
      </c>
      <c r="AN5" s="208">
        <f>_xlfn.XLOOKUP($A5,'[1]ישראל חציון שני הערכה '!$B:$B,'[1]ישראל חציון שני הערכה '!P:P)</f>
        <v>200000</v>
      </c>
      <c r="AO5" s="218">
        <f>SUM(AI5:AN5)</f>
        <v>1200000</v>
      </c>
      <c r="AP5" s="213">
        <f>SUM(AI5:AN5)+Y5</f>
        <v>2334761.9047619049</v>
      </c>
      <c r="AR5" s="236">
        <f>AI5+AG5</f>
        <v>940443.29999999993</v>
      </c>
      <c r="AS5" s="17">
        <f>AR5+AJ5</f>
        <v>1140443.2999999998</v>
      </c>
      <c r="AT5" s="17">
        <f>AS5+AK5</f>
        <v>1340443.2999999998</v>
      </c>
      <c r="AU5" s="17">
        <f>AT5+AL5</f>
        <v>1540443.2999999998</v>
      </c>
      <c r="AV5" s="17">
        <f>AU5+AM5</f>
        <v>1740443.2999999998</v>
      </c>
      <c r="AW5" s="237">
        <f>AV5+AN5</f>
        <v>1940443.2999999998</v>
      </c>
    </row>
    <row r="6" spans="1:49" ht="15" x14ac:dyDescent="0.25">
      <c r="A6" s="2">
        <v>1</v>
      </c>
      <c r="B6" s="2" t="s">
        <v>0</v>
      </c>
      <c r="C6" s="98" t="s">
        <v>0</v>
      </c>
      <c r="D6" s="3" t="s">
        <v>40</v>
      </c>
      <c r="E6" s="71">
        <v>536666.66666666663</v>
      </c>
      <c r="F6" s="71">
        <v>532634.92063492059</v>
      </c>
      <c r="G6" s="71">
        <v>610730.1587301587</v>
      </c>
      <c r="H6" s="71">
        <v>475539.68253968254</v>
      </c>
      <c r="I6" s="71">
        <v>558634.92063492059</v>
      </c>
      <c r="J6" s="71">
        <v>605698.41269841266</v>
      </c>
      <c r="K6" s="71">
        <v>605698.41269841266</v>
      </c>
      <c r="L6" s="71">
        <v>605698.41269841266</v>
      </c>
      <c r="M6" s="71">
        <v>527603.17460317456</v>
      </c>
      <c r="N6" s="71">
        <v>546666.66666666663</v>
      </c>
      <c r="O6" s="71">
        <v>574698.41269841266</v>
      </c>
      <c r="P6" s="71">
        <v>598730.1587301587</v>
      </c>
      <c r="Q6" s="72">
        <f t="shared" si="2"/>
        <v>6778999.9999999991</v>
      </c>
      <c r="S6" s="32">
        <f t="shared" ref="S6:S20" si="3">SUM(E6:E6)</f>
        <v>536666.66666666663</v>
      </c>
      <c r="U6" s="32">
        <f>SUM($E6:F6)</f>
        <v>1069301.5873015872</v>
      </c>
      <c r="V6" s="32">
        <f>SUM($E6:G6)</f>
        <v>1680031.7460317458</v>
      </c>
      <c r="W6" s="32">
        <f>SUM($E6:H6)</f>
        <v>2155571.4285714282</v>
      </c>
      <c r="X6" s="32">
        <f>SUM($E6:I6)</f>
        <v>2714206.3492063489</v>
      </c>
      <c r="Y6" s="32">
        <f>SUM($E6:J6)</f>
        <v>3319904.7619047617</v>
      </c>
      <c r="Z6" s="32">
        <f>SUM($E6:K6)</f>
        <v>3925603.1746031744</v>
      </c>
      <c r="AA6" s="32">
        <f>SUM($E6:L6)</f>
        <v>4531301.5873015868</v>
      </c>
      <c r="AB6" s="32">
        <f>SUM($E6:M6)</f>
        <v>5058904.7619047612</v>
      </c>
      <c r="AC6" s="32">
        <f>SUM($E6:N6)</f>
        <v>5605571.4285714282</v>
      </c>
      <c r="AD6" s="32">
        <f>SUM($E6:O6)</f>
        <v>6180269.8412698405</v>
      </c>
      <c r="AE6" s="32">
        <f>SUM($E6:P6)</f>
        <v>6778999.9999999991</v>
      </c>
      <c r="AG6" s="218">
        <f>_xlfn.XLOOKUP(A6,'מצטבר יוני'!A:A,'מצטבר יוני'!H:H)</f>
        <v>2774937.8930000006</v>
      </c>
      <c r="AI6" s="17">
        <f t="shared" ref="AI6:AI20" si="4">AJ6</f>
        <v>550000</v>
      </c>
      <c r="AJ6" s="17">
        <f>_xlfn.XLOOKUP($A6,'[1]ישראל חציון שני הערכה '!$B:$B,'[1]ישראל חציון שני הערכה '!L:L)</f>
        <v>550000</v>
      </c>
      <c r="AK6" s="17">
        <f>_xlfn.XLOOKUP($A6,'[1]ישראל חציון שני הערכה '!$B:$B,'[1]ישראל חציון שני הערכה '!M:M)</f>
        <v>550000</v>
      </c>
      <c r="AL6" s="17">
        <f>_xlfn.XLOOKUP($A6,'[1]ישראל חציון שני הערכה '!$B:$B,'[1]ישראל חציון שני הערכה '!N:N)</f>
        <v>550000</v>
      </c>
      <c r="AM6" s="17">
        <f>_xlfn.XLOOKUP($A6,'[1]ישראל חציון שני הערכה '!$B:$B,'[1]ישראל חציון שני הערכה '!O:O)</f>
        <v>550000</v>
      </c>
      <c r="AN6" s="208">
        <f>_xlfn.XLOOKUP($A6,'[1]ישראל חציון שני הערכה '!$B:$B,'[1]ישראל חציון שני הערכה '!P:P)</f>
        <v>550000</v>
      </c>
      <c r="AO6" s="218">
        <f t="shared" ref="AO6:AO39" si="5">SUM(AI6:AN6)</f>
        <v>3300000</v>
      </c>
      <c r="AP6" s="213">
        <f t="shared" ref="AP6:AP20" si="6">SUM(AI6:AN6)+Y6</f>
        <v>6619904.7619047612</v>
      </c>
      <c r="AR6" s="236">
        <f t="shared" ref="AR6:AR41" si="7">AI6+AG6</f>
        <v>3324937.8930000006</v>
      </c>
      <c r="AS6" s="17">
        <f t="shared" ref="AS6:AS21" si="8">AR6+AJ6</f>
        <v>3874937.8930000006</v>
      </c>
      <c r="AT6" s="17">
        <f t="shared" ref="AT6:AT22" si="9">AS6+AK6</f>
        <v>4424937.8930000011</v>
      </c>
      <c r="AU6" s="17">
        <f t="shared" ref="AU6:AU22" si="10">AT6+AL6</f>
        <v>4974937.8930000011</v>
      </c>
      <c r="AV6" s="17">
        <f t="shared" ref="AV6:AV22" si="11">AU6+AM6</f>
        <v>5524937.8930000011</v>
      </c>
      <c r="AW6" s="237">
        <f t="shared" ref="AW6:AW22" si="12">AV6+AN6</f>
        <v>6074937.8930000011</v>
      </c>
    </row>
    <row r="7" spans="1:49" ht="15" x14ac:dyDescent="0.25">
      <c r="A7" s="2">
        <v>7</v>
      </c>
      <c r="B7" s="2" t="s">
        <v>44</v>
      </c>
      <c r="C7" s="98" t="s">
        <v>44</v>
      </c>
      <c r="D7" s="3" t="s">
        <v>40</v>
      </c>
      <c r="E7" s="71">
        <v>73000</v>
      </c>
      <c r="F7" s="71">
        <v>73428.571428571435</v>
      </c>
      <c r="G7" s="71">
        <v>82142.857142857145</v>
      </c>
      <c r="H7" s="71">
        <v>60714.28571428571</v>
      </c>
      <c r="I7" s="71">
        <v>71428.571428571435</v>
      </c>
      <c r="J7" s="71">
        <v>78571.428571428565</v>
      </c>
      <c r="K7" s="71">
        <v>78571.428571428565</v>
      </c>
      <c r="L7" s="71">
        <v>78571.428571428565</v>
      </c>
      <c r="M7" s="71">
        <v>67857.142857142841</v>
      </c>
      <c r="N7" s="71">
        <v>75000</v>
      </c>
      <c r="O7" s="71">
        <v>78571.428571428565</v>
      </c>
      <c r="P7" s="71">
        <v>82142.857142857145</v>
      </c>
      <c r="Q7" s="72">
        <f t="shared" si="2"/>
        <v>900000</v>
      </c>
      <c r="S7" s="32">
        <f t="shared" si="3"/>
        <v>73000</v>
      </c>
      <c r="U7" s="32">
        <f>SUM($E7:F7)</f>
        <v>146428.57142857142</v>
      </c>
      <c r="V7" s="32">
        <f>SUM($E7:G7)</f>
        <v>228571.42857142858</v>
      </c>
      <c r="W7" s="32">
        <f>SUM($E7:H7)</f>
        <v>289285.71428571432</v>
      </c>
      <c r="X7" s="32">
        <f>SUM($E7:I7)</f>
        <v>360714.28571428574</v>
      </c>
      <c r="Y7" s="32">
        <f>SUM($E7:J7)</f>
        <v>439285.71428571432</v>
      </c>
      <c r="Z7" s="32">
        <f>SUM($E7:K7)</f>
        <v>517857.1428571429</v>
      </c>
      <c r="AA7" s="32">
        <f>SUM($E7:L7)</f>
        <v>596428.57142857148</v>
      </c>
      <c r="AB7" s="32">
        <f>SUM($E7:M7)</f>
        <v>664285.71428571432</v>
      </c>
      <c r="AC7" s="32">
        <f>SUM($E7:N7)</f>
        <v>739285.71428571432</v>
      </c>
      <c r="AD7" s="32">
        <f>SUM($E7:O7)</f>
        <v>817857.14285714284</v>
      </c>
      <c r="AE7" s="32">
        <f>SUM($E7:P7)</f>
        <v>900000</v>
      </c>
      <c r="AG7" s="218">
        <f>_xlfn.XLOOKUP(A7,'מצטבר יוני'!A:A,'מצטבר יוני'!H:H)</f>
        <v>437274.565</v>
      </c>
      <c r="AI7" s="17">
        <f t="shared" si="4"/>
        <v>100000</v>
      </c>
      <c r="AJ7" s="17">
        <f>_xlfn.XLOOKUP($A7,'[1]ישראל חציון שני הערכה '!$B:$B,'[1]ישראל חציון שני הערכה '!L:L)</f>
        <v>100000</v>
      </c>
      <c r="AK7" s="17">
        <f>_xlfn.XLOOKUP($A7,'[1]ישראל חציון שני הערכה '!$B:$B,'[1]ישראל חציון שני הערכה '!M:M)</f>
        <v>100000</v>
      </c>
      <c r="AL7" s="17">
        <f>_xlfn.XLOOKUP($A7,'[1]ישראל חציון שני הערכה '!$B:$B,'[1]ישראל חציון שני הערכה '!N:N)</f>
        <v>100000</v>
      </c>
      <c r="AM7" s="17">
        <f>_xlfn.XLOOKUP($A7,'[1]ישראל חציון שני הערכה '!$B:$B,'[1]ישראל חציון שני הערכה '!O:O)</f>
        <v>100000</v>
      </c>
      <c r="AN7" s="208">
        <f>_xlfn.XLOOKUP($A7,'[1]ישראל חציון שני הערכה '!$B:$B,'[1]ישראל חציון שני הערכה '!P:P)</f>
        <v>100000</v>
      </c>
      <c r="AO7" s="218">
        <f t="shared" si="5"/>
        <v>600000</v>
      </c>
      <c r="AP7" s="213">
        <f t="shared" si="6"/>
        <v>1039285.7142857143</v>
      </c>
      <c r="AR7" s="236">
        <f t="shared" si="7"/>
        <v>537274.56499999994</v>
      </c>
      <c r="AS7" s="17">
        <f t="shared" si="8"/>
        <v>637274.56499999994</v>
      </c>
      <c r="AT7" s="17">
        <f t="shared" si="9"/>
        <v>737274.56499999994</v>
      </c>
      <c r="AU7" s="17">
        <f t="shared" si="10"/>
        <v>837274.56499999994</v>
      </c>
      <c r="AV7" s="17">
        <f t="shared" si="11"/>
        <v>937274.56499999994</v>
      </c>
      <c r="AW7" s="237">
        <f t="shared" si="12"/>
        <v>1037274.5649999999</v>
      </c>
    </row>
    <row r="8" spans="1:49" ht="15" x14ac:dyDescent="0.25">
      <c r="A8" s="2">
        <v>4</v>
      </c>
      <c r="B8" s="2" t="s">
        <v>3</v>
      </c>
      <c r="C8" s="98" t="s">
        <v>3</v>
      </c>
      <c r="D8" s="3" t="s">
        <v>40</v>
      </c>
      <c r="E8" s="71">
        <v>152333.33333333331</v>
      </c>
      <c r="F8" s="71">
        <v>156793.65079365077</v>
      </c>
      <c r="G8" s="71">
        <v>173412.6984126984</v>
      </c>
      <c r="H8" s="71">
        <v>134174.60317460317</v>
      </c>
      <c r="I8" s="71">
        <v>160793.65079365077</v>
      </c>
      <c r="J8" s="71">
        <v>170873.01587301589</v>
      </c>
      <c r="K8" s="71">
        <v>170873.01587301589</v>
      </c>
      <c r="L8" s="71">
        <v>170873.01587301589</v>
      </c>
      <c r="M8" s="71">
        <v>150253.96825396825</v>
      </c>
      <c r="N8" s="71">
        <v>162333.33333333331</v>
      </c>
      <c r="O8" s="71">
        <v>170873.01587301589</v>
      </c>
      <c r="P8" s="71">
        <v>173412.6984126984</v>
      </c>
      <c r="Q8" s="72">
        <f t="shared" si="2"/>
        <v>1947000</v>
      </c>
      <c r="S8" s="32">
        <f t="shared" si="3"/>
        <v>152333.33333333331</v>
      </c>
      <c r="U8" s="32">
        <f>SUM($E8:F8)</f>
        <v>309126.98412698408</v>
      </c>
      <c r="V8" s="32">
        <f>SUM($E8:G8)</f>
        <v>482539.68253968249</v>
      </c>
      <c r="W8" s="32">
        <f>SUM($E8:H8)</f>
        <v>616714.28571428568</v>
      </c>
      <c r="X8" s="32">
        <f>SUM($E8:I8)</f>
        <v>777507.93650793645</v>
      </c>
      <c r="Y8" s="32">
        <f>SUM($E8:J8)</f>
        <v>948380.95238095231</v>
      </c>
      <c r="Z8" s="32">
        <f>SUM($E8:K8)</f>
        <v>1119253.9682539683</v>
      </c>
      <c r="AA8" s="32">
        <f>SUM($E8:L8)</f>
        <v>1290126.9841269841</v>
      </c>
      <c r="AB8" s="32">
        <f>SUM($E8:M8)</f>
        <v>1440380.9523809524</v>
      </c>
      <c r="AC8" s="32">
        <f>SUM($E8:N8)</f>
        <v>1602714.2857142857</v>
      </c>
      <c r="AD8" s="32">
        <f>SUM($E8:O8)</f>
        <v>1773587.3015873015</v>
      </c>
      <c r="AE8" s="32">
        <f>SUM($E8:P8)</f>
        <v>1947000</v>
      </c>
      <c r="AG8" s="218">
        <f>_xlfn.XLOOKUP(A8,'מצטבר יוני'!A:A,'מצטבר יוני'!H:H)</f>
        <v>918523.97800000012</v>
      </c>
      <c r="AI8" s="17">
        <f t="shared" si="4"/>
        <v>200000</v>
      </c>
      <c r="AJ8" s="17">
        <f>_xlfn.XLOOKUP($A8,'[1]ישראל חציון שני הערכה '!$B:$B,'[1]ישראל חציון שני הערכה '!L:L)</f>
        <v>200000</v>
      </c>
      <c r="AK8" s="17">
        <f>_xlfn.XLOOKUP($A8,'[1]ישראל חציון שני הערכה '!$B:$B,'[1]ישראל חציון שני הערכה '!M:M)</f>
        <v>200000</v>
      </c>
      <c r="AL8" s="17">
        <f>_xlfn.XLOOKUP($A8,'[1]ישראל חציון שני הערכה '!$B:$B,'[1]ישראל חציון שני הערכה '!N:N)</f>
        <v>200000</v>
      </c>
      <c r="AM8" s="17">
        <f>_xlfn.XLOOKUP($A8,'[1]ישראל חציון שני הערכה '!$B:$B,'[1]ישראל חציון שני הערכה '!O:O)</f>
        <v>200000</v>
      </c>
      <c r="AN8" s="208">
        <f>_xlfn.XLOOKUP($A8,'[1]ישראל חציון שני הערכה '!$B:$B,'[1]ישראל חציון שני הערכה '!P:P)</f>
        <v>200000</v>
      </c>
      <c r="AO8" s="218">
        <f t="shared" si="5"/>
        <v>1200000</v>
      </c>
      <c r="AP8" s="213">
        <f t="shared" si="6"/>
        <v>2148380.9523809524</v>
      </c>
      <c r="AR8" s="236">
        <f t="shared" si="7"/>
        <v>1118523.9780000001</v>
      </c>
      <c r="AS8" s="17">
        <f t="shared" si="8"/>
        <v>1318523.9780000001</v>
      </c>
      <c r="AT8" s="17">
        <f t="shared" si="9"/>
        <v>1518523.9780000001</v>
      </c>
      <c r="AU8" s="17">
        <f t="shared" si="10"/>
        <v>1718523.9780000001</v>
      </c>
      <c r="AV8" s="17">
        <f t="shared" si="11"/>
        <v>1918523.9780000001</v>
      </c>
      <c r="AW8" s="237">
        <f t="shared" si="12"/>
        <v>2118523.9780000001</v>
      </c>
    </row>
    <row r="9" spans="1:49" ht="15" x14ac:dyDescent="0.25">
      <c r="A9" s="2">
        <v>3</v>
      </c>
      <c r="B9" s="2" t="s">
        <v>2</v>
      </c>
      <c r="C9" s="98" t="s">
        <v>2</v>
      </c>
      <c r="D9" s="3" t="s">
        <v>40</v>
      </c>
      <c r="E9" s="71">
        <v>365000</v>
      </c>
      <c r="F9" s="71">
        <v>365000</v>
      </c>
      <c r="G9" s="71">
        <v>365000</v>
      </c>
      <c r="H9" s="71">
        <v>365000</v>
      </c>
      <c r="I9" s="71">
        <v>365000</v>
      </c>
      <c r="J9" s="71">
        <v>365000</v>
      </c>
      <c r="K9" s="71">
        <v>365000</v>
      </c>
      <c r="L9" s="71">
        <v>365000</v>
      </c>
      <c r="M9" s="71">
        <v>365000</v>
      </c>
      <c r="N9" s="71">
        <v>365000</v>
      </c>
      <c r="O9" s="71">
        <v>365000</v>
      </c>
      <c r="P9" s="71">
        <v>366000</v>
      </c>
      <c r="Q9" s="72">
        <f t="shared" si="2"/>
        <v>4381000</v>
      </c>
      <c r="S9" s="32">
        <f t="shared" si="3"/>
        <v>365000</v>
      </c>
      <c r="U9" s="32">
        <f>SUM($E9:F9)</f>
        <v>730000</v>
      </c>
      <c r="V9" s="32">
        <f>SUM($E9:G9)</f>
        <v>1095000</v>
      </c>
      <c r="W9" s="32">
        <f>SUM($E9:H9)</f>
        <v>1460000</v>
      </c>
      <c r="X9" s="32">
        <f>SUM($E9:I9)</f>
        <v>1825000</v>
      </c>
      <c r="Y9" s="32">
        <f>SUM($E9:J9)</f>
        <v>2190000</v>
      </c>
      <c r="Z9" s="32">
        <f>SUM($E9:K9)</f>
        <v>2555000</v>
      </c>
      <c r="AA9" s="32">
        <f>SUM($E9:L9)</f>
        <v>2920000</v>
      </c>
      <c r="AB9" s="32">
        <f>SUM($E9:M9)</f>
        <v>3285000</v>
      </c>
      <c r="AC9" s="32">
        <f>SUM($E9:N9)</f>
        <v>3650000</v>
      </c>
      <c r="AD9" s="32">
        <f>SUM($E9:O9)</f>
        <v>4015000</v>
      </c>
      <c r="AE9" s="32">
        <f>SUM($E9:P9)</f>
        <v>4381000</v>
      </c>
      <c r="AG9" s="218">
        <f>_xlfn.XLOOKUP(A9,'מצטבר יוני'!A:A,'מצטבר יוני'!H:H)</f>
        <v>1742410.85</v>
      </c>
      <c r="AI9" s="17">
        <f t="shared" si="4"/>
        <v>330000</v>
      </c>
      <c r="AJ9" s="17">
        <f>_xlfn.XLOOKUP($A9,'[1]ישראל חציון שני הערכה '!$B:$B,'[1]ישראל חציון שני הערכה '!L:L)</f>
        <v>330000</v>
      </c>
      <c r="AK9" s="17">
        <f>_xlfn.XLOOKUP($A9,'[1]ישראל חציון שני הערכה '!$B:$B,'[1]ישראל חציון שני הערכה '!M:M)</f>
        <v>330000</v>
      </c>
      <c r="AL9" s="17">
        <f>_xlfn.XLOOKUP($A9,'[1]ישראל חציון שני הערכה '!$B:$B,'[1]ישראל חציון שני הערכה '!N:N)</f>
        <v>330000</v>
      </c>
      <c r="AM9" s="17">
        <f>_xlfn.XLOOKUP($A9,'[1]ישראל חציון שני הערכה '!$B:$B,'[1]ישראל חציון שני הערכה '!O:O)</f>
        <v>330000</v>
      </c>
      <c r="AN9" s="208">
        <f>_xlfn.XLOOKUP($A9,'[1]ישראל חציון שני הערכה '!$B:$B,'[1]ישראל חציון שני הערכה '!P:P)</f>
        <v>330000</v>
      </c>
      <c r="AO9" s="218">
        <f t="shared" si="5"/>
        <v>1980000</v>
      </c>
      <c r="AP9" s="213">
        <f t="shared" si="6"/>
        <v>4170000</v>
      </c>
      <c r="AR9" s="236">
        <f t="shared" si="7"/>
        <v>2072410.85</v>
      </c>
      <c r="AS9" s="17">
        <f t="shared" si="8"/>
        <v>2402410.85</v>
      </c>
      <c r="AT9" s="17">
        <f t="shared" si="9"/>
        <v>2732410.85</v>
      </c>
      <c r="AU9" s="17">
        <f t="shared" si="10"/>
        <v>3062410.85</v>
      </c>
      <c r="AV9" s="17">
        <f t="shared" si="11"/>
        <v>3392410.85</v>
      </c>
      <c r="AW9" s="237">
        <f t="shared" si="12"/>
        <v>3722410.85</v>
      </c>
    </row>
    <row r="10" spans="1:49" ht="15" x14ac:dyDescent="0.25">
      <c r="A10" s="2">
        <v>8</v>
      </c>
      <c r="B10" s="2" t="s">
        <v>5</v>
      </c>
      <c r="C10" s="98" t="s">
        <v>5</v>
      </c>
      <c r="D10" s="3" t="s">
        <v>40</v>
      </c>
      <c r="E10" s="71">
        <v>83333.333333333328</v>
      </c>
      <c r="F10" s="71">
        <v>109365.07936507936</v>
      </c>
      <c r="G10" s="71">
        <v>111269.84126984127</v>
      </c>
      <c r="H10" s="71">
        <v>97460.317460317456</v>
      </c>
      <c r="I10" s="71">
        <v>99365.079365079364</v>
      </c>
      <c r="J10" s="71">
        <v>107301.58730158729</v>
      </c>
      <c r="K10" s="71">
        <v>107301.58730158729</v>
      </c>
      <c r="L10" s="71">
        <v>107301.58730158729</v>
      </c>
      <c r="M10" s="71">
        <v>95396.825396825385</v>
      </c>
      <c r="N10" s="71">
        <v>103333.33333333333</v>
      </c>
      <c r="O10" s="71">
        <v>107301.58730158729</v>
      </c>
      <c r="P10" s="71">
        <v>91269.841269841272</v>
      </c>
      <c r="Q10" s="72">
        <f t="shared" si="2"/>
        <v>1220000</v>
      </c>
      <c r="S10" s="32">
        <f t="shared" si="3"/>
        <v>83333.333333333328</v>
      </c>
      <c r="U10" s="32">
        <f>SUM($E10:F10)</f>
        <v>192698.41269841269</v>
      </c>
      <c r="V10" s="32">
        <f>SUM($E10:G10)</f>
        <v>303968.25396825396</v>
      </c>
      <c r="W10" s="32">
        <f>SUM($E10:H10)</f>
        <v>401428.57142857142</v>
      </c>
      <c r="X10" s="32">
        <f>SUM($E10:I10)</f>
        <v>500793.65079365077</v>
      </c>
      <c r="Y10" s="32">
        <f>SUM($E10:J10)</f>
        <v>608095.23809523811</v>
      </c>
      <c r="Z10" s="32">
        <f>SUM($E10:K10)</f>
        <v>715396.82539682544</v>
      </c>
      <c r="AA10" s="32">
        <f>SUM($E10:L10)</f>
        <v>822698.41269841278</v>
      </c>
      <c r="AB10" s="32">
        <f>SUM($E10:M10)</f>
        <v>918095.23809523811</v>
      </c>
      <c r="AC10" s="32">
        <f>SUM($E10:N10)</f>
        <v>1021428.5714285715</v>
      </c>
      <c r="AD10" s="32">
        <f>SUM($E10:O10)</f>
        <v>1128730.1587301588</v>
      </c>
      <c r="AE10" s="32">
        <f>SUM($E10:P10)</f>
        <v>1220000</v>
      </c>
      <c r="AG10" s="218">
        <f>_xlfn.XLOOKUP(A10,'מצטבר יוני'!A:A,'מצטבר יוני'!H:H)</f>
        <v>343097.61100000003</v>
      </c>
      <c r="AI10" s="17">
        <f t="shared" si="4"/>
        <v>100000</v>
      </c>
      <c r="AJ10" s="17">
        <f>_xlfn.XLOOKUP($A10,'[1]ישראל חציון שני הערכה '!$B:$B,'[1]ישראל חציון שני הערכה '!L:L)</f>
        <v>100000</v>
      </c>
      <c r="AK10" s="17">
        <f>_xlfn.XLOOKUP($A10,'[1]ישראל חציון שני הערכה '!$B:$B,'[1]ישראל חציון שני הערכה '!M:M)</f>
        <v>100000</v>
      </c>
      <c r="AL10" s="17">
        <f>_xlfn.XLOOKUP($A10,'[1]ישראל חציון שני הערכה '!$B:$B,'[1]ישראל חציון שני הערכה '!N:N)</f>
        <v>100000</v>
      </c>
      <c r="AM10" s="17">
        <f>_xlfn.XLOOKUP($A10,'[1]ישראל חציון שני הערכה '!$B:$B,'[1]ישראל חציון שני הערכה '!O:O)</f>
        <v>100000</v>
      </c>
      <c r="AN10" s="208">
        <f>_xlfn.XLOOKUP($A10,'[1]ישראל חציון שני הערכה '!$B:$B,'[1]ישראל חציון שני הערכה '!P:P)</f>
        <v>100000</v>
      </c>
      <c r="AO10" s="218">
        <f t="shared" si="5"/>
        <v>600000</v>
      </c>
      <c r="AP10" s="213">
        <f t="shared" si="6"/>
        <v>1208095.2380952381</v>
      </c>
      <c r="AR10" s="236">
        <f t="shared" si="7"/>
        <v>443097.61100000003</v>
      </c>
      <c r="AS10" s="17">
        <f t="shared" si="8"/>
        <v>543097.61100000003</v>
      </c>
      <c r="AT10" s="17">
        <f t="shared" si="9"/>
        <v>643097.61100000003</v>
      </c>
      <c r="AU10" s="17">
        <f t="shared" si="10"/>
        <v>743097.61100000003</v>
      </c>
      <c r="AV10" s="17">
        <f t="shared" si="11"/>
        <v>843097.61100000003</v>
      </c>
      <c r="AW10" s="237">
        <f t="shared" si="12"/>
        <v>943097.61100000003</v>
      </c>
    </row>
    <row r="11" spans="1:49" ht="15" x14ac:dyDescent="0.25">
      <c r="A11" s="2">
        <v>6</v>
      </c>
      <c r="B11" s="2" t="s">
        <v>4</v>
      </c>
      <c r="C11" s="98" t="s">
        <v>4</v>
      </c>
      <c r="D11" s="3" t="s">
        <v>40</v>
      </c>
      <c r="E11" s="71">
        <v>127583.33333333333</v>
      </c>
      <c r="F11" s="71">
        <v>155079.36507936506</v>
      </c>
      <c r="G11" s="71">
        <v>160591.26984126982</v>
      </c>
      <c r="H11" s="71">
        <v>139567.4603174603</v>
      </c>
      <c r="I11" s="71">
        <v>170079.36507936506</v>
      </c>
      <c r="J11" s="71">
        <v>177087.30158730157</v>
      </c>
      <c r="K11" s="71">
        <v>177087.30158730157</v>
      </c>
      <c r="L11" s="71">
        <v>177087.30158730157</v>
      </c>
      <c r="M11" s="71">
        <v>166575.39682539681</v>
      </c>
      <c r="N11" s="71">
        <v>173583.33333333331</v>
      </c>
      <c r="O11" s="71">
        <v>177087.30158730157</v>
      </c>
      <c r="P11" s="71">
        <v>177591.26984126982</v>
      </c>
      <c r="Q11" s="72">
        <f t="shared" si="2"/>
        <v>1978999.9999999998</v>
      </c>
      <c r="S11" s="32">
        <f t="shared" si="3"/>
        <v>127583.33333333333</v>
      </c>
      <c r="U11" s="32">
        <f>SUM($E11:F11)</f>
        <v>282662.6984126984</v>
      </c>
      <c r="V11" s="32">
        <f>SUM($E11:G11)</f>
        <v>443253.96825396823</v>
      </c>
      <c r="W11" s="32">
        <f>SUM($E11:H11)</f>
        <v>582821.42857142852</v>
      </c>
      <c r="X11" s="32">
        <f>SUM($E11:I11)</f>
        <v>752900.79365079361</v>
      </c>
      <c r="Y11" s="32">
        <f>SUM($E11:J11)</f>
        <v>929988.09523809515</v>
      </c>
      <c r="Z11" s="32">
        <f>SUM($E11:K11)</f>
        <v>1107075.3968253967</v>
      </c>
      <c r="AA11" s="32">
        <f>SUM($E11:L11)</f>
        <v>1284162.6984126982</v>
      </c>
      <c r="AB11" s="32">
        <f>SUM($E11:M11)</f>
        <v>1450738.0952380951</v>
      </c>
      <c r="AC11" s="32">
        <f>SUM($E11:N11)</f>
        <v>1624321.4285714284</v>
      </c>
      <c r="AD11" s="32">
        <f>SUM($E11:O11)</f>
        <v>1801408.7301587299</v>
      </c>
      <c r="AE11" s="32">
        <f>SUM($E11:P11)</f>
        <v>1978999.9999999998</v>
      </c>
      <c r="AG11" s="218">
        <f>_xlfn.XLOOKUP(A11,'מצטבר יוני'!A:A,'מצטבר יוני'!H:H)</f>
        <v>475277.56999999995</v>
      </c>
      <c r="AI11" s="17">
        <f t="shared" si="4"/>
        <v>100000</v>
      </c>
      <c r="AJ11" s="17">
        <f>_xlfn.XLOOKUP($A11,'[1]ישראל חציון שני הערכה '!$B:$B,'[1]ישראל חציון שני הערכה '!L:L)</f>
        <v>100000</v>
      </c>
      <c r="AK11" s="17">
        <f>_xlfn.XLOOKUP($A11,'[1]ישראל חציון שני הערכה '!$B:$B,'[1]ישראל חציון שני הערכה '!M:M)</f>
        <v>100000</v>
      </c>
      <c r="AL11" s="17">
        <f>_xlfn.XLOOKUP($A11,'[1]ישראל חציון שני הערכה '!$B:$B,'[1]ישראל חציון שני הערכה '!N:N)</f>
        <v>100000</v>
      </c>
      <c r="AM11" s="17">
        <f>_xlfn.XLOOKUP($A11,'[1]ישראל חציון שני הערכה '!$B:$B,'[1]ישראל חציון שני הערכה '!O:O)</f>
        <v>100000</v>
      </c>
      <c r="AN11" s="208">
        <f>_xlfn.XLOOKUP($A11,'[1]ישראל חציון שני הערכה '!$B:$B,'[1]ישראל חציון שני הערכה '!P:P)</f>
        <v>100000</v>
      </c>
      <c r="AO11" s="218">
        <f t="shared" si="5"/>
        <v>600000</v>
      </c>
      <c r="AP11" s="213">
        <f t="shared" si="6"/>
        <v>1529988.0952380951</v>
      </c>
      <c r="AR11" s="236">
        <f t="shared" si="7"/>
        <v>575277.56999999995</v>
      </c>
      <c r="AS11" s="17">
        <f t="shared" si="8"/>
        <v>675277.57</v>
      </c>
      <c r="AT11" s="17">
        <f t="shared" si="9"/>
        <v>775277.57</v>
      </c>
      <c r="AU11" s="17">
        <f t="shared" si="10"/>
        <v>875277.57</v>
      </c>
      <c r="AV11" s="17">
        <f t="shared" si="11"/>
        <v>975277.57</v>
      </c>
      <c r="AW11" s="237">
        <f t="shared" si="12"/>
        <v>1075277.5699999998</v>
      </c>
    </row>
    <row r="12" spans="1:49" ht="15" x14ac:dyDescent="0.25">
      <c r="A12" s="4">
        <v>10</v>
      </c>
      <c r="B12" s="4" t="s">
        <v>6</v>
      </c>
      <c r="C12" s="107" t="s">
        <v>6</v>
      </c>
      <c r="D12" s="3" t="s">
        <v>40</v>
      </c>
      <c r="E12" s="71">
        <v>15833.333333333332</v>
      </c>
      <c r="F12" s="71">
        <v>15079.36507936508</v>
      </c>
      <c r="G12" s="71">
        <v>17341.269841269841</v>
      </c>
      <c r="H12" s="71">
        <v>12817.460317460316</v>
      </c>
      <c r="I12" s="71">
        <v>15079.36507936508</v>
      </c>
      <c r="J12" s="71">
        <v>16587.301587301587</v>
      </c>
      <c r="K12" s="71">
        <v>16587.301587301587</v>
      </c>
      <c r="L12" s="71">
        <v>16587.301587301587</v>
      </c>
      <c r="M12" s="71">
        <v>14325.396825396825</v>
      </c>
      <c r="N12" s="71">
        <v>15833.333333333332</v>
      </c>
      <c r="O12" s="71">
        <v>16587.301587301587</v>
      </c>
      <c r="P12" s="71">
        <v>17341.269841269841</v>
      </c>
      <c r="Q12" s="72">
        <f t="shared" si="2"/>
        <v>190000.00000000003</v>
      </c>
      <c r="S12" s="32">
        <f t="shared" si="3"/>
        <v>15833.333333333332</v>
      </c>
      <c r="U12" s="32">
        <f>SUM($E12:F12)</f>
        <v>30912.69841269841</v>
      </c>
      <c r="V12" s="32">
        <f>SUM($E12:G12)</f>
        <v>48253.968253968254</v>
      </c>
      <c r="W12" s="32">
        <f>SUM($E12:H12)</f>
        <v>61071.428571428572</v>
      </c>
      <c r="X12" s="32">
        <f>SUM($E12:I12)</f>
        <v>76150.793650793654</v>
      </c>
      <c r="Y12" s="32">
        <f>SUM($E12:J12)</f>
        <v>92738.095238095237</v>
      </c>
      <c r="Z12" s="32">
        <f>SUM($E12:K12)</f>
        <v>109325.39682539682</v>
      </c>
      <c r="AA12" s="32">
        <f>SUM($E12:L12)</f>
        <v>125912.6984126984</v>
      </c>
      <c r="AB12" s="32">
        <f>SUM($E12:M12)</f>
        <v>140238.09523809524</v>
      </c>
      <c r="AC12" s="32">
        <f>SUM($E12:N12)</f>
        <v>156071.42857142858</v>
      </c>
      <c r="AD12" s="32">
        <f>SUM($E12:O12)</f>
        <v>172658.73015873018</v>
      </c>
      <c r="AE12" s="32">
        <f>SUM($E12:P12)</f>
        <v>190000.00000000003</v>
      </c>
      <c r="AG12" s="218">
        <f>_xlfn.XLOOKUP(A12,'מצטבר יוני'!A:A,'מצטבר יוני'!H:H)</f>
        <v>61235.08</v>
      </c>
      <c r="AI12" s="17">
        <f t="shared" si="4"/>
        <v>15000</v>
      </c>
      <c r="AJ12" s="17">
        <f>_xlfn.XLOOKUP($A12,'[1]ישראל חציון שני הערכה '!$B:$B,'[1]ישראל חציון שני הערכה '!L:L)</f>
        <v>15000</v>
      </c>
      <c r="AK12" s="17">
        <f>_xlfn.XLOOKUP($A12,'[1]ישראל חציון שני הערכה '!$B:$B,'[1]ישראל חציון שני הערכה '!M:M)</f>
        <v>15000</v>
      </c>
      <c r="AL12" s="17">
        <f>_xlfn.XLOOKUP($A12,'[1]ישראל חציון שני הערכה '!$B:$B,'[1]ישראל חציון שני הערכה '!N:N)</f>
        <v>15000</v>
      </c>
      <c r="AM12" s="17">
        <f>_xlfn.XLOOKUP($A12,'[1]ישראל חציון שני הערכה '!$B:$B,'[1]ישראל חציון שני הערכה '!O:O)</f>
        <v>15000</v>
      </c>
      <c r="AN12" s="208">
        <f>_xlfn.XLOOKUP($A12,'[1]ישראל חציון שני הערכה '!$B:$B,'[1]ישראל חציון שני הערכה '!P:P)</f>
        <v>15000</v>
      </c>
      <c r="AO12" s="218">
        <f t="shared" si="5"/>
        <v>90000</v>
      </c>
      <c r="AP12" s="213">
        <f t="shared" si="6"/>
        <v>182738.09523809524</v>
      </c>
      <c r="AR12" s="236">
        <f t="shared" si="7"/>
        <v>76235.08</v>
      </c>
      <c r="AS12" s="17">
        <f t="shared" si="8"/>
        <v>91235.08</v>
      </c>
      <c r="AT12" s="17">
        <f t="shared" si="9"/>
        <v>106235.08</v>
      </c>
      <c r="AU12" s="17">
        <f t="shared" si="10"/>
        <v>121235.08</v>
      </c>
      <c r="AV12" s="17">
        <f t="shared" si="11"/>
        <v>136235.08000000002</v>
      </c>
      <c r="AW12" s="237">
        <f t="shared" si="12"/>
        <v>151235.08000000002</v>
      </c>
    </row>
    <row r="13" spans="1:49" ht="15" x14ac:dyDescent="0.25">
      <c r="A13" s="2">
        <v>11</v>
      </c>
      <c r="B13" s="2" t="s">
        <v>66</v>
      </c>
      <c r="C13" s="98" t="s">
        <v>66</v>
      </c>
      <c r="D13" s="3" t="s">
        <v>40</v>
      </c>
      <c r="E13" s="71">
        <v>6333.3333333333321</v>
      </c>
      <c r="F13" s="71">
        <v>7936.5079365079355</v>
      </c>
      <c r="G13" s="71">
        <v>9126.9841269841272</v>
      </c>
      <c r="H13" s="71">
        <v>6746.0317460317465</v>
      </c>
      <c r="I13" s="71">
        <v>7936.5079365079355</v>
      </c>
      <c r="J13" s="71">
        <v>8730.1587301587297</v>
      </c>
      <c r="K13" s="71">
        <v>8730.1587301587297</v>
      </c>
      <c r="L13" s="71">
        <v>8730.1587301587297</v>
      </c>
      <c r="M13" s="71">
        <v>8539.6825396825388</v>
      </c>
      <c r="N13" s="71">
        <v>9333.3333333333321</v>
      </c>
      <c r="O13" s="71">
        <v>8730.1587301587297</v>
      </c>
      <c r="P13" s="71">
        <v>9126.9841269841272</v>
      </c>
      <c r="Q13" s="72">
        <f t="shared" si="2"/>
        <v>99999.999999999985</v>
      </c>
      <c r="S13" s="32">
        <f t="shared" si="3"/>
        <v>6333.3333333333321</v>
      </c>
      <c r="U13" s="32">
        <f>SUM($E13:F13)</f>
        <v>14269.841269841269</v>
      </c>
      <c r="V13" s="32">
        <f>SUM($E13:G13)</f>
        <v>23396.825396825396</v>
      </c>
      <c r="W13" s="32">
        <f>SUM($E13:H13)</f>
        <v>30142.857142857141</v>
      </c>
      <c r="X13" s="32">
        <f>SUM($E13:I13)</f>
        <v>38079.365079365074</v>
      </c>
      <c r="Y13" s="32">
        <f>SUM($E13:J13)</f>
        <v>46809.523809523802</v>
      </c>
      <c r="Z13" s="32">
        <f>SUM($E13:K13)</f>
        <v>55539.68253968253</v>
      </c>
      <c r="AA13" s="32">
        <f>SUM($E13:L13)</f>
        <v>64269.841269841258</v>
      </c>
      <c r="AB13" s="32">
        <f>SUM($E13:M13)</f>
        <v>72809.523809523802</v>
      </c>
      <c r="AC13" s="32">
        <f>SUM($E13:N13)</f>
        <v>82142.85714285713</v>
      </c>
      <c r="AD13" s="32">
        <f>SUM($E13:O13)</f>
        <v>90873.015873015858</v>
      </c>
      <c r="AE13" s="32">
        <f>SUM($E13:P13)</f>
        <v>99999.999999999985</v>
      </c>
      <c r="AG13" s="218">
        <f>_xlfn.XLOOKUP(A13,'מצטבר יוני'!A:A,'מצטבר יוני'!H:H)</f>
        <v>34015.410000000003</v>
      </c>
      <c r="AI13" s="17">
        <f t="shared" si="4"/>
        <v>10000</v>
      </c>
      <c r="AJ13" s="17">
        <f>_xlfn.XLOOKUP($A13,'[1]ישראל חציון שני הערכה '!$B:$B,'[1]ישראל חציון שני הערכה '!L:L)</f>
        <v>10000</v>
      </c>
      <c r="AK13" s="17">
        <f>_xlfn.XLOOKUP($A13,'[1]ישראל חציון שני הערכה '!$B:$B,'[1]ישראל חציון שני הערכה '!M:M)</f>
        <v>10000</v>
      </c>
      <c r="AL13" s="17">
        <f>_xlfn.XLOOKUP($A13,'[1]ישראל חציון שני הערכה '!$B:$B,'[1]ישראל חציון שני הערכה '!N:N)</f>
        <v>10000</v>
      </c>
      <c r="AM13" s="17">
        <f>_xlfn.XLOOKUP($A13,'[1]ישראל חציון שני הערכה '!$B:$B,'[1]ישראל חציון שני הערכה '!O:O)</f>
        <v>10000</v>
      </c>
      <c r="AN13" s="208">
        <f>_xlfn.XLOOKUP($A13,'[1]ישראל חציון שני הערכה '!$B:$B,'[1]ישראל חציון שני הערכה '!P:P)</f>
        <v>10000</v>
      </c>
      <c r="AO13" s="218">
        <f t="shared" si="5"/>
        <v>60000</v>
      </c>
      <c r="AP13" s="213">
        <f t="shared" si="6"/>
        <v>106809.5238095238</v>
      </c>
      <c r="AR13" s="236">
        <f t="shared" si="7"/>
        <v>44015.41</v>
      </c>
      <c r="AS13" s="17">
        <f t="shared" si="8"/>
        <v>54015.41</v>
      </c>
      <c r="AT13" s="17">
        <f t="shared" si="9"/>
        <v>64015.41</v>
      </c>
      <c r="AU13" s="17">
        <f t="shared" si="10"/>
        <v>74015.41</v>
      </c>
      <c r="AV13" s="17">
        <f t="shared" si="11"/>
        <v>84015.41</v>
      </c>
      <c r="AW13" s="237">
        <f t="shared" si="12"/>
        <v>94015.41</v>
      </c>
    </row>
    <row r="14" spans="1:49" ht="15" x14ac:dyDescent="0.25">
      <c r="A14" s="2">
        <v>14</v>
      </c>
      <c r="B14" s="2" t="s">
        <v>8</v>
      </c>
      <c r="C14" s="98" t="s">
        <v>8</v>
      </c>
      <c r="D14" s="3" t="s">
        <v>40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2">
        <f t="shared" si="2"/>
        <v>0</v>
      </c>
      <c r="S14" s="32">
        <f t="shared" si="3"/>
        <v>0</v>
      </c>
      <c r="U14" s="32">
        <f>SUM($E14:F14)</f>
        <v>0</v>
      </c>
      <c r="V14" s="32">
        <f>SUM($E14:G14)</f>
        <v>0</v>
      </c>
      <c r="W14" s="32">
        <f>SUM($E14:H14)</f>
        <v>0</v>
      </c>
      <c r="X14" s="32">
        <f>SUM($E14:I14)</f>
        <v>0</v>
      </c>
      <c r="Y14" s="32">
        <f>SUM($E14:J14)</f>
        <v>0</v>
      </c>
      <c r="Z14" s="32">
        <f>SUM($E14:K14)</f>
        <v>0</v>
      </c>
      <c r="AA14" s="32">
        <f>SUM($E14:L14)</f>
        <v>0</v>
      </c>
      <c r="AB14" s="32">
        <f>SUM($E14:M14)</f>
        <v>0</v>
      </c>
      <c r="AC14" s="32">
        <f>SUM($E14:N14)</f>
        <v>0</v>
      </c>
      <c r="AD14" s="32">
        <f>SUM($E14:O14)</f>
        <v>0</v>
      </c>
      <c r="AE14" s="32">
        <f>SUM($E14:P14)</f>
        <v>0</v>
      </c>
      <c r="AG14" s="218">
        <f>_xlfn.XLOOKUP(A14,'מצטבר יוני'!A:A,'מצטבר יוני'!H:H)</f>
        <v>3576.15</v>
      </c>
      <c r="AI14" s="17">
        <f t="shared" si="4"/>
        <v>5000</v>
      </c>
      <c r="AJ14" s="17">
        <f>_xlfn.XLOOKUP($A14,'[1]ישראל חציון שני הערכה '!$B:$B,'[1]ישראל חציון שני הערכה '!L:L)</f>
        <v>5000</v>
      </c>
      <c r="AK14" s="17">
        <f>_xlfn.XLOOKUP($A14,'[1]ישראל חציון שני הערכה '!$B:$B,'[1]ישראל חציון שני הערכה '!M:M)</f>
        <v>5000</v>
      </c>
      <c r="AL14" s="17">
        <f>_xlfn.XLOOKUP($A14,'[1]ישראל חציון שני הערכה '!$B:$B,'[1]ישראל חציון שני הערכה '!N:N)</f>
        <v>5000</v>
      </c>
      <c r="AM14" s="17">
        <f>_xlfn.XLOOKUP($A14,'[1]ישראל חציון שני הערכה '!$B:$B,'[1]ישראל חציון שני הערכה '!O:O)</f>
        <v>5000</v>
      </c>
      <c r="AN14" s="208">
        <f>_xlfn.XLOOKUP($A14,'[1]ישראל חציון שני הערכה '!$B:$B,'[1]ישראל חציון שני הערכה '!P:P)</f>
        <v>5000</v>
      </c>
      <c r="AO14" s="218">
        <f t="shared" si="5"/>
        <v>30000</v>
      </c>
      <c r="AP14" s="213">
        <f t="shared" si="6"/>
        <v>30000</v>
      </c>
      <c r="AR14" s="236">
        <f t="shared" si="7"/>
        <v>8576.15</v>
      </c>
      <c r="AS14" s="17">
        <f t="shared" si="8"/>
        <v>13576.15</v>
      </c>
      <c r="AT14" s="17">
        <f t="shared" si="9"/>
        <v>18576.150000000001</v>
      </c>
      <c r="AU14" s="17">
        <f t="shared" si="10"/>
        <v>23576.15</v>
      </c>
      <c r="AV14" s="17">
        <f t="shared" si="11"/>
        <v>28576.15</v>
      </c>
      <c r="AW14" s="237">
        <f t="shared" si="12"/>
        <v>33576.15</v>
      </c>
    </row>
    <row r="15" spans="1:49" ht="15" x14ac:dyDescent="0.25">
      <c r="A15" s="2">
        <v>16</v>
      </c>
      <c r="B15" s="2" t="s">
        <v>9</v>
      </c>
      <c r="C15" s="98" t="s">
        <v>9</v>
      </c>
      <c r="D15" s="3" t="s">
        <v>40</v>
      </c>
      <c r="E15" s="71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2">
        <f t="shared" si="2"/>
        <v>0</v>
      </c>
      <c r="S15" s="32">
        <f t="shared" si="3"/>
        <v>0</v>
      </c>
      <c r="U15" s="32">
        <f>SUM($E15:F15)</f>
        <v>0</v>
      </c>
      <c r="V15" s="32">
        <f>SUM($E15:G15)</f>
        <v>0</v>
      </c>
      <c r="W15" s="32">
        <f>SUM($E15:H15)</f>
        <v>0</v>
      </c>
      <c r="X15" s="32">
        <f>SUM($E15:I15)</f>
        <v>0</v>
      </c>
      <c r="Y15" s="32">
        <f>SUM($E15:J15)</f>
        <v>0</v>
      </c>
      <c r="Z15" s="32">
        <f>SUM($E15:K15)</f>
        <v>0</v>
      </c>
      <c r="AA15" s="32">
        <f>SUM($E15:L15)</f>
        <v>0</v>
      </c>
      <c r="AB15" s="32">
        <f>SUM($E15:M15)</f>
        <v>0</v>
      </c>
      <c r="AC15" s="32">
        <f>SUM($E15:N15)</f>
        <v>0</v>
      </c>
      <c r="AD15" s="32">
        <f>SUM($E15:O15)</f>
        <v>0</v>
      </c>
      <c r="AE15" s="32">
        <f>SUM($E15:P15)</f>
        <v>0</v>
      </c>
      <c r="AG15" s="218"/>
      <c r="AI15" s="17">
        <f t="shared" si="4"/>
        <v>0</v>
      </c>
      <c r="AJ15" s="17"/>
      <c r="AK15" s="17"/>
      <c r="AL15" s="17"/>
      <c r="AM15" s="17"/>
      <c r="AN15" s="208"/>
      <c r="AO15" s="218">
        <f t="shared" si="5"/>
        <v>0</v>
      </c>
      <c r="AP15" s="213">
        <f t="shared" si="6"/>
        <v>0</v>
      </c>
      <c r="AR15" s="236">
        <f t="shared" si="7"/>
        <v>0</v>
      </c>
      <c r="AS15" s="17">
        <f t="shared" si="8"/>
        <v>0</v>
      </c>
      <c r="AT15" s="17">
        <f t="shared" si="9"/>
        <v>0</v>
      </c>
      <c r="AU15" s="17">
        <f t="shared" si="10"/>
        <v>0</v>
      </c>
      <c r="AV15" s="17">
        <f t="shared" si="11"/>
        <v>0</v>
      </c>
      <c r="AW15" s="237">
        <f t="shared" si="12"/>
        <v>0</v>
      </c>
    </row>
    <row r="16" spans="1:49" ht="15" x14ac:dyDescent="0.25">
      <c r="A16" s="2">
        <v>13</v>
      </c>
      <c r="B16" s="2" t="s">
        <v>45</v>
      </c>
      <c r="C16" s="98" t="s">
        <v>45</v>
      </c>
      <c r="D16" s="3" t="s">
        <v>40</v>
      </c>
      <c r="E16" s="71">
        <v>0</v>
      </c>
      <c r="F16" s="71">
        <v>0</v>
      </c>
      <c r="G16" s="71">
        <v>0</v>
      </c>
      <c r="H16" s="71">
        <v>50000</v>
      </c>
      <c r="I16" s="71">
        <v>50000</v>
      </c>
      <c r="J16" s="71">
        <v>50000</v>
      </c>
      <c r="K16" s="71">
        <v>50000</v>
      </c>
      <c r="L16" s="71">
        <v>50000</v>
      </c>
      <c r="M16" s="71">
        <v>50000</v>
      </c>
      <c r="N16" s="71">
        <v>50000</v>
      </c>
      <c r="O16" s="71">
        <v>50000</v>
      </c>
      <c r="P16" s="71">
        <v>0</v>
      </c>
      <c r="Q16" s="72">
        <f t="shared" si="2"/>
        <v>400000</v>
      </c>
      <c r="S16" s="32">
        <f t="shared" si="3"/>
        <v>0</v>
      </c>
      <c r="U16" s="32">
        <f>SUM($E16:F16)</f>
        <v>0</v>
      </c>
      <c r="V16" s="32">
        <f>SUM($E16:G16)</f>
        <v>0</v>
      </c>
      <c r="W16" s="32">
        <f>SUM($E16:H16)</f>
        <v>50000</v>
      </c>
      <c r="X16" s="32">
        <f>SUM($E16:I16)</f>
        <v>100000</v>
      </c>
      <c r="Y16" s="32">
        <f>SUM($E16:J16)</f>
        <v>150000</v>
      </c>
      <c r="Z16" s="32">
        <f>SUM($E16:K16)</f>
        <v>200000</v>
      </c>
      <c r="AA16" s="32">
        <f>SUM($E16:L16)</f>
        <v>250000</v>
      </c>
      <c r="AB16" s="32">
        <f>SUM($E16:M16)</f>
        <v>300000</v>
      </c>
      <c r="AC16" s="32">
        <f>SUM($E16:N16)</f>
        <v>350000</v>
      </c>
      <c r="AD16" s="32">
        <f>SUM($E16:O16)</f>
        <v>400000</v>
      </c>
      <c r="AE16" s="32">
        <f>SUM($E16:P16)</f>
        <v>400000</v>
      </c>
      <c r="AG16" s="218">
        <f>_xlfn.XLOOKUP(A16,'מצטבר יוני'!A:A,'מצטבר יוני'!H:H)</f>
        <v>7748.72</v>
      </c>
      <c r="AI16" s="17">
        <f t="shared" si="4"/>
        <v>5000</v>
      </c>
      <c r="AJ16" s="17">
        <f>_xlfn.XLOOKUP($A16,'[1]ישראל חציון שני הערכה '!$B:$B,'[1]ישראל חציון שני הערכה '!L:L)</f>
        <v>5000</v>
      </c>
      <c r="AK16" s="17">
        <f>_xlfn.XLOOKUP($A16,'[1]ישראל חציון שני הערכה '!$B:$B,'[1]ישראל חציון שני הערכה '!M:M)</f>
        <v>5000</v>
      </c>
      <c r="AL16" s="17">
        <f>_xlfn.XLOOKUP($A16,'[1]ישראל חציון שני הערכה '!$B:$B,'[1]ישראל חציון שני הערכה '!N:N)</f>
        <v>5000</v>
      </c>
      <c r="AM16" s="17">
        <f>_xlfn.XLOOKUP($A16,'[1]ישראל חציון שני הערכה '!$B:$B,'[1]ישראל חציון שני הערכה '!O:O)</f>
        <v>5000</v>
      </c>
      <c r="AN16" s="208">
        <f>_xlfn.XLOOKUP($A16,'[1]ישראל חציון שני הערכה '!$B:$B,'[1]ישראל חציון שני הערכה '!P:P)</f>
        <v>5000</v>
      </c>
      <c r="AO16" s="218">
        <f t="shared" si="5"/>
        <v>30000</v>
      </c>
      <c r="AP16" s="213">
        <f t="shared" si="6"/>
        <v>180000</v>
      </c>
      <c r="AR16" s="236">
        <f t="shared" si="7"/>
        <v>12748.720000000001</v>
      </c>
      <c r="AS16" s="17">
        <f t="shared" si="8"/>
        <v>17748.72</v>
      </c>
      <c r="AT16" s="17">
        <f t="shared" si="9"/>
        <v>22748.720000000001</v>
      </c>
      <c r="AU16" s="17">
        <f t="shared" si="10"/>
        <v>27748.720000000001</v>
      </c>
      <c r="AV16" s="17">
        <f t="shared" si="11"/>
        <v>32748.720000000001</v>
      </c>
      <c r="AW16" s="237">
        <f t="shared" si="12"/>
        <v>37748.720000000001</v>
      </c>
    </row>
    <row r="17" spans="1:49" ht="15" x14ac:dyDescent="0.25">
      <c r="A17" s="2">
        <v>9</v>
      </c>
      <c r="B17" s="2" t="s">
        <v>73</v>
      </c>
      <c r="C17" s="98" t="s">
        <v>73</v>
      </c>
      <c r="D17" s="3" t="s">
        <v>40</v>
      </c>
      <c r="E17" s="71">
        <v>16666.666666666664</v>
      </c>
      <c r="F17" s="71">
        <v>15873.015873015871</v>
      </c>
      <c r="G17" s="71">
        <v>18253.968253968254</v>
      </c>
      <c r="H17" s="71">
        <v>13492.063492063493</v>
      </c>
      <c r="I17" s="71">
        <v>15873.015873015871</v>
      </c>
      <c r="J17" s="71">
        <v>17460.317460317459</v>
      </c>
      <c r="K17" s="71">
        <v>17460.317460317459</v>
      </c>
      <c r="L17" s="71">
        <v>17460.317460317459</v>
      </c>
      <c r="M17" s="71">
        <v>15079.36507936508</v>
      </c>
      <c r="N17" s="71">
        <v>16666.666666666664</v>
      </c>
      <c r="O17" s="71">
        <v>17460.317460317459</v>
      </c>
      <c r="P17" s="71">
        <v>18253.968253968254</v>
      </c>
      <c r="Q17" s="72">
        <f t="shared" si="2"/>
        <v>199999.99999999997</v>
      </c>
      <c r="S17" s="32">
        <f t="shared" si="3"/>
        <v>16666.666666666664</v>
      </c>
      <c r="U17" s="32">
        <f>SUM($E17:F17)</f>
        <v>32539.682539682537</v>
      </c>
      <c r="V17" s="32">
        <f>SUM($E17:G17)</f>
        <v>50793.650793650791</v>
      </c>
      <c r="W17" s="32">
        <f>SUM($E17:H17)</f>
        <v>64285.714285714283</v>
      </c>
      <c r="X17" s="32">
        <f>SUM($E17:I17)</f>
        <v>80158.730158730148</v>
      </c>
      <c r="Y17" s="32">
        <f>SUM($E17:J17)</f>
        <v>97619.047619047604</v>
      </c>
      <c r="Z17" s="32">
        <f>SUM($E17:K17)</f>
        <v>115079.36507936506</v>
      </c>
      <c r="AA17" s="32">
        <f>SUM($E17:L17)</f>
        <v>132539.68253968252</v>
      </c>
      <c r="AB17" s="32">
        <f>SUM($E17:M17)</f>
        <v>147619.0476190476</v>
      </c>
      <c r="AC17" s="32">
        <f>SUM($E17:N17)</f>
        <v>164285.71428571426</v>
      </c>
      <c r="AD17" s="32">
        <f>SUM($E17:O17)</f>
        <v>181746.03174603172</v>
      </c>
      <c r="AE17" s="32">
        <f>SUM($E17:P17)</f>
        <v>199999.99999999997</v>
      </c>
      <c r="AG17" s="218">
        <f>_xlfn.XLOOKUP(A17,'מצטבר יוני'!A:A,'מצטבר יוני'!H:H)</f>
        <v>89111.1</v>
      </c>
      <c r="AI17" s="17">
        <f t="shared" si="4"/>
        <v>25000</v>
      </c>
      <c r="AJ17" s="17">
        <f>_xlfn.XLOOKUP($A17,'[1]ישראל חציון שני הערכה '!$B:$B,'[1]ישראל חציון שני הערכה '!L:L)</f>
        <v>25000</v>
      </c>
      <c r="AK17" s="17">
        <f>_xlfn.XLOOKUP($A17,'[1]ישראל חציון שני הערכה '!$B:$B,'[1]ישראל חציון שני הערכה '!M:M)</f>
        <v>25000</v>
      </c>
      <c r="AL17" s="17">
        <f>_xlfn.XLOOKUP($A17,'[1]ישראל חציון שני הערכה '!$B:$B,'[1]ישראל חציון שני הערכה '!N:N)</f>
        <v>25000</v>
      </c>
      <c r="AM17" s="17">
        <f>_xlfn.XLOOKUP($A17,'[1]ישראל חציון שני הערכה '!$B:$B,'[1]ישראל חציון שני הערכה '!O:O)</f>
        <v>25000</v>
      </c>
      <c r="AN17" s="208">
        <f>_xlfn.XLOOKUP($A17,'[1]ישראל חציון שני הערכה '!$B:$B,'[1]ישראל חציון שני הערכה '!P:P)</f>
        <v>25000</v>
      </c>
      <c r="AO17" s="218">
        <f t="shared" si="5"/>
        <v>150000</v>
      </c>
      <c r="AP17" s="213">
        <f t="shared" si="6"/>
        <v>247619.0476190476</v>
      </c>
      <c r="AR17" s="236">
        <f t="shared" si="7"/>
        <v>114111.1</v>
      </c>
      <c r="AS17" s="17">
        <f t="shared" si="8"/>
        <v>139111.1</v>
      </c>
      <c r="AT17" s="17">
        <f t="shared" si="9"/>
        <v>164111.1</v>
      </c>
      <c r="AU17" s="17">
        <f t="shared" si="10"/>
        <v>189111.1</v>
      </c>
      <c r="AV17" s="17">
        <f t="shared" si="11"/>
        <v>214111.1</v>
      </c>
      <c r="AW17" s="237">
        <f t="shared" si="12"/>
        <v>239111.1</v>
      </c>
    </row>
    <row r="18" spans="1:49" ht="15" x14ac:dyDescent="0.25">
      <c r="A18" s="2">
        <v>2</v>
      </c>
      <c r="B18" s="2" t="s">
        <v>7</v>
      </c>
      <c r="C18" s="98" t="s">
        <v>7</v>
      </c>
      <c r="D18" s="3" t="s">
        <v>40</v>
      </c>
      <c r="E18" s="71">
        <v>296610.16949152545</v>
      </c>
      <c r="F18" s="71">
        <v>444915.25423728814</v>
      </c>
      <c r="G18" s="71">
        <v>489406.77966101695</v>
      </c>
      <c r="H18" s="71">
        <v>453601.69491525425</v>
      </c>
      <c r="I18" s="71">
        <v>592182.20338983054</v>
      </c>
      <c r="J18" s="71">
        <v>888273.7288135594</v>
      </c>
      <c r="K18" s="71">
        <v>977100.84745762718</v>
      </c>
      <c r="L18" s="71">
        <v>1159556.779661017</v>
      </c>
      <c r="M18" s="71">
        <v>1012800</v>
      </c>
      <c r="N18" s="71">
        <v>1300521.1864406781</v>
      </c>
      <c r="O18" s="71">
        <v>1684810.1694915255</v>
      </c>
      <c r="P18" s="71">
        <v>1488884.7457627119</v>
      </c>
      <c r="Q18" s="72">
        <v>10788663.559322035</v>
      </c>
      <c r="S18" s="32">
        <f t="shared" si="3"/>
        <v>296610.16949152545</v>
      </c>
      <c r="U18" s="32">
        <f>SUM($E18:F18)</f>
        <v>741525.42372881365</v>
      </c>
      <c r="V18" s="32">
        <f>SUM($E18:G18)</f>
        <v>1230932.2033898307</v>
      </c>
      <c r="W18" s="32">
        <f>SUM($E18:H18)</f>
        <v>1684533.898305085</v>
      </c>
      <c r="X18" s="32">
        <f>SUM($E18:I18)</f>
        <v>2276716.1016949154</v>
      </c>
      <c r="Y18" s="32">
        <f>SUM($E18:J18)</f>
        <v>3164989.8305084747</v>
      </c>
      <c r="Z18" s="32">
        <f>SUM($E18:K18)</f>
        <v>4142090.677966102</v>
      </c>
      <c r="AA18" s="32">
        <f>SUM($E18:L18)</f>
        <v>5301647.4576271195</v>
      </c>
      <c r="AB18" s="32">
        <f>SUM($E18:M18)</f>
        <v>6314447.4576271195</v>
      </c>
      <c r="AC18" s="32">
        <f>SUM($E18:N18)</f>
        <v>7614968.6440677978</v>
      </c>
      <c r="AD18" s="32">
        <f>SUM($E18:O18)</f>
        <v>9299778.8135593235</v>
      </c>
      <c r="AE18" s="32">
        <f>SUM($E18:P18)</f>
        <v>10788663.559322035</v>
      </c>
      <c r="AG18" s="218">
        <f>_xlfn.XLOOKUP(A18,'מצטבר יוני'!A:A,'מצטבר יוני'!H:H)</f>
        <v>2231238.2000000309</v>
      </c>
      <c r="AI18" s="17">
        <v>450000</v>
      </c>
      <c r="AJ18" s="17">
        <f>_xlfn.XLOOKUP($A18,'[1]ישראל חציון שני הערכה '!$B:$B,'[1]ישראל חציון שני הערכה '!L:L)</f>
        <v>481500</v>
      </c>
      <c r="AK18" s="17">
        <f>_xlfn.XLOOKUP($A18,'[1]ישראל חציון שני הערכה '!$B:$B,'[1]ישראל חציון שני הערכה '!M:M)</f>
        <v>977100.84745762718</v>
      </c>
      <c r="AL18" s="17">
        <f>_xlfn.XLOOKUP($A18,'[1]ישראל חציון שני הערכה '!$B:$B,'[1]ישראל חציון שני הערכה '!N:N)</f>
        <v>1159556.779661017</v>
      </c>
      <c r="AM18" s="17">
        <f>_xlfn.XLOOKUP($A18,'[1]ישראל חציון שני הערכה '!$B:$B,'[1]ישראל חציון שני הערכה '!O:O)</f>
        <v>1012800</v>
      </c>
      <c r="AN18" s="208">
        <f>_xlfn.XLOOKUP($A18,'[1]ישראל חציון שני הערכה '!$B:$B,'[1]ישראל חציון שני הערכה '!P:P)</f>
        <v>1300521.1864406781</v>
      </c>
      <c r="AO18" s="218">
        <f t="shared" si="5"/>
        <v>5381478.8135593226</v>
      </c>
      <c r="AP18" s="213">
        <f t="shared" si="6"/>
        <v>8546468.6440677978</v>
      </c>
      <c r="AR18" s="236">
        <f t="shared" si="7"/>
        <v>2681238.2000000309</v>
      </c>
      <c r="AS18" s="17">
        <f t="shared" si="8"/>
        <v>3162738.2000000309</v>
      </c>
      <c r="AT18" s="17">
        <f t="shared" si="9"/>
        <v>4139839.0474576582</v>
      </c>
      <c r="AU18" s="17">
        <f t="shared" si="10"/>
        <v>5299395.8271186752</v>
      </c>
      <c r="AV18" s="17">
        <f t="shared" si="11"/>
        <v>6312195.8271186752</v>
      </c>
      <c r="AW18" s="237">
        <f t="shared" si="12"/>
        <v>7612717.0135593535</v>
      </c>
    </row>
    <row r="19" spans="1:49" ht="15" x14ac:dyDescent="0.25">
      <c r="A19" s="14">
        <v>12</v>
      </c>
      <c r="B19" s="14" t="s">
        <v>65</v>
      </c>
      <c r="C19" s="99" t="s">
        <v>65</v>
      </c>
      <c r="D19" s="3" t="s">
        <v>40</v>
      </c>
      <c r="E19" s="71">
        <v>2536.9283333333324</v>
      </c>
      <c r="F19" s="71">
        <v>2536.9283333333324</v>
      </c>
      <c r="G19" s="71">
        <v>2536.9283333333324</v>
      </c>
      <c r="H19" s="71">
        <v>2536.9283333333324</v>
      </c>
      <c r="I19" s="71">
        <v>2536.9283333333324</v>
      </c>
      <c r="J19" s="71">
        <v>2536.9283333333324</v>
      </c>
      <c r="K19" s="71">
        <v>2536.9283333333324</v>
      </c>
      <c r="L19" s="71">
        <v>2536.9283333333324</v>
      </c>
      <c r="M19" s="71">
        <v>2536.9283333333324</v>
      </c>
      <c r="N19" s="71">
        <v>2536.9283333333324</v>
      </c>
      <c r="O19" s="71">
        <v>2536.9283333333324</v>
      </c>
      <c r="P19" s="71">
        <v>2536.9283333333324</v>
      </c>
      <c r="Q19" s="72">
        <v>30443.139999999996</v>
      </c>
      <c r="S19" s="32">
        <f t="shared" si="3"/>
        <v>2536.9283333333324</v>
      </c>
      <c r="U19" s="32">
        <f>SUM($E19:F19)</f>
        <v>5073.8566666666648</v>
      </c>
      <c r="V19" s="32">
        <f>SUM($E19:G19)</f>
        <v>7610.7849999999971</v>
      </c>
      <c r="W19" s="32">
        <f>SUM($E19:H19)</f>
        <v>10147.71333333333</v>
      </c>
      <c r="X19" s="32">
        <f>SUM($E19:I19)</f>
        <v>12684.641666666663</v>
      </c>
      <c r="Y19" s="32">
        <f>SUM($E19:J19)</f>
        <v>15221.569999999996</v>
      </c>
      <c r="Z19" s="32">
        <f>SUM($E19:K19)</f>
        <v>17758.498333333329</v>
      </c>
      <c r="AA19" s="32">
        <f>SUM($E19:L19)</f>
        <v>20295.426666666663</v>
      </c>
      <c r="AB19" s="32">
        <f>SUM($E19:M19)</f>
        <v>22832.354999999996</v>
      </c>
      <c r="AC19" s="32">
        <f>SUM($E19:N19)</f>
        <v>25369.283333333329</v>
      </c>
      <c r="AD19" s="32">
        <f>SUM($E19:O19)</f>
        <v>27906.211666666662</v>
      </c>
      <c r="AE19" s="32">
        <f>SUM($E19:P19)</f>
        <v>30443.139999999996</v>
      </c>
      <c r="AG19" s="218">
        <f>_xlfn.XLOOKUP(A19,'מצטבר יוני'!A:A,'מצטבר יוני'!H:H)</f>
        <v>9807.0200000000023</v>
      </c>
      <c r="AI19" s="17">
        <f t="shared" si="4"/>
        <v>5000</v>
      </c>
      <c r="AJ19" s="17">
        <f>_xlfn.XLOOKUP($A19,'[1]ישראל חציון שני הערכה '!$B:$B,'[1]ישראל חציון שני הערכה '!L:L)</f>
        <v>5000</v>
      </c>
      <c r="AK19" s="17">
        <f>_xlfn.XLOOKUP($A19,'[1]ישראל חציון שני הערכה '!$B:$B,'[1]ישראל חציון שני הערכה '!M:M)</f>
        <v>5000</v>
      </c>
      <c r="AL19" s="17">
        <f>_xlfn.XLOOKUP($A19,'[1]ישראל חציון שני הערכה '!$B:$B,'[1]ישראל חציון שני הערכה '!N:N)</f>
        <v>5000</v>
      </c>
      <c r="AM19" s="17">
        <f>_xlfn.XLOOKUP($A19,'[1]ישראל חציון שני הערכה '!$B:$B,'[1]ישראל חציון שני הערכה '!O:O)</f>
        <v>5000</v>
      </c>
      <c r="AN19" s="208">
        <f>_xlfn.XLOOKUP($A19,'[1]ישראל חציון שני הערכה '!$B:$B,'[1]ישראל חציון שני הערכה '!P:P)</f>
        <v>5000</v>
      </c>
      <c r="AO19" s="218">
        <f t="shared" si="5"/>
        <v>30000</v>
      </c>
      <c r="AP19" s="213">
        <f t="shared" si="6"/>
        <v>45221.569999999992</v>
      </c>
      <c r="AR19" s="236">
        <f t="shared" si="7"/>
        <v>14807.020000000002</v>
      </c>
      <c r="AS19" s="17">
        <f t="shared" si="8"/>
        <v>19807.020000000004</v>
      </c>
      <c r="AT19" s="17">
        <f t="shared" si="9"/>
        <v>24807.020000000004</v>
      </c>
      <c r="AU19" s="17">
        <f t="shared" si="10"/>
        <v>29807.020000000004</v>
      </c>
      <c r="AV19" s="17">
        <f t="shared" si="11"/>
        <v>34807.020000000004</v>
      </c>
      <c r="AW19" s="237">
        <f t="shared" si="12"/>
        <v>39807.020000000004</v>
      </c>
    </row>
    <row r="20" spans="1:49" ht="15.75" thickBot="1" x14ac:dyDescent="0.3">
      <c r="A20" s="111">
        <v>15</v>
      </c>
      <c r="B20" s="2" t="s">
        <v>151</v>
      </c>
      <c r="C20" s="98" t="s">
        <v>151</v>
      </c>
      <c r="D20" s="3" t="s">
        <v>40</v>
      </c>
      <c r="E20" s="71">
        <v>0</v>
      </c>
      <c r="F20" s="71">
        <v>0</v>
      </c>
      <c r="G20" s="71">
        <v>0</v>
      </c>
      <c r="H20" s="71">
        <v>12500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12500</v>
      </c>
      <c r="P20" s="71">
        <v>0</v>
      </c>
      <c r="Q20" s="72">
        <f>SUM(E20:P20)</f>
        <v>25000</v>
      </c>
      <c r="S20" s="32">
        <f t="shared" si="3"/>
        <v>0</v>
      </c>
      <c r="U20" s="32">
        <f>SUM($E20:F20)</f>
        <v>0</v>
      </c>
      <c r="V20" s="32">
        <f>SUM($E20:G20)</f>
        <v>0</v>
      </c>
      <c r="W20" s="32">
        <f>SUM($E20:H20)</f>
        <v>12500</v>
      </c>
      <c r="X20" s="32">
        <f>SUM($E20:I20)</f>
        <v>12500</v>
      </c>
      <c r="Y20" s="32">
        <f>SUM($E20:J20)</f>
        <v>12500</v>
      </c>
      <c r="Z20" s="32">
        <f>SUM($E20:K20)</f>
        <v>12500</v>
      </c>
      <c r="AA20" s="32">
        <f>SUM($E20:L20)</f>
        <v>12500</v>
      </c>
      <c r="AB20" s="32">
        <f>SUM($E20:M20)</f>
        <v>12500</v>
      </c>
      <c r="AC20" s="32">
        <f>SUM($E20:N20)</f>
        <v>12500</v>
      </c>
      <c r="AD20" s="32">
        <f>SUM($E20:O20)</f>
        <v>25000</v>
      </c>
      <c r="AE20" s="32">
        <f>SUM($E20:P20)</f>
        <v>25000</v>
      </c>
      <c r="AG20" s="218">
        <f>_xlfn.XLOOKUP(A20,'מצטבר יוני'!A:A,'מצטבר יוני'!H:H)</f>
        <v>1896.82</v>
      </c>
      <c r="AI20" s="114">
        <f t="shared" si="4"/>
        <v>5000</v>
      </c>
      <c r="AJ20" s="114">
        <f>_xlfn.XLOOKUP($A20,'[1]ישראל חציון שני הערכה '!$B:$B,'[1]ישראל חציון שני הערכה '!L:L)</f>
        <v>5000</v>
      </c>
      <c r="AK20" s="114">
        <f>_xlfn.XLOOKUP($A20,'[1]ישראל חציון שני הערכה '!$B:$B,'[1]ישראל חציון שני הערכה '!M:M)</f>
        <v>5000</v>
      </c>
      <c r="AL20" s="114">
        <f>_xlfn.XLOOKUP($A20,'[1]ישראל חציון שני הערכה '!$B:$B,'[1]ישראל חציון שני הערכה '!N:N)</f>
        <v>5000</v>
      </c>
      <c r="AM20" s="114">
        <f>_xlfn.XLOOKUP($A20,'[1]ישראל חציון שני הערכה '!$B:$B,'[1]ישראל חציון שני הערכה '!O:O)</f>
        <v>5000</v>
      </c>
      <c r="AN20" s="209">
        <f>_xlfn.XLOOKUP($A20,'[1]ישראל חציון שני הערכה '!$B:$B,'[1]ישראל חציון שני הערכה '!P:P)</f>
        <v>5000</v>
      </c>
      <c r="AO20" s="219">
        <f t="shared" si="5"/>
        <v>30000</v>
      </c>
      <c r="AP20" s="214">
        <f t="shared" si="6"/>
        <v>42500</v>
      </c>
      <c r="AR20" s="238">
        <f t="shared" si="7"/>
        <v>6896.82</v>
      </c>
      <c r="AS20" s="17">
        <f t="shared" si="8"/>
        <v>11896.82</v>
      </c>
      <c r="AT20" s="17">
        <f t="shared" si="9"/>
        <v>16896.82</v>
      </c>
      <c r="AU20" s="17">
        <f t="shared" si="10"/>
        <v>21896.82</v>
      </c>
      <c r="AV20" s="17">
        <f t="shared" si="11"/>
        <v>26896.82</v>
      </c>
      <c r="AW20" s="237">
        <f t="shared" si="12"/>
        <v>31896.82</v>
      </c>
    </row>
    <row r="21" spans="1:49" ht="15" thickBot="1" x14ac:dyDescent="0.25">
      <c r="A21" s="105"/>
      <c r="B21" s="105" t="s">
        <v>41</v>
      </c>
      <c r="C21" s="105"/>
      <c r="D21" s="105"/>
      <c r="E21" s="18">
        <f>SUM(E5:E20)</f>
        <v>1852563.764491525</v>
      </c>
      <c r="F21" s="18">
        <f t="shared" ref="F21:P21" si="13">SUM(F5:F20)</f>
        <v>2046896.6270150654</v>
      </c>
      <c r="G21" s="18">
        <f t="shared" si="13"/>
        <v>2233304.8191054612</v>
      </c>
      <c r="H21" s="18">
        <f t="shared" si="13"/>
        <v>1997166.4010263653</v>
      </c>
      <c r="I21" s="18">
        <f t="shared" si="13"/>
        <v>2297163.5761676077</v>
      </c>
      <c r="J21" s="18">
        <f t="shared" si="13"/>
        <v>2723199.5460357815</v>
      </c>
      <c r="K21" s="18">
        <f t="shared" si="13"/>
        <v>2812026.6646798491</v>
      </c>
      <c r="L21" s="18">
        <f t="shared" si="13"/>
        <v>2994482.5968832388</v>
      </c>
      <c r="M21" s="18">
        <f t="shared" si="13"/>
        <v>2685809.1505555552</v>
      </c>
      <c r="N21" s="18">
        <f t="shared" si="13"/>
        <v>3047474.7814406776</v>
      </c>
      <c r="O21" s="18">
        <f t="shared" si="13"/>
        <v>3501235.9867137475</v>
      </c>
      <c r="P21" s="18">
        <f t="shared" si="13"/>
        <v>3268782.7852071561</v>
      </c>
      <c r="Q21" s="60">
        <f>SUM(Q5:Q20)</f>
        <v>31460106.699322037</v>
      </c>
      <c r="S21" s="60">
        <f>SUM(S5:S20)</f>
        <v>1852563.764491525</v>
      </c>
      <c r="U21" s="60">
        <f t="shared" ref="U21:AE21" si="14">SUM(U5:U20)</f>
        <v>3899460.3915065909</v>
      </c>
      <c r="V21" s="60">
        <f t="shared" si="14"/>
        <v>6132765.2106120531</v>
      </c>
      <c r="W21" s="60">
        <f t="shared" si="14"/>
        <v>8129931.6116384175</v>
      </c>
      <c r="X21" s="60">
        <f t="shared" si="14"/>
        <v>10427095.187806027</v>
      </c>
      <c r="Y21" s="60">
        <f t="shared" si="14"/>
        <v>13150294.733841809</v>
      </c>
      <c r="Z21" s="60">
        <f t="shared" si="14"/>
        <v>15962321.39852166</v>
      </c>
      <c r="AA21" s="60">
        <f t="shared" si="14"/>
        <v>18956803.995404895</v>
      </c>
      <c r="AB21" s="60">
        <f t="shared" si="14"/>
        <v>21642613.145960454</v>
      </c>
      <c r="AC21" s="60">
        <f t="shared" si="14"/>
        <v>24690087.927401129</v>
      </c>
      <c r="AD21" s="60">
        <f t="shared" si="14"/>
        <v>28191323.914114878</v>
      </c>
      <c r="AE21" s="60">
        <f t="shared" si="14"/>
        <v>31460106.699322037</v>
      </c>
      <c r="AG21" s="223">
        <f>SUM(AG5:AG20)</f>
        <v>9870594.2670000307</v>
      </c>
      <c r="AI21" s="116">
        <f>SUM(AI5:AI20)</f>
        <v>2100000</v>
      </c>
      <c r="AJ21" s="117">
        <f>SUM(AJ5:AJ20)</f>
        <v>2131500</v>
      </c>
      <c r="AK21" s="117">
        <f t="shared" ref="AK21:AO21" si="15">SUM(AK5:AK20)</f>
        <v>2627100.8474576273</v>
      </c>
      <c r="AL21" s="117">
        <f t="shared" si="15"/>
        <v>2809556.779661017</v>
      </c>
      <c r="AM21" s="117">
        <f t="shared" si="15"/>
        <v>2662800</v>
      </c>
      <c r="AN21" s="206">
        <f t="shared" si="15"/>
        <v>2950521.1864406783</v>
      </c>
      <c r="AO21" s="220">
        <f t="shared" si="15"/>
        <v>15281478.813559324</v>
      </c>
      <c r="AP21" s="215">
        <f>SUM(AP5:AP20)</f>
        <v>28431773.54740113</v>
      </c>
      <c r="AR21" s="220">
        <f t="shared" si="7"/>
        <v>11970594.267000031</v>
      </c>
      <c r="AS21" s="117">
        <f t="shared" si="8"/>
        <v>14102094.267000031</v>
      </c>
      <c r="AT21" s="117">
        <f t="shared" si="9"/>
        <v>16729195.114457658</v>
      </c>
      <c r="AU21" s="117">
        <f t="shared" si="10"/>
        <v>19538751.894118674</v>
      </c>
      <c r="AV21" s="117">
        <f t="shared" si="11"/>
        <v>22201551.894118674</v>
      </c>
      <c r="AW21" s="118">
        <f t="shared" si="12"/>
        <v>25152073.080559351</v>
      </c>
    </row>
    <row r="22" spans="1:49" s="6" customFormat="1" ht="15" x14ac:dyDescent="0.25">
      <c r="A22" s="108">
        <v>50</v>
      </c>
      <c r="B22" s="57" t="s">
        <v>74</v>
      </c>
      <c r="C22" s="109" t="s">
        <v>47</v>
      </c>
      <c r="D22" s="58" t="s">
        <v>38</v>
      </c>
      <c r="E22" s="71">
        <v>272275.11011249997</v>
      </c>
      <c r="F22" s="71">
        <v>312309.92429999996</v>
      </c>
      <c r="G22" s="71">
        <v>332824.44442499999</v>
      </c>
      <c r="H22" s="71">
        <v>367136.19030000002</v>
      </c>
      <c r="I22" s="71">
        <v>398486.47079999995</v>
      </c>
      <c r="J22" s="71">
        <v>428463.75330000004</v>
      </c>
      <c r="K22" s="71">
        <v>461212.91617500002</v>
      </c>
      <c r="L22" s="71">
        <v>481801.94617500005</v>
      </c>
      <c r="M22" s="71">
        <v>477395.46854999999</v>
      </c>
      <c r="N22" s="71">
        <v>443955.52080000006</v>
      </c>
      <c r="O22" s="71">
        <v>398561.08173749998</v>
      </c>
      <c r="P22" s="71">
        <v>402156.52661249996</v>
      </c>
      <c r="Q22" s="72">
        <v>4776579.3532874994</v>
      </c>
      <c r="R22" s="17"/>
      <c r="S22" s="32">
        <f t="shared" ref="S22:S23" si="16">SUM(E22:E22)</f>
        <v>272275.11011249997</v>
      </c>
      <c r="T22" s="7"/>
      <c r="U22" s="32">
        <f>SUM($E22:F22)</f>
        <v>584585.03441249998</v>
      </c>
      <c r="V22" s="32">
        <f>SUM($E22:G22)</f>
        <v>917409.47883749998</v>
      </c>
      <c r="W22" s="32">
        <f>SUM($E22:H22)</f>
        <v>1284545.6691375</v>
      </c>
      <c r="X22" s="32">
        <f>SUM($E22:I22)</f>
        <v>1683032.1399375</v>
      </c>
      <c r="Y22" s="32">
        <f>SUM($E22:J22)</f>
        <v>2111495.8932375</v>
      </c>
      <c r="Z22" s="32">
        <f>SUM($E22:K22)</f>
        <v>2572708.8094124999</v>
      </c>
      <c r="AA22" s="32">
        <f>SUM($E22:L22)</f>
        <v>3054510.7555875001</v>
      </c>
      <c r="AB22" s="32">
        <f>SUM($E22:M22)</f>
        <v>3531906.2241374999</v>
      </c>
      <c r="AC22" s="32">
        <f>SUM($E22:N22)</f>
        <v>3975861.7449375</v>
      </c>
      <c r="AD22" s="32">
        <f>SUM($E22:O22)</f>
        <v>4374422.8266749997</v>
      </c>
      <c r="AE22" s="32">
        <f>SUM($E22:P22)</f>
        <v>4776579.3532874994</v>
      </c>
      <c r="AG22" s="218">
        <f>_xlfn.XLOOKUP(A22,'מצטבר יוני'!A:A,'מצטבר יוני'!H:H)</f>
        <v>1254357.4099999999</v>
      </c>
      <c r="AI22" s="115">
        <f>[1]אמזון!$M$29</f>
        <v>265966.8</v>
      </c>
      <c r="AJ22" s="115">
        <f>[1]אמזון!$M$30</f>
        <v>305012.39999999997</v>
      </c>
      <c r="AK22" s="115">
        <f>[1]אמזון!$M$31</f>
        <v>327115.8</v>
      </c>
      <c r="AL22" s="115">
        <f>[1]אמזון!$M$32</f>
        <v>321888.59999999998</v>
      </c>
      <c r="AM22" s="115">
        <f>[1]אמזון!$M$33</f>
        <v>326122.5</v>
      </c>
      <c r="AN22" s="210">
        <f>[1]אמזון!$M$34</f>
        <v>297561</v>
      </c>
      <c r="AO22" s="221">
        <f t="shared" si="5"/>
        <v>1843667.1</v>
      </c>
      <c r="AP22" s="216">
        <f t="shared" ref="AP22:AP39" si="17">SUM(AI22:AN22)+Y22</f>
        <v>3955162.9932375001</v>
      </c>
      <c r="AR22" s="239">
        <f t="shared" si="7"/>
        <v>1520324.21</v>
      </c>
      <c r="AS22" s="17">
        <f t="shared" ref="AS22:AS39" si="18">AR22+AJ22</f>
        <v>1825336.6099999999</v>
      </c>
      <c r="AT22" s="17">
        <f t="shared" si="9"/>
        <v>2152452.4099999997</v>
      </c>
      <c r="AU22" s="17">
        <f t="shared" si="10"/>
        <v>2474341.0099999998</v>
      </c>
      <c r="AV22" s="17">
        <f t="shared" si="11"/>
        <v>2800463.51</v>
      </c>
      <c r="AW22" s="237">
        <f t="shared" si="12"/>
        <v>3098024.51</v>
      </c>
    </row>
    <row r="23" spans="1:49" ht="15" x14ac:dyDescent="0.25">
      <c r="A23" s="2">
        <v>20</v>
      </c>
      <c r="B23" s="5" t="s">
        <v>75</v>
      </c>
      <c r="C23" s="109" t="s">
        <v>13</v>
      </c>
      <c r="D23" s="3" t="s">
        <v>39</v>
      </c>
      <c r="E23" s="71"/>
      <c r="F23" s="71">
        <f>980000*0.24</f>
        <v>235200</v>
      </c>
      <c r="G23" s="71"/>
      <c r="H23" s="71"/>
      <c r="I23" s="71">
        <f>980000*0.24</f>
        <v>235200</v>
      </c>
      <c r="J23" s="71"/>
      <c r="K23" s="71">
        <f>980000*0.21</f>
        <v>205800</v>
      </c>
      <c r="L23" s="71"/>
      <c r="M23" s="71"/>
      <c r="N23" s="71">
        <f>980000*0.16</f>
        <v>156800</v>
      </c>
      <c r="O23" s="71"/>
      <c r="P23" s="71">
        <f>980000*0.15</f>
        <v>147000</v>
      </c>
      <c r="Q23" s="72">
        <f t="shared" ref="Q23:Q39" si="19">SUM(E23:P23)</f>
        <v>980000</v>
      </c>
      <c r="R23" s="17">
        <v>980000</v>
      </c>
      <c r="S23" s="32">
        <f t="shared" si="16"/>
        <v>0</v>
      </c>
      <c r="T23" s="7"/>
      <c r="U23" s="32">
        <f>SUM($E23:F23)</f>
        <v>235200</v>
      </c>
      <c r="V23" s="32">
        <f>SUM($E23:G23)</f>
        <v>235200</v>
      </c>
      <c r="W23" s="32">
        <f>SUM($E23:H23)</f>
        <v>235200</v>
      </c>
      <c r="X23" s="32">
        <f>SUM($E23:I23)</f>
        <v>470400</v>
      </c>
      <c r="Y23" s="32">
        <f>SUM($E23:J23)</f>
        <v>470400</v>
      </c>
      <c r="Z23" s="32">
        <f>SUM($E23:K23)</f>
        <v>676200</v>
      </c>
      <c r="AA23" s="32">
        <f>SUM($E23:L23)</f>
        <v>676200</v>
      </c>
      <c r="AB23" s="32">
        <f>SUM($E23:M23)</f>
        <v>676200</v>
      </c>
      <c r="AC23" s="32">
        <f>SUM($E23:N23)</f>
        <v>833000</v>
      </c>
      <c r="AD23" s="32">
        <f>SUM($E23:O23)</f>
        <v>833000</v>
      </c>
      <c r="AE23" s="32">
        <f>SUM($E23:P23)</f>
        <v>980000</v>
      </c>
      <c r="AG23" s="218">
        <f>_xlfn.XLOOKUP(A23,'מצטבר יוני'!A:A,'מצטבר יוני'!H:H)</f>
        <v>342081.02</v>
      </c>
      <c r="AI23" s="17">
        <f>_xlfn.XLOOKUP($A23,'[1]מפיצים הערכה לחציון שני '!$L:$L,'[1]מפיצים הערכה לחציון שני '!O:O)</f>
        <v>0</v>
      </c>
      <c r="AJ23" s="17">
        <f>_xlfn.XLOOKUP($A23,'[1]מפיצים הערכה לחציון שני '!$L:$L,'[1]מפיצים הערכה לחציון שני '!P:P)</f>
        <v>130000</v>
      </c>
      <c r="AK23" s="17">
        <f>_xlfn.XLOOKUP($A23,'[1]מפיצים הערכה לחציון שני '!$L:$L,'[1]מפיצים הערכה לחציון שני '!Q:Q)</f>
        <v>0</v>
      </c>
      <c r="AL23" s="17">
        <f>_xlfn.XLOOKUP($A23,'[1]מפיצים הערכה לחציון שני '!$L:$L,'[1]מפיצים הערכה לחציון שני '!R:R)</f>
        <v>300000</v>
      </c>
      <c r="AM23" s="17">
        <f>_xlfn.XLOOKUP($A23,'[1]מפיצים הערכה לחציון שני '!$L:$L,'[1]מפיצים הערכה לחציון שני '!S:S)</f>
        <v>0</v>
      </c>
      <c r="AN23" s="208">
        <f>_xlfn.XLOOKUP($A23,'[1]מפיצים הערכה לחציון שני '!$L:$L,'[1]מפיצים הערכה לחציון שני '!T:T)</f>
        <v>150000</v>
      </c>
      <c r="AO23" s="218">
        <f t="shared" si="5"/>
        <v>580000</v>
      </c>
      <c r="AP23" s="213">
        <f t="shared" si="17"/>
        <v>1050400</v>
      </c>
      <c r="AR23" s="236">
        <f t="shared" si="7"/>
        <v>342081.02</v>
      </c>
      <c r="AS23" s="17">
        <f t="shared" si="18"/>
        <v>472081.02</v>
      </c>
      <c r="AT23" s="17">
        <f t="shared" ref="AT23:AT39" si="20">AS23+AK23</f>
        <v>472081.02</v>
      </c>
      <c r="AU23" s="17">
        <f t="shared" ref="AU23:AU39" si="21">AT23+AL23</f>
        <v>772081.02</v>
      </c>
      <c r="AV23" s="17">
        <f t="shared" ref="AV23:AV39" si="22">AU23+AM23</f>
        <v>772081.02</v>
      </c>
      <c r="AW23" s="237">
        <f t="shared" ref="AW23:AW39" si="23">AV23+AN23</f>
        <v>922081.02</v>
      </c>
    </row>
    <row r="24" spans="1:49" ht="15" x14ac:dyDescent="0.25">
      <c r="A24" s="2">
        <v>21</v>
      </c>
      <c r="B24" s="5" t="s">
        <v>80</v>
      </c>
      <c r="C24" s="109" t="s">
        <v>18</v>
      </c>
      <c r="D24" s="3" t="s">
        <v>19</v>
      </c>
      <c r="E24" s="71">
        <v>124895.37</v>
      </c>
      <c r="F24" s="71">
        <f>3779*3.1</f>
        <v>11714.9</v>
      </c>
      <c r="G24" s="71">
        <v>15000</v>
      </c>
      <c r="H24" s="71">
        <v>100000</v>
      </c>
      <c r="I24" s="71">
        <v>15000</v>
      </c>
      <c r="J24" s="71">
        <v>35000</v>
      </c>
      <c r="K24" s="71">
        <v>13390</v>
      </c>
      <c r="L24" s="71">
        <v>120000</v>
      </c>
      <c r="M24" s="71">
        <v>15000</v>
      </c>
      <c r="N24" s="71"/>
      <c r="O24" s="71">
        <v>200000</v>
      </c>
      <c r="P24" s="71"/>
      <c r="Q24" s="72">
        <f t="shared" si="19"/>
        <v>650000.27</v>
      </c>
      <c r="R24" s="17">
        <v>650000</v>
      </c>
      <c r="S24" s="32">
        <f t="shared" ref="S24:S36" si="24">SUM(E24:E24)</f>
        <v>124895.37</v>
      </c>
      <c r="T24" s="7"/>
      <c r="U24" s="32">
        <f>SUM($E24:F24)</f>
        <v>136610.26999999999</v>
      </c>
      <c r="V24" s="32">
        <f>SUM($E24:G24)</f>
        <v>151610.26999999999</v>
      </c>
      <c r="W24" s="32">
        <f>SUM($E24:H24)</f>
        <v>251610.27</v>
      </c>
      <c r="X24" s="32">
        <f>SUM($E24:I24)</f>
        <v>266610.27</v>
      </c>
      <c r="Y24" s="32">
        <f>SUM($E24:J24)</f>
        <v>301610.27</v>
      </c>
      <c r="Z24" s="32">
        <f>SUM($E24:K24)</f>
        <v>315000.27</v>
      </c>
      <c r="AA24" s="32">
        <f>SUM($E24:L24)</f>
        <v>435000.27</v>
      </c>
      <c r="AB24" s="32">
        <f>SUM($E24:M24)</f>
        <v>450000.27</v>
      </c>
      <c r="AC24" s="32">
        <f>SUM($E24:N24)</f>
        <v>450000.27</v>
      </c>
      <c r="AD24" s="32">
        <f>SUM($E24:O24)</f>
        <v>650000.27</v>
      </c>
      <c r="AE24" s="32">
        <f>SUM($E24:P24)</f>
        <v>650000.27</v>
      </c>
      <c r="AG24" s="218">
        <f>_xlfn.XLOOKUP(A24,'מצטבר יוני'!A:A,'מצטבר יוני'!H:H)</f>
        <v>333276.52</v>
      </c>
      <c r="AI24" s="17">
        <f>_xlfn.XLOOKUP($A24,'[1]מפיצים הערכה לחציון שני '!$L:$L,'[1]מפיצים הערכה לחציון שני '!O:O)</f>
        <v>0</v>
      </c>
      <c r="AJ24" s="17">
        <f>_xlfn.XLOOKUP($A24,'[1]מפיצים הערכה לחציון שני '!$L:$L,'[1]מפיצים הערכה לחציון שני '!P:P)</f>
        <v>20000</v>
      </c>
      <c r="AK24" s="17">
        <f>_xlfn.XLOOKUP($A24,'[1]מפיצים הערכה לחציון שני '!$L:$L,'[1]מפיצים הערכה לחציון שני '!Q:Q)</f>
        <v>40000</v>
      </c>
      <c r="AL24" s="17">
        <f>_xlfn.XLOOKUP($A24,'[1]מפיצים הערכה לחציון שני '!$L:$L,'[1]מפיצים הערכה לחציון שני '!R:R)</f>
        <v>0</v>
      </c>
      <c r="AM24" s="17">
        <f>_xlfn.XLOOKUP($A24,'[1]מפיצים הערכה לחציון שני '!$L:$L,'[1]מפיצים הערכה לחציון שני '!S:S)</f>
        <v>220000</v>
      </c>
      <c r="AN24" s="208">
        <f>_xlfn.XLOOKUP($A24,'[1]מפיצים הערכה לחציון שני '!$L:$L,'[1]מפיצים הערכה לחציון שני '!T:T)</f>
        <v>0</v>
      </c>
      <c r="AO24" s="218">
        <f t="shared" si="5"/>
        <v>280000</v>
      </c>
      <c r="AP24" s="213">
        <f t="shared" si="17"/>
        <v>581610.27</v>
      </c>
      <c r="AR24" s="236">
        <f t="shared" si="7"/>
        <v>333276.52</v>
      </c>
      <c r="AS24" s="17">
        <f t="shared" si="18"/>
        <v>353276.52</v>
      </c>
      <c r="AT24" s="17">
        <f t="shared" si="20"/>
        <v>393276.52</v>
      </c>
      <c r="AU24" s="17">
        <f t="shared" si="21"/>
        <v>393276.52</v>
      </c>
      <c r="AV24" s="17">
        <f t="shared" si="22"/>
        <v>613276.52</v>
      </c>
      <c r="AW24" s="237">
        <f t="shared" si="23"/>
        <v>613276.52</v>
      </c>
    </row>
    <row r="25" spans="1:49" ht="15" x14ac:dyDescent="0.25">
      <c r="A25" s="2">
        <v>22</v>
      </c>
      <c r="B25" s="5" t="s">
        <v>82</v>
      </c>
      <c r="C25" s="109" t="s">
        <v>14</v>
      </c>
      <c r="D25" s="3" t="s">
        <v>15</v>
      </c>
      <c r="E25" s="71">
        <v>67158.969999999987</v>
      </c>
      <c r="F25" s="71"/>
      <c r="G25" s="71">
        <v>95000</v>
      </c>
      <c r="H25" s="71"/>
      <c r="I25" s="71">
        <v>85000</v>
      </c>
      <c r="J25" s="71"/>
      <c r="K25" s="71">
        <v>85000</v>
      </c>
      <c r="L25" s="71"/>
      <c r="M25" s="71">
        <v>85000</v>
      </c>
      <c r="N25" s="71"/>
      <c r="O25" s="71">
        <v>82841</v>
      </c>
      <c r="P25" s="71"/>
      <c r="Q25" s="72">
        <f t="shared" si="19"/>
        <v>499999.97</v>
      </c>
      <c r="R25" s="17">
        <v>500000</v>
      </c>
      <c r="S25" s="32">
        <f t="shared" si="24"/>
        <v>67158.969999999987</v>
      </c>
      <c r="T25" s="7"/>
      <c r="U25" s="32">
        <f>SUM($E25:F25)</f>
        <v>67158.969999999987</v>
      </c>
      <c r="V25" s="32">
        <f>SUM($E25:G25)</f>
        <v>162158.96999999997</v>
      </c>
      <c r="W25" s="32">
        <f>SUM($E25:H25)</f>
        <v>162158.96999999997</v>
      </c>
      <c r="X25" s="32">
        <f>SUM($E25:I25)</f>
        <v>247158.96999999997</v>
      </c>
      <c r="Y25" s="32">
        <f>SUM($E25:J25)</f>
        <v>247158.96999999997</v>
      </c>
      <c r="Z25" s="32">
        <f>SUM($E25:K25)</f>
        <v>332158.96999999997</v>
      </c>
      <c r="AA25" s="32">
        <f>SUM($E25:L25)</f>
        <v>332158.96999999997</v>
      </c>
      <c r="AB25" s="32">
        <f>SUM($E25:M25)</f>
        <v>417158.97</v>
      </c>
      <c r="AC25" s="32">
        <f>SUM($E25:N25)</f>
        <v>417158.97</v>
      </c>
      <c r="AD25" s="32">
        <f>SUM($E25:O25)</f>
        <v>499999.97</v>
      </c>
      <c r="AE25" s="32">
        <f>SUM($E25:P25)</f>
        <v>499999.97</v>
      </c>
      <c r="AG25" s="218">
        <f>_xlfn.XLOOKUP(A25,'מצטבר יוני'!A:A,'מצטבר יוני'!H:H)</f>
        <v>307053.13</v>
      </c>
      <c r="AI25" s="17">
        <f>_xlfn.XLOOKUP($A25,'[1]מפיצים הערכה לחציון שני '!$L:$L,'[1]מפיצים הערכה לחציון שני '!O:O)</f>
        <v>0</v>
      </c>
      <c r="AJ25" s="17">
        <f>_xlfn.XLOOKUP($A25,'[1]מפיצים הערכה לחציון שני '!$L:$L,'[1]מפיצים הערכה לחציון שני '!P:P)</f>
        <v>0</v>
      </c>
      <c r="AK25" s="17">
        <f>_xlfn.XLOOKUP($A25,'[1]מפיצים הערכה לחציון שני '!$L:$L,'[1]מפיצים הערכה לחציון שני '!Q:Q)</f>
        <v>75000</v>
      </c>
      <c r="AL25" s="17">
        <f>_xlfn.XLOOKUP($A25,'[1]מפיצים הערכה לחציון שני '!$L:$L,'[1]מפיצים הערכה לחציון שני '!R:R)</f>
        <v>0</v>
      </c>
      <c r="AM25" s="17">
        <f>_xlfn.XLOOKUP($A25,'[1]מפיצים הערכה לחציון שני '!$L:$L,'[1]מפיצים הערכה לחציון שני '!S:S)</f>
        <v>75000</v>
      </c>
      <c r="AN25" s="208">
        <f>_xlfn.XLOOKUP($A25,'[1]מפיצים הערכה לחציון שני '!$L:$L,'[1]מפיצים הערכה לחציון שני '!T:T)</f>
        <v>0</v>
      </c>
      <c r="AO25" s="218">
        <f t="shared" si="5"/>
        <v>150000</v>
      </c>
      <c r="AP25" s="213">
        <f t="shared" si="17"/>
        <v>397158.97</v>
      </c>
      <c r="AR25" s="236">
        <f t="shared" si="7"/>
        <v>307053.13</v>
      </c>
      <c r="AS25" s="17">
        <f t="shared" si="18"/>
        <v>307053.13</v>
      </c>
      <c r="AT25" s="17">
        <f t="shared" si="20"/>
        <v>382053.13</v>
      </c>
      <c r="AU25" s="17">
        <f t="shared" si="21"/>
        <v>382053.13</v>
      </c>
      <c r="AV25" s="17">
        <f t="shared" si="22"/>
        <v>457053.13</v>
      </c>
      <c r="AW25" s="237">
        <f t="shared" si="23"/>
        <v>457053.13</v>
      </c>
    </row>
    <row r="26" spans="1:49" ht="15" x14ac:dyDescent="0.25">
      <c r="A26" s="2">
        <v>23</v>
      </c>
      <c r="B26" s="5" t="s">
        <v>78</v>
      </c>
      <c r="C26" s="109" t="s">
        <v>24</v>
      </c>
      <c r="D26" s="3" t="s">
        <v>25</v>
      </c>
      <c r="E26" s="71">
        <v>15774.92</v>
      </c>
      <c r="F26" s="71"/>
      <c r="G26" s="71">
        <v>17000</v>
      </c>
      <c r="H26" s="71">
        <v>10000</v>
      </c>
      <c r="I26" s="71">
        <v>17000</v>
      </c>
      <c r="J26" s="71">
        <v>10000</v>
      </c>
      <c r="K26" s="71">
        <v>17000</v>
      </c>
      <c r="L26" s="71">
        <v>10000</v>
      </c>
      <c r="M26" s="71">
        <v>17000</v>
      </c>
      <c r="N26" s="71">
        <v>9225</v>
      </c>
      <c r="O26" s="71">
        <v>17000</v>
      </c>
      <c r="P26" s="71"/>
      <c r="Q26" s="72">
        <f t="shared" si="19"/>
        <v>139999.91999999998</v>
      </c>
      <c r="R26" s="17">
        <v>140000</v>
      </c>
      <c r="S26" s="32">
        <f t="shared" si="24"/>
        <v>15774.92</v>
      </c>
      <c r="T26" s="7"/>
      <c r="U26" s="32">
        <f>SUM($E26:F26)</f>
        <v>15774.92</v>
      </c>
      <c r="V26" s="32">
        <f>SUM($E26:G26)</f>
        <v>32774.92</v>
      </c>
      <c r="W26" s="32">
        <f>SUM($E26:H26)</f>
        <v>42774.92</v>
      </c>
      <c r="X26" s="32">
        <f>SUM($E26:I26)</f>
        <v>59774.92</v>
      </c>
      <c r="Y26" s="32">
        <f>SUM($E26:J26)</f>
        <v>69774.92</v>
      </c>
      <c r="Z26" s="32">
        <f>SUM($E26:K26)</f>
        <v>86774.92</v>
      </c>
      <c r="AA26" s="32">
        <f>SUM($E26:L26)</f>
        <v>96774.92</v>
      </c>
      <c r="AB26" s="32">
        <f>SUM($E26:M26)</f>
        <v>113774.92</v>
      </c>
      <c r="AC26" s="32">
        <f>SUM($E26:N26)</f>
        <v>122999.92</v>
      </c>
      <c r="AD26" s="32">
        <f>SUM($E26:O26)</f>
        <v>139999.91999999998</v>
      </c>
      <c r="AE26" s="32">
        <f>SUM($E26:P26)</f>
        <v>139999.91999999998</v>
      </c>
      <c r="AG26" s="218">
        <f>_xlfn.XLOOKUP(A26,'מצטבר יוני'!A:A,'מצטבר יוני'!H:H)</f>
        <v>76678.59</v>
      </c>
      <c r="AI26" s="17">
        <f>_xlfn.XLOOKUP($A26,'[1]מפיצים הערכה לחציון שני '!$L:$L,'[1]מפיצים הערכה לחציון שני '!O:O)</f>
        <v>20000</v>
      </c>
      <c r="AJ26" s="17">
        <f>_xlfn.XLOOKUP($A26,'[1]מפיצים הערכה לחציון שני '!$L:$L,'[1]מפיצים הערכה לחציון שני '!P:P)</f>
        <v>0</v>
      </c>
      <c r="AK26" s="17">
        <f>_xlfn.XLOOKUP($A26,'[1]מפיצים הערכה לחציון שני '!$L:$L,'[1]מפיצים הערכה לחציון שני '!Q:Q)</f>
        <v>15000</v>
      </c>
      <c r="AL26" s="17">
        <f>_xlfn.XLOOKUP($A26,'[1]מפיצים הערכה לחציון שני '!$L:$L,'[1]מפיצים הערכה לחציון שני '!R:R)</f>
        <v>0</v>
      </c>
      <c r="AM26" s="17">
        <f>_xlfn.XLOOKUP($A26,'[1]מפיצים הערכה לחציון שני '!$L:$L,'[1]מפיצים הערכה לחציון שני '!S:S)</f>
        <v>20000</v>
      </c>
      <c r="AN26" s="208">
        <f>_xlfn.XLOOKUP($A26,'[1]מפיצים הערכה לחציון שני '!$L:$L,'[1]מפיצים הערכה לחציון שני '!T:T)</f>
        <v>0</v>
      </c>
      <c r="AO26" s="218">
        <f t="shared" si="5"/>
        <v>55000</v>
      </c>
      <c r="AP26" s="213">
        <f t="shared" si="17"/>
        <v>124774.92</v>
      </c>
      <c r="AR26" s="236">
        <f t="shared" si="7"/>
        <v>96678.59</v>
      </c>
      <c r="AS26" s="17">
        <f t="shared" si="18"/>
        <v>96678.59</v>
      </c>
      <c r="AT26" s="17">
        <f t="shared" si="20"/>
        <v>111678.59</v>
      </c>
      <c r="AU26" s="17">
        <f t="shared" si="21"/>
        <v>111678.59</v>
      </c>
      <c r="AV26" s="17">
        <f t="shared" si="22"/>
        <v>131678.59</v>
      </c>
      <c r="AW26" s="237">
        <f t="shared" si="23"/>
        <v>131678.59</v>
      </c>
    </row>
    <row r="27" spans="1:49" ht="15" x14ac:dyDescent="0.25">
      <c r="A27" s="2">
        <v>24</v>
      </c>
      <c r="B27" s="5" t="s">
        <v>79</v>
      </c>
      <c r="C27" s="109" t="s">
        <v>27</v>
      </c>
      <c r="D27" s="3" t="s">
        <v>46</v>
      </c>
      <c r="E27" s="71"/>
      <c r="F27" s="71"/>
      <c r="G27" s="71">
        <v>5000</v>
      </c>
      <c r="H27" s="71">
        <v>5000</v>
      </c>
      <c r="I27" s="71">
        <v>5000</v>
      </c>
      <c r="J27" s="71">
        <v>5000</v>
      </c>
      <c r="K27" s="71">
        <v>5000</v>
      </c>
      <c r="L27" s="71">
        <v>5000</v>
      </c>
      <c r="M27" s="71">
        <v>5000</v>
      </c>
      <c r="N27" s="71">
        <v>5000</v>
      </c>
      <c r="O27" s="71">
        <v>5000</v>
      </c>
      <c r="P27" s="71">
        <v>5000</v>
      </c>
      <c r="Q27" s="72">
        <f t="shared" si="19"/>
        <v>50000</v>
      </c>
      <c r="R27" s="17">
        <v>50000</v>
      </c>
      <c r="S27" s="32">
        <f t="shared" si="24"/>
        <v>0</v>
      </c>
      <c r="T27" s="7"/>
      <c r="U27" s="32">
        <f>SUM($E27:F27)</f>
        <v>0</v>
      </c>
      <c r="V27" s="32">
        <f>SUM($E27:G27)</f>
        <v>5000</v>
      </c>
      <c r="W27" s="32">
        <f>SUM($E27:H27)</f>
        <v>10000</v>
      </c>
      <c r="X27" s="32">
        <f>SUM($E27:I27)</f>
        <v>15000</v>
      </c>
      <c r="Y27" s="32">
        <f>SUM($E27:J27)</f>
        <v>20000</v>
      </c>
      <c r="Z27" s="32">
        <f>SUM($E27:K27)</f>
        <v>25000</v>
      </c>
      <c r="AA27" s="32">
        <f>SUM($E27:L27)</f>
        <v>30000</v>
      </c>
      <c r="AB27" s="32">
        <f>SUM($E27:M27)</f>
        <v>35000</v>
      </c>
      <c r="AC27" s="32">
        <f>SUM($E27:N27)</f>
        <v>40000</v>
      </c>
      <c r="AD27" s="32">
        <f>SUM($E27:O27)</f>
        <v>45000</v>
      </c>
      <c r="AE27" s="32">
        <f>SUM($E27:P27)</f>
        <v>50000</v>
      </c>
      <c r="AG27" s="218">
        <f>_xlfn.XLOOKUP(A27,'מצטבר יוני'!A:A,'מצטבר יוני'!H:H)</f>
        <v>0</v>
      </c>
      <c r="AI27" s="17">
        <f>_xlfn.XLOOKUP($A27,'[1]מפיצים הערכה לחציון שני '!$L:$L,'[1]מפיצים הערכה לחציון שני '!O:O)</f>
        <v>0</v>
      </c>
      <c r="AJ27" s="17">
        <f>_xlfn.XLOOKUP($A27,'[1]מפיצים הערכה לחציון שני '!$L:$L,'[1]מפיצים הערכה לחציון שני '!P:P)</f>
        <v>0</v>
      </c>
      <c r="AK27" s="17">
        <f>_xlfn.XLOOKUP($A27,'[1]מפיצים הערכה לחציון שני '!$L:$L,'[1]מפיצים הערכה לחציון שני '!Q:Q)</f>
        <v>0</v>
      </c>
      <c r="AL27" s="17">
        <f>_xlfn.XLOOKUP($A27,'[1]מפיצים הערכה לחציון שני '!$L:$L,'[1]מפיצים הערכה לחציון שני '!R:R)</f>
        <v>0</v>
      </c>
      <c r="AM27" s="17">
        <f>_xlfn.XLOOKUP($A27,'[1]מפיצים הערכה לחציון שני '!$L:$L,'[1]מפיצים הערכה לחציון שני '!S:S)</f>
        <v>0</v>
      </c>
      <c r="AN27" s="208">
        <f>_xlfn.XLOOKUP($A27,'[1]מפיצים הערכה לחציון שני '!$L:$L,'[1]מפיצים הערכה לחציון שני '!T:T)</f>
        <v>0</v>
      </c>
      <c r="AO27" s="218">
        <f t="shared" si="5"/>
        <v>0</v>
      </c>
      <c r="AP27" s="213">
        <f t="shared" si="17"/>
        <v>20000</v>
      </c>
      <c r="AR27" s="236">
        <f t="shared" si="7"/>
        <v>0</v>
      </c>
      <c r="AS27" s="17">
        <f t="shared" si="18"/>
        <v>0</v>
      </c>
      <c r="AT27" s="17">
        <f t="shared" si="20"/>
        <v>0</v>
      </c>
      <c r="AU27" s="17">
        <f t="shared" si="21"/>
        <v>0</v>
      </c>
      <c r="AV27" s="17">
        <f t="shared" si="22"/>
        <v>0</v>
      </c>
      <c r="AW27" s="237">
        <f t="shared" si="23"/>
        <v>0</v>
      </c>
    </row>
    <row r="28" spans="1:49" ht="15" x14ac:dyDescent="0.25">
      <c r="A28" s="2">
        <v>25</v>
      </c>
      <c r="B28" s="5" t="s">
        <v>87</v>
      </c>
      <c r="C28" s="109" t="s">
        <v>20</v>
      </c>
      <c r="D28" s="3" t="s">
        <v>21</v>
      </c>
      <c r="E28" s="71"/>
      <c r="F28" s="71"/>
      <c r="G28" s="71"/>
      <c r="H28" s="71">
        <v>150000</v>
      </c>
      <c r="I28" s="71"/>
      <c r="J28" s="71"/>
      <c r="K28" s="71">
        <v>150000</v>
      </c>
      <c r="L28" s="71"/>
      <c r="M28" s="71"/>
      <c r="N28" s="71"/>
      <c r="O28" s="71">
        <v>150000</v>
      </c>
      <c r="P28" s="71"/>
      <c r="Q28" s="72">
        <f t="shared" si="19"/>
        <v>450000</v>
      </c>
      <c r="R28" s="17">
        <v>450000</v>
      </c>
      <c r="S28" s="32">
        <f t="shared" si="24"/>
        <v>0</v>
      </c>
      <c r="T28" s="7"/>
      <c r="U28" s="32">
        <f>SUM($E28:F28)</f>
        <v>0</v>
      </c>
      <c r="V28" s="32">
        <f>SUM($E28:G28)</f>
        <v>0</v>
      </c>
      <c r="W28" s="32">
        <f>SUM($E28:H28)</f>
        <v>150000</v>
      </c>
      <c r="X28" s="32">
        <f>SUM($E28:I28)</f>
        <v>150000</v>
      </c>
      <c r="Y28" s="32">
        <f>SUM($E28:J28)</f>
        <v>150000</v>
      </c>
      <c r="Z28" s="32">
        <f>SUM($E28:K28)</f>
        <v>300000</v>
      </c>
      <c r="AA28" s="32">
        <f>SUM($E28:L28)</f>
        <v>300000</v>
      </c>
      <c r="AB28" s="32">
        <f>SUM($E28:M28)</f>
        <v>300000</v>
      </c>
      <c r="AC28" s="32">
        <f>SUM($E28:N28)</f>
        <v>300000</v>
      </c>
      <c r="AD28" s="32">
        <f>SUM($E28:O28)</f>
        <v>450000</v>
      </c>
      <c r="AE28" s="32">
        <f>SUM($E28:P28)</f>
        <v>450000</v>
      </c>
      <c r="AG28" s="218">
        <f>_xlfn.XLOOKUP(A28,'מצטבר יוני'!A:A,'מצטבר יוני'!H:H)</f>
        <v>144147.46999999997</v>
      </c>
      <c r="AI28" s="17">
        <f>_xlfn.XLOOKUP($A28,'[1]מפיצים הערכה לחציון שני '!$L:$L,'[1]מפיצים הערכה לחציון שני '!O:O)</f>
        <v>240000</v>
      </c>
      <c r="AJ28" s="17">
        <f>_xlfn.XLOOKUP($A28,'[1]מפיצים הערכה לחציון שני '!$L:$L,'[1]מפיצים הערכה לחציון שני '!P:P)</f>
        <v>0</v>
      </c>
      <c r="AK28" s="17">
        <f>_xlfn.XLOOKUP($A28,'[1]מפיצים הערכה לחציון שני '!$L:$L,'[1]מפיצים הערכה לחציון שני '!Q:Q)</f>
        <v>70000</v>
      </c>
      <c r="AL28" s="17">
        <f>_xlfn.XLOOKUP($A28,'[1]מפיצים הערכה לחציון שני '!$L:$L,'[1]מפיצים הערכה לחציון שני '!R:R)</f>
        <v>0</v>
      </c>
      <c r="AM28" s="17">
        <f>_xlfn.XLOOKUP($A28,'[1]מפיצים הערכה לחציון שני '!$L:$L,'[1]מפיצים הערכה לחציון שני '!S:S)</f>
        <v>70000</v>
      </c>
      <c r="AN28" s="208">
        <f>_xlfn.XLOOKUP($A28,'[1]מפיצים הערכה לחציון שני '!$L:$L,'[1]מפיצים הערכה לחציון שני '!T:T)</f>
        <v>0</v>
      </c>
      <c r="AO28" s="218">
        <f t="shared" si="5"/>
        <v>380000</v>
      </c>
      <c r="AP28" s="213">
        <f t="shared" si="17"/>
        <v>530000</v>
      </c>
      <c r="AR28" s="236">
        <f t="shared" si="7"/>
        <v>384147.47</v>
      </c>
      <c r="AS28" s="17">
        <f t="shared" si="18"/>
        <v>384147.47</v>
      </c>
      <c r="AT28" s="17">
        <f t="shared" si="20"/>
        <v>454147.47</v>
      </c>
      <c r="AU28" s="17">
        <f t="shared" si="21"/>
        <v>454147.47</v>
      </c>
      <c r="AV28" s="17">
        <f t="shared" si="22"/>
        <v>524147.47</v>
      </c>
      <c r="AW28" s="237">
        <f t="shared" si="23"/>
        <v>524147.47</v>
      </c>
    </row>
    <row r="29" spans="1:49" ht="15" x14ac:dyDescent="0.25">
      <c r="A29" s="2">
        <v>26</v>
      </c>
      <c r="B29" s="5" t="s">
        <v>77</v>
      </c>
      <c r="C29" s="109" t="s">
        <v>26</v>
      </c>
      <c r="D29" s="3" t="s">
        <v>28</v>
      </c>
      <c r="E29" s="71"/>
      <c r="F29" s="71">
        <v>40000</v>
      </c>
      <c r="G29" s="71"/>
      <c r="H29" s="71">
        <v>40000</v>
      </c>
      <c r="I29" s="71"/>
      <c r="J29" s="71">
        <v>40000</v>
      </c>
      <c r="K29" s="71"/>
      <c r="L29" s="71">
        <v>40000</v>
      </c>
      <c r="M29" s="71"/>
      <c r="N29" s="71"/>
      <c r="O29" s="71">
        <v>40000</v>
      </c>
      <c r="P29" s="71"/>
      <c r="Q29" s="72">
        <f t="shared" si="19"/>
        <v>200000</v>
      </c>
      <c r="R29" s="17">
        <v>200000</v>
      </c>
      <c r="S29" s="32">
        <f t="shared" si="24"/>
        <v>0</v>
      </c>
      <c r="T29" s="7">
        <f t="shared" ref="T29:T40" si="25">R29-Q29</f>
        <v>0</v>
      </c>
      <c r="U29" s="32">
        <f>SUM($E29:F29)</f>
        <v>40000</v>
      </c>
      <c r="V29" s="32">
        <f>SUM($E29:G29)</f>
        <v>40000</v>
      </c>
      <c r="W29" s="32">
        <f>SUM($E29:H29)</f>
        <v>80000</v>
      </c>
      <c r="X29" s="32">
        <f>SUM($E29:I29)</f>
        <v>80000</v>
      </c>
      <c r="Y29" s="32">
        <f>SUM($E29:J29)</f>
        <v>120000</v>
      </c>
      <c r="Z29" s="32">
        <f>SUM($E29:K29)</f>
        <v>120000</v>
      </c>
      <c r="AA29" s="32">
        <f>SUM($E29:L29)</f>
        <v>160000</v>
      </c>
      <c r="AB29" s="32">
        <f>SUM($E29:M29)</f>
        <v>160000</v>
      </c>
      <c r="AC29" s="32">
        <f>SUM($E29:N29)</f>
        <v>160000</v>
      </c>
      <c r="AD29" s="32">
        <f>SUM($E29:O29)</f>
        <v>200000</v>
      </c>
      <c r="AE29" s="32">
        <f>SUM($E29:P29)</f>
        <v>200000</v>
      </c>
      <c r="AG29" s="218">
        <f>_xlfn.XLOOKUP(A29,'מצטבר יוני'!A:A,'מצטבר יוני'!H:H)</f>
        <v>60694.009999999995</v>
      </c>
      <c r="AI29" s="17">
        <f>_xlfn.XLOOKUP($A29,'[1]מפיצים הערכה לחציון שני '!$L:$L,'[1]מפיצים הערכה לחציון שני '!O:O)</f>
        <v>0</v>
      </c>
      <c r="AJ29" s="17">
        <f>_xlfn.XLOOKUP($A29,'[1]מפיצים הערכה לחציון שני '!$L:$L,'[1]מפיצים הערכה לחציון שני '!P:P)</f>
        <v>0</v>
      </c>
      <c r="AK29" s="17">
        <f>_xlfn.XLOOKUP($A29,'[1]מפיצים הערכה לחציון שני '!$L:$L,'[1]מפיצים הערכה לחציון שני '!Q:Q)</f>
        <v>20000</v>
      </c>
      <c r="AL29" s="17">
        <f>_xlfn.XLOOKUP($A29,'[1]מפיצים הערכה לחציון שני '!$L:$L,'[1]מפיצים הערכה לחציון שני '!R:R)</f>
        <v>0</v>
      </c>
      <c r="AM29" s="17">
        <f>_xlfn.XLOOKUP($A29,'[1]מפיצים הערכה לחציון שני '!$L:$L,'[1]מפיצים הערכה לחציון שני '!S:S)</f>
        <v>20000</v>
      </c>
      <c r="AN29" s="208">
        <f>_xlfn.XLOOKUP($A29,'[1]מפיצים הערכה לחציון שני '!$L:$L,'[1]מפיצים הערכה לחציון שני '!T:T)</f>
        <v>0</v>
      </c>
      <c r="AO29" s="218">
        <f t="shared" si="5"/>
        <v>40000</v>
      </c>
      <c r="AP29" s="213">
        <f t="shared" si="17"/>
        <v>160000</v>
      </c>
      <c r="AR29" s="236">
        <f t="shared" si="7"/>
        <v>60694.009999999995</v>
      </c>
      <c r="AS29" s="17">
        <f t="shared" si="18"/>
        <v>60694.009999999995</v>
      </c>
      <c r="AT29" s="17">
        <f t="shared" si="20"/>
        <v>80694.009999999995</v>
      </c>
      <c r="AU29" s="17">
        <f t="shared" si="21"/>
        <v>80694.009999999995</v>
      </c>
      <c r="AV29" s="17">
        <f t="shared" si="22"/>
        <v>100694.01</v>
      </c>
      <c r="AW29" s="237">
        <f t="shared" si="23"/>
        <v>100694.01</v>
      </c>
    </row>
    <row r="30" spans="1:49" ht="15" x14ac:dyDescent="0.25">
      <c r="A30" s="2">
        <v>27</v>
      </c>
      <c r="B30" s="5" t="s">
        <v>88</v>
      </c>
      <c r="C30" s="109" t="s">
        <v>22</v>
      </c>
      <c r="D30" s="3" t="s">
        <v>23</v>
      </c>
      <c r="E30" s="71"/>
      <c r="F30" s="71"/>
      <c r="G30" s="71"/>
      <c r="H30" s="71"/>
      <c r="I30" s="71"/>
      <c r="J30" s="71"/>
      <c r="K30" s="71"/>
      <c r="L30" s="71">
        <v>250000</v>
      </c>
      <c r="M30" s="71"/>
      <c r="N30" s="71"/>
      <c r="O30" s="71"/>
      <c r="P30" s="71"/>
      <c r="Q30" s="72">
        <f t="shared" si="19"/>
        <v>250000</v>
      </c>
      <c r="R30" s="17">
        <v>250000</v>
      </c>
      <c r="S30" s="32">
        <f t="shared" si="24"/>
        <v>0</v>
      </c>
      <c r="T30" s="7">
        <f t="shared" si="25"/>
        <v>0</v>
      </c>
      <c r="U30" s="32">
        <f>SUM($E30:F30)</f>
        <v>0</v>
      </c>
      <c r="V30" s="32">
        <f>SUM($E30:G30)</f>
        <v>0</v>
      </c>
      <c r="W30" s="32">
        <f>SUM($E30:H30)</f>
        <v>0</v>
      </c>
      <c r="X30" s="32">
        <f>SUM($E30:I30)</f>
        <v>0</v>
      </c>
      <c r="Y30" s="32">
        <f>SUM($E30:J30)</f>
        <v>0</v>
      </c>
      <c r="Z30" s="32">
        <f>SUM($E30:K30)</f>
        <v>0</v>
      </c>
      <c r="AA30" s="32">
        <f>SUM($E30:L30)</f>
        <v>250000</v>
      </c>
      <c r="AB30" s="32">
        <f>SUM($E30:M30)</f>
        <v>250000</v>
      </c>
      <c r="AC30" s="32">
        <f>SUM($E30:N30)</f>
        <v>250000</v>
      </c>
      <c r="AD30" s="32">
        <f>SUM($E30:O30)</f>
        <v>250000</v>
      </c>
      <c r="AE30" s="32">
        <f>SUM($E30:P30)</f>
        <v>250000</v>
      </c>
      <c r="AG30" s="218">
        <f>_xlfn.XLOOKUP(A30,'מצטבר יוני'!A:A,'מצטבר יוני'!H:H)</f>
        <v>0</v>
      </c>
      <c r="AI30" s="17">
        <f>_xlfn.XLOOKUP($A30,'[1]מפיצים הערכה לחציון שני '!$L:$L,'[1]מפיצים הערכה לחציון שני '!O:O)</f>
        <v>0</v>
      </c>
      <c r="AJ30" s="17">
        <f>_xlfn.XLOOKUP($A30,'[1]מפיצים הערכה לחציון שני '!$L:$L,'[1]מפיצים הערכה לחציון שני '!P:P)</f>
        <v>0</v>
      </c>
      <c r="AK30" s="17">
        <f>_xlfn.XLOOKUP($A30,'[1]מפיצים הערכה לחציון שני '!$L:$L,'[1]מפיצים הערכה לחציון שני '!Q:Q)</f>
        <v>150000</v>
      </c>
      <c r="AL30" s="17">
        <f>_xlfn.XLOOKUP($A30,'[1]מפיצים הערכה לחציון שני '!$L:$L,'[1]מפיצים הערכה לחציון שני '!R:R)</f>
        <v>100000</v>
      </c>
      <c r="AM30" s="17">
        <f>_xlfn.XLOOKUP($A30,'[1]מפיצים הערכה לחציון שני '!$L:$L,'[1]מפיצים הערכה לחציון שני '!S:S)</f>
        <v>0</v>
      </c>
      <c r="AN30" s="208">
        <f>_xlfn.XLOOKUP($A30,'[1]מפיצים הערכה לחציון שני '!$L:$L,'[1]מפיצים הערכה לחציון שני '!T:T)</f>
        <v>0</v>
      </c>
      <c r="AO30" s="218">
        <f t="shared" si="5"/>
        <v>250000</v>
      </c>
      <c r="AP30" s="213">
        <f t="shared" si="17"/>
        <v>250000</v>
      </c>
      <c r="AR30" s="236">
        <f t="shared" si="7"/>
        <v>0</v>
      </c>
      <c r="AS30" s="17">
        <f t="shared" si="18"/>
        <v>0</v>
      </c>
      <c r="AT30" s="17">
        <f t="shared" si="20"/>
        <v>150000</v>
      </c>
      <c r="AU30" s="17">
        <f t="shared" si="21"/>
        <v>250000</v>
      </c>
      <c r="AV30" s="17">
        <f t="shared" si="22"/>
        <v>250000</v>
      </c>
      <c r="AW30" s="237">
        <f t="shared" si="23"/>
        <v>250000</v>
      </c>
    </row>
    <row r="31" spans="1:49" ht="15" x14ac:dyDescent="0.25">
      <c r="A31" s="2">
        <v>28</v>
      </c>
      <c r="B31" s="5" t="s">
        <v>89</v>
      </c>
      <c r="C31" s="109" t="s">
        <v>16</v>
      </c>
      <c r="D31" s="3" t="s">
        <v>17</v>
      </c>
      <c r="E31" s="71">
        <v>27429.74</v>
      </c>
      <c r="F31" s="71">
        <f>6735*3.7</f>
        <v>24919.5</v>
      </c>
      <c r="G31" s="71">
        <f>(450000-$E$31-$F$31)/10</f>
        <v>39765.076000000001</v>
      </c>
      <c r="H31" s="71">
        <f t="shared" ref="H31:P31" si="26">(450000-$E$31-$F$31)/10</f>
        <v>39765.076000000001</v>
      </c>
      <c r="I31" s="71">
        <f t="shared" si="26"/>
        <v>39765.076000000001</v>
      </c>
      <c r="J31" s="71">
        <f t="shared" si="26"/>
        <v>39765.076000000001</v>
      </c>
      <c r="K31" s="71">
        <f t="shared" si="26"/>
        <v>39765.076000000001</v>
      </c>
      <c r="L31" s="71">
        <f t="shared" si="26"/>
        <v>39765.076000000001</v>
      </c>
      <c r="M31" s="71">
        <f t="shared" si="26"/>
        <v>39765.076000000001</v>
      </c>
      <c r="N31" s="71">
        <f t="shared" si="26"/>
        <v>39765.076000000001</v>
      </c>
      <c r="O31" s="71">
        <f t="shared" si="26"/>
        <v>39765.076000000001</v>
      </c>
      <c r="P31" s="71">
        <f t="shared" si="26"/>
        <v>39765.076000000001</v>
      </c>
      <c r="Q31" s="72">
        <f t="shared" si="19"/>
        <v>450000</v>
      </c>
      <c r="R31" s="17">
        <v>450000</v>
      </c>
      <c r="S31" s="32">
        <f t="shared" si="24"/>
        <v>27429.74</v>
      </c>
      <c r="T31" s="7">
        <f t="shared" si="25"/>
        <v>0</v>
      </c>
      <c r="U31" s="32">
        <f>SUM($E31:F31)</f>
        <v>52349.240000000005</v>
      </c>
      <c r="V31" s="32">
        <f>SUM($E31:G31)</f>
        <v>92114.316000000006</v>
      </c>
      <c r="W31" s="32">
        <f>SUM($E31:H31)</f>
        <v>131879.39199999999</v>
      </c>
      <c r="X31" s="32">
        <f>SUM($E31:I31)</f>
        <v>171644.46799999999</v>
      </c>
      <c r="Y31" s="32">
        <f>SUM($E31:J31)</f>
        <v>211409.54399999999</v>
      </c>
      <c r="Z31" s="32">
        <f>SUM($E31:K31)</f>
        <v>251174.62</v>
      </c>
      <c r="AA31" s="32">
        <f>SUM($E31:L31)</f>
        <v>290939.696</v>
      </c>
      <c r="AB31" s="32">
        <f>SUM($E31:M31)</f>
        <v>330704.772</v>
      </c>
      <c r="AC31" s="32">
        <f>SUM($E31:N31)</f>
        <v>370469.848</v>
      </c>
      <c r="AD31" s="32">
        <f>SUM($E31:O31)</f>
        <v>410234.924</v>
      </c>
      <c r="AE31" s="32">
        <f>SUM($E31:P31)</f>
        <v>450000</v>
      </c>
      <c r="AG31" s="218">
        <f>_xlfn.XLOOKUP(A31,'מצטבר יוני'!A:A,'מצטבר יוני'!H:H)</f>
        <v>203207.09</v>
      </c>
      <c r="AI31" s="17">
        <f>_xlfn.XLOOKUP($A31,'[1]מפיצים הערכה לחציון שני '!$L:$L,'[1]מפיצים הערכה לחציון שני '!O:O)</f>
        <v>40000</v>
      </c>
      <c r="AJ31" s="17">
        <f>_xlfn.XLOOKUP($A31,'[1]מפיצים הערכה לחציון שני '!$L:$L,'[1]מפיצים הערכה לחציון שני '!P:P)</f>
        <v>20000</v>
      </c>
      <c r="AK31" s="17">
        <f>_xlfn.XLOOKUP($A31,'[1]מפיצים הערכה לחציון שני '!$L:$L,'[1]מפיצים הערכה לחציון שני '!Q:Q)</f>
        <v>40000</v>
      </c>
      <c r="AL31" s="17">
        <f>_xlfn.XLOOKUP($A31,'[1]מפיצים הערכה לחציון שני '!$L:$L,'[1]מפיצים הערכה לחציון שני '!R:R)</f>
        <v>20000</v>
      </c>
      <c r="AM31" s="17">
        <f>_xlfn.XLOOKUP($A31,'[1]מפיצים הערכה לחציון שני '!$L:$L,'[1]מפיצים הערכה לחציון שני '!S:S)</f>
        <v>40000</v>
      </c>
      <c r="AN31" s="208">
        <f>_xlfn.XLOOKUP($A31,'[1]מפיצים הערכה לחציון שני '!$L:$L,'[1]מפיצים הערכה לחציון שני '!T:T)</f>
        <v>15000</v>
      </c>
      <c r="AO31" s="218">
        <f t="shared" si="5"/>
        <v>175000</v>
      </c>
      <c r="AP31" s="213">
        <f t="shared" si="17"/>
        <v>386409.54399999999</v>
      </c>
      <c r="AR31" s="236">
        <f t="shared" si="7"/>
        <v>243207.09</v>
      </c>
      <c r="AS31" s="17">
        <f t="shared" si="18"/>
        <v>263207.08999999997</v>
      </c>
      <c r="AT31" s="17">
        <f t="shared" si="20"/>
        <v>303207.08999999997</v>
      </c>
      <c r="AU31" s="17">
        <f t="shared" si="21"/>
        <v>323207.08999999997</v>
      </c>
      <c r="AV31" s="17">
        <f t="shared" si="22"/>
        <v>363207.08999999997</v>
      </c>
      <c r="AW31" s="237">
        <f t="shared" si="23"/>
        <v>378207.08999999997</v>
      </c>
    </row>
    <row r="32" spans="1:49" ht="15" x14ac:dyDescent="0.25">
      <c r="A32" s="2">
        <v>29</v>
      </c>
      <c r="B32" s="5" t="s">
        <v>81</v>
      </c>
      <c r="C32" s="109" t="s">
        <v>29</v>
      </c>
      <c r="D32" s="3" t="s">
        <v>30</v>
      </c>
      <c r="E32" s="71"/>
      <c r="F32" s="71"/>
      <c r="G32" s="71"/>
      <c r="H32" s="71">
        <v>35000</v>
      </c>
      <c r="I32" s="71"/>
      <c r="J32" s="71"/>
      <c r="K32" s="71"/>
      <c r="L32" s="71"/>
      <c r="M32" s="71"/>
      <c r="N32" s="71">
        <v>35000</v>
      </c>
      <c r="O32" s="71"/>
      <c r="P32" s="71"/>
      <c r="Q32" s="72">
        <f t="shared" si="19"/>
        <v>70000</v>
      </c>
      <c r="R32" s="17">
        <v>70000</v>
      </c>
      <c r="S32" s="32">
        <f t="shared" si="24"/>
        <v>0</v>
      </c>
      <c r="T32" s="7">
        <f t="shared" si="25"/>
        <v>0</v>
      </c>
      <c r="U32" s="32">
        <f>SUM($E32:F32)</f>
        <v>0</v>
      </c>
      <c r="V32" s="32">
        <f>SUM($E32:G32)</f>
        <v>0</v>
      </c>
      <c r="W32" s="32">
        <f>SUM($E32:H32)</f>
        <v>35000</v>
      </c>
      <c r="X32" s="32">
        <f>SUM($E32:I32)</f>
        <v>35000</v>
      </c>
      <c r="Y32" s="32">
        <f>SUM($E32:J32)</f>
        <v>35000</v>
      </c>
      <c r="Z32" s="32">
        <f>SUM($E32:K32)</f>
        <v>35000</v>
      </c>
      <c r="AA32" s="32">
        <f>SUM($E32:L32)</f>
        <v>35000</v>
      </c>
      <c r="AB32" s="32">
        <f>SUM($E32:M32)</f>
        <v>35000</v>
      </c>
      <c r="AC32" s="32">
        <f>SUM($E32:N32)</f>
        <v>70000</v>
      </c>
      <c r="AD32" s="32">
        <f>SUM($E32:O32)</f>
        <v>70000</v>
      </c>
      <c r="AE32" s="32">
        <f>SUM($E32:P32)</f>
        <v>70000</v>
      </c>
      <c r="AG32" s="218">
        <f>_xlfn.XLOOKUP(A32,'מצטבר יוני'!A:A,'מצטבר יוני'!H:H)</f>
        <v>43116.44</v>
      </c>
      <c r="AI32" s="17">
        <f>_xlfn.XLOOKUP($A32,'[1]מפיצים הערכה לחציון שני '!$L:$L,'[1]מפיצים הערכה לחציון שני '!O:O)</f>
        <v>0</v>
      </c>
      <c r="AJ32" s="17">
        <f>_xlfn.XLOOKUP($A32,'[1]מפיצים הערכה לחציון שני '!$L:$L,'[1]מפיצים הערכה לחציון שני '!P:P)</f>
        <v>0</v>
      </c>
      <c r="AK32" s="17">
        <f>_xlfn.XLOOKUP($A32,'[1]מפיצים הערכה לחציון שני '!$L:$L,'[1]מפיצים הערכה לחציון שני '!Q:Q)</f>
        <v>0</v>
      </c>
      <c r="AL32" s="17">
        <f>_xlfn.XLOOKUP($A32,'[1]מפיצים הערכה לחציון שני '!$L:$L,'[1]מפיצים הערכה לחציון שני '!R:R)</f>
        <v>30000</v>
      </c>
      <c r="AM32" s="17">
        <f>_xlfn.XLOOKUP($A32,'[1]מפיצים הערכה לחציון שני '!$L:$L,'[1]מפיצים הערכה לחציון שני '!S:S)</f>
        <v>0</v>
      </c>
      <c r="AN32" s="208">
        <f>_xlfn.XLOOKUP($A32,'[1]מפיצים הערכה לחציון שני '!$L:$L,'[1]מפיצים הערכה לחציון שני '!T:T)</f>
        <v>0</v>
      </c>
      <c r="AO32" s="218">
        <f t="shared" si="5"/>
        <v>30000</v>
      </c>
      <c r="AP32" s="213">
        <f t="shared" si="17"/>
        <v>65000</v>
      </c>
      <c r="AR32" s="236">
        <f t="shared" si="7"/>
        <v>43116.44</v>
      </c>
      <c r="AS32" s="17">
        <f t="shared" si="18"/>
        <v>43116.44</v>
      </c>
      <c r="AT32" s="17">
        <f t="shared" si="20"/>
        <v>43116.44</v>
      </c>
      <c r="AU32" s="17">
        <f t="shared" si="21"/>
        <v>73116.44</v>
      </c>
      <c r="AV32" s="17">
        <f t="shared" si="22"/>
        <v>73116.44</v>
      </c>
      <c r="AW32" s="237">
        <f t="shared" si="23"/>
        <v>73116.44</v>
      </c>
    </row>
    <row r="33" spans="1:49" ht="15" x14ac:dyDescent="0.25">
      <c r="A33" s="2">
        <v>30</v>
      </c>
      <c r="B33" s="5" t="s">
        <v>76</v>
      </c>
      <c r="C33" s="109" t="s">
        <v>34</v>
      </c>
      <c r="D33" s="3" t="s">
        <v>30</v>
      </c>
      <c r="E33" s="71"/>
      <c r="F33" s="71"/>
      <c r="G33" s="71">
        <v>20000</v>
      </c>
      <c r="H33" s="71"/>
      <c r="I33" s="71"/>
      <c r="J33" s="71"/>
      <c r="K33" s="71">
        <v>20000</v>
      </c>
      <c r="L33" s="71"/>
      <c r="M33" s="71"/>
      <c r="N33" s="71"/>
      <c r="O33" s="71">
        <f>20000-207</f>
        <v>19793</v>
      </c>
      <c r="P33" s="71"/>
      <c r="Q33" s="72">
        <f t="shared" si="19"/>
        <v>59793</v>
      </c>
      <c r="R33" s="17">
        <v>59793.3</v>
      </c>
      <c r="S33" s="32">
        <f t="shared" si="24"/>
        <v>0</v>
      </c>
      <c r="T33" s="7">
        <f t="shared" si="25"/>
        <v>0.30000000000291038</v>
      </c>
      <c r="U33" s="32">
        <f>SUM($E33:F33)</f>
        <v>0</v>
      </c>
      <c r="V33" s="32">
        <f>SUM($E33:G33)</f>
        <v>20000</v>
      </c>
      <c r="W33" s="32">
        <f>SUM($E33:H33)</f>
        <v>20000</v>
      </c>
      <c r="X33" s="32">
        <f>SUM($E33:I33)</f>
        <v>20000</v>
      </c>
      <c r="Y33" s="32">
        <f>SUM($E33:J33)</f>
        <v>20000</v>
      </c>
      <c r="Z33" s="32">
        <f>SUM($E33:K33)</f>
        <v>40000</v>
      </c>
      <c r="AA33" s="32">
        <f>SUM($E33:L33)</f>
        <v>40000</v>
      </c>
      <c r="AB33" s="32">
        <f>SUM($E33:M33)</f>
        <v>40000</v>
      </c>
      <c r="AC33" s="32">
        <f>SUM($E33:N33)</f>
        <v>40000</v>
      </c>
      <c r="AD33" s="32">
        <f>SUM($E33:O33)</f>
        <v>59793</v>
      </c>
      <c r="AE33" s="32">
        <f>SUM($E33:P33)</f>
        <v>59793</v>
      </c>
      <c r="AG33" s="218">
        <f>_xlfn.XLOOKUP(A33,'מצטבר יוני'!A:A,'מצטבר יוני'!H:H)</f>
        <v>17809.5</v>
      </c>
      <c r="AI33" s="17">
        <f>_xlfn.XLOOKUP($A33,'[1]מפיצים הערכה לחציון שני '!$L:$L,'[1]מפיצים הערכה לחציון שני '!O:O)</f>
        <v>0</v>
      </c>
      <c r="AJ33" s="17">
        <f>_xlfn.XLOOKUP($A33,'[1]מפיצים הערכה לחציון שני '!$L:$L,'[1]מפיצים הערכה לחציון שני '!P:P)</f>
        <v>0</v>
      </c>
      <c r="AK33" s="17">
        <f>_xlfn.XLOOKUP($A33,'[1]מפיצים הערכה לחציון שני '!$L:$L,'[1]מפיצים הערכה לחציון שני '!Q:Q)</f>
        <v>25000</v>
      </c>
      <c r="AL33" s="17">
        <f>_xlfn.XLOOKUP($A33,'[1]מפיצים הערכה לחציון שני '!$L:$L,'[1]מפיצים הערכה לחציון שני '!R:R)</f>
        <v>0</v>
      </c>
      <c r="AM33" s="17">
        <f>_xlfn.XLOOKUP($A33,'[1]מפיצים הערכה לחציון שני '!$L:$L,'[1]מפיצים הערכה לחציון שני '!S:S)</f>
        <v>0</v>
      </c>
      <c r="AN33" s="208">
        <f>_xlfn.XLOOKUP($A33,'[1]מפיצים הערכה לחציון שני '!$L:$L,'[1]מפיצים הערכה לחציון שני '!T:T)</f>
        <v>0</v>
      </c>
      <c r="AO33" s="218">
        <f t="shared" si="5"/>
        <v>25000</v>
      </c>
      <c r="AP33" s="213">
        <f t="shared" si="17"/>
        <v>45000</v>
      </c>
      <c r="AR33" s="236">
        <f t="shared" si="7"/>
        <v>17809.5</v>
      </c>
      <c r="AS33" s="17">
        <f t="shared" si="18"/>
        <v>17809.5</v>
      </c>
      <c r="AT33" s="17">
        <f t="shared" si="20"/>
        <v>42809.5</v>
      </c>
      <c r="AU33" s="17">
        <f t="shared" si="21"/>
        <v>42809.5</v>
      </c>
      <c r="AV33" s="17">
        <f t="shared" si="22"/>
        <v>42809.5</v>
      </c>
      <c r="AW33" s="237">
        <f t="shared" si="23"/>
        <v>42809.5</v>
      </c>
    </row>
    <row r="34" spans="1:49" ht="15" x14ac:dyDescent="0.25">
      <c r="A34" s="2">
        <v>31</v>
      </c>
      <c r="B34" s="5" t="s">
        <v>85</v>
      </c>
      <c r="C34" s="109" t="s">
        <v>32</v>
      </c>
      <c r="D34" s="3" t="s">
        <v>33</v>
      </c>
      <c r="E34" s="71"/>
      <c r="F34" s="71"/>
      <c r="G34" s="71">
        <v>18000</v>
      </c>
      <c r="H34" s="71"/>
      <c r="I34" s="71"/>
      <c r="J34" s="71"/>
      <c r="K34" s="71">
        <v>18000</v>
      </c>
      <c r="L34" s="71"/>
      <c r="M34" s="71">
        <f>85000-18000*2</f>
        <v>49000</v>
      </c>
      <c r="N34" s="71"/>
      <c r="O34" s="71"/>
      <c r="P34" s="71"/>
      <c r="Q34" s="72">
        <f t="shared" si="19"/>
        <v>85000</v>
      </c>
      <c r="R34" s="17">
        <v>85000</v>
      </c>
      <c r="S34" s="32">
        <f t="shared" si="24"/>
        <v>0</v>
      </c>
      <c r="T34" s="7">
        <f t="shared" si="25"/>
        <v>0</v>
      </c>
      <c r="U34" s="32">
        <f>SUM($E34:F34)</f>
        <v>0</v>
      </c>
      <c r="V34" s="32">
        <f>SUM($E34:G34)</f>
        <v>18000</v>
      </c>
      <c r="W34" s="32">
        <f>SUM($E34:H34)</f>
        <v>18000</v>
      </c>
      <c r="X34" s="32">
        <f>SUM($E34:I34)</f>
        <v>18000</v>
      </c>
      <c r="Y34" s="32">
        <f>SUM($E34:J34)</f>
        <v>18000</v>
      </c>
      <c r="Z34" s="32">
        <f>SUM($E34:K34)</f>
        <v>36000</v>
      </c>
      <c r="AA34" s="32">
        <f>SUM($E34:L34)</f>
        <v>36000</v>
      </c>
      <c r="AB34" s="32">
        <f>SUM($E34:M34)</f>
        <v>85000</v>
      </c>
      <c r="AC34" s="32">
        <f>SUM($E34:N34)</f>
        <v>85000</v>
      </c>
      <c r="AD34" s="32">
        <f>SUM($E34:O34)</f>
        <v>85000</v>
      </c>
      <c r="AE34" s="32">
        <f>SUM($E34:P34)</f>
        <v>85000</v>
      </c>
      <c r="AG34" s="218">
        <f>_xlfn.XLOOKUP(A34,'מצטבר יוני'!A:A,'מצטבר יוני'!H:H)</f>
        <v>0</v>
      </c>
      <c r="AI34" s="17">
        <f>_xlfn.XLOOKUP($A34,'[1]מפיצים הערכה לחציון שני '!$L:$L,'[1]מפיצים הערכה לחציון שני '!O:O)</f>
        <v>0</v>
      </c>
      <c r="AJ34" s="17">
        <f>_xlfn.XLOOKUP($A34,'[1]מפיצים הערכה לחציון שני '!$L:$L,'[1]מפיצים הערכה לחציון שני '!P:P)</f>
        <v>0</v>
      </c>
      <c r="AK34" s="17">
        <f>_xlfn.XLOOKUP($A34,'[1]מפיצים הערכה לחציון שני '!$L:$L,'[1]מפיצים הערכה לחציון שני '!Q:Q)</f>
        <v>17500</v>
      </c>
      <c r="AL34" s="17">
        <f>_xlfn.XLOOKUP($A34,'[1]מפיצים הערכה לחציון שני '!$L:$L,'[1]מפיצים הערכה לחציון שני '!R:R)</f>
        <v>0</v>
      </c>
      <c r="AM34" s="17">
        <f>_xlfn.XLOOKUP($A34,'[1]מפיצים הערכה לחציון שני '!$L:$L,'[1]מפיצים הערכה לחציון שני '!S:S)</f>
        <v>0</v>
      </c>
      <c r="AN34" s="208">
        <f>_xlfn.XLOOKUP($A34,'[1]מפיצים הערכה לחציון שני '!$L:$L,'[1]מפיצים הערכה לחציון שני '!T:T)</f>
        <v>0</v>
      </c>
      <c r="AO34" s="218">
        <f t="shared" si="5"/>
        <v>17500</v>
      </c>
      <c r="AP34" s="213">
        <f t="shared" si="17"/>
        <v>35500</v>
      </c>
      <c r="AR34" s="236">
        <f t="shared" si="7"/>
        <v>0</v>
      </c>
      <c r="AS34" s="17">
        <f t="shared" si="18"/>
        <v>0</v>
      </c>
      <c r="AT34" s="17">
        <f t="shared" si="20"/>
        <v>17500</v>
      </c>
      <c r="AU34" s="17">
        <f t="shared" si="21"/>
        <v>17500</v>
      </c>
      <c r="AV34" s="17">
        <f t="shared" si="22"/>
        <v>17500</v>
      </c>
      <c r="AW34" s="237">
        <f t="shared" si="23"/>
        <v>17500</v>
      </c>
    </row>
    <row r="35" spans="1:49" ht="15" x14ac:dyDescent="0.25">
      <c r="A35" s="2">
        <v>32</v>
      </c>
      <c r="B35" s="5" t="s">
        <v>86</v>
      </c>
      <c r="C35" s="109" t="s">
        <v>31</v>
      </c>
      <c r="D35" s="3" t="s">
        <v>49</v>
      </c>
      <c r="E35" s="71">
        <v>18792.66</v>
      </c>
      <c r="F35" s="71"/>
      <c r="G35" s="71"/>
      <c r="H35" s="71"/>
      <c r="I35" s="71">
        <f>40000-E35</f>
        <v>21207.34</v>
      </c>
      <c r="J35" s="71"/>
      <c r="K35" s="71"/>
      <c r="L35" s="71"/>
      <c r="M35" s="71"/>
      <c r="N35" s="71"/>
      <c r="O35" s="71"/>
      <c r="P35" s="71"/>
      <c r="Q35" s="72">
        <f t="shared" si="19"/>
        <v>40000</v>
      </c>
      <c r="R35" s="17">
        <v>40000</v>
      </c>
      <c r="S35" s="32">
        <f t="shared" si="24"/>
        <v>18792.66</v>
      </c>
      <c r="T35" s="7">
        <f t="shared" si="25"/>
        <v>0</v>
      </c>
      <c r="U35" s="32">
        <f>SUM($E35:F35)</f>
        <v>18792.66</v>
      </c>
      <c r="V35" s="32">
        <f>SUM($E35:G35)</f>
        <v>18792.66</v>
      </c>
      <c r="W35" s="32">
        <f>SUM($E35:H35)</f>
        <v>18792.66</v>
      </c>
      <c r="X35" s="32">
        <f>SUM($E35:I35)</f>
        <v>40000</v>
      </c>
      <c r="Y35" s="32">
        <f>SUM($E35:J35)</f>
        <v>40000</v>
      </c>
      <c r="Z35" s="32">
        <f>SUM($E35:K35)</f>
        <v>40000</v>
      </c>
      <c r="AA35" s="32">
        <f>SUM($E35:L35)</f>
        <v>40000</v>
      </c>
      <c r="AB35" s="32">
        <f>SUM($E35:M35)</f>
        <v>40000</v>
      </c>
      <c r="AC35" s="32">
        <f>SUM($E35:N35)</f>
        <v>40000</v>
      </c>
      <c r="AD35" s="32">
        <f>SUM($E35:O35)</f>
        <v>40000</v>
      </c>
      <c r="AE35" s="32">
        <f>SUM($E35:P35)</f>
        <v>40000</v>
      </c>
      <c r="AG35" s="218">
        <f>_xlfn.XLOOKUP(A35,'מצטבר יוני'!A:A,'מצטבר יוני'!H:H)</f>
        <v>18792.66</v>
      </c>
      <c r="AI35" s="17">
        <f>_xlfn.XLOOKUP($A35,'[1]מפיצים הערכה לחציון שני '!$L:$L,'[1]מפיצים הערכה לחציון שני '!O:O)</f>
        <v>0</v>
      </c>
      <c r="AJ35" s="17">
        <f>_xlfn.XLOOKUP($A35,'[1]מפיצים הערכה לחציון שני '!$L:$L,'[1]מפיצים הערכה לחציון שני '!P:P)</f>
        <v>20000</v>
      </c>
      <c r="AK35" s="17">
        <f>_xlfn.XLOOKUP($A35,'[1]מפיצים הערכה לחציון שני '!$L:$L,'[1]מפיצים הערכה לחציון שני '!Q:Q)</f>
        <v>0</v>
      </c>
      <c r="AL35" s="17">
        <f>_xlfn.XLOOKUP($A35,'[1]מפיצים הערכה לחציון שני '!$L:$L,'[1]מפיצים הערכה לחציון שני '!R:R)</f>
        <v>0</v>
      </c>
      <c r="AM35" s="17">
        <f>_xlfn.XLOOKUP($A35,'[1]מפיצים הערכה לחציון שני '!$L:$L,'[1]מפיצים הערכה לחציון שני '!S:S)</f>
        <v>0</v>
      </c>
      <c r="AN35" s="208">
        <f>_xlfn.XLOOKUP($A35,'[1]מפיצים הערכה לחציון שני '!$L:$L,'[1]מפיצים הערכה לחציון שני '!T:T)</f>
        <v>0</v>
      </c>
      <c r="AO35" s="218">
        <f t="shared" si="5"/>
        <v>20000</v>
      </c>
      <c r="AP35" s="213">
        <f t="shared" si="17"/>
        <v>60000</v>
      </c>
      <c r="AR35" s="236">
        <f t="shared" si="7"/>
        <v>18792.66</v>
      </c>
      <c r="AS35" s="17">
        <f t="shared" si="18"/>
        <v>38792.660000000003</v>
      </c>
      <c r="AT35" s="17">
        <f t="shared" si="20"/>
        <v>38792.660000000003</v>
      </c>
      <c r="AU35" s="17">
        <f t="shared" si="21"/>
        <v>38792.660000000003</v>
      </c>
      <c r="AV35" s="17">
        <f t="shared" si="22"/>
        <v>38792.660000000003</v>
      </c>
      <c r="AW35" s="237">
        <f t="shared" si="23"/>
        <v>38792.660000000003</v>
      </c>
    </row>
    <row r="36" spans="1:49" ht="15" x14ac:dyDescent="0.25">
      <c r="A36" s="2">
        <v>33</v>
      </c>
      <c r="B36" s="5" t="s">
        <v>83</v>
      </c>
      <c r="C36" s="109" t="s">
        <v>84</v>
      </c>
      <c r="D36" s="3" t="s">
        <v>48</v>
      </c>
      <c r="E36" s="71"/>
      <c r="F36" s="71"/>
      <c r="G36" s="71"/>
      <c r="H36" s="71"/>
      <c r="I36" s="71">
        <v>40000</v>
      </c>
      <c r="J36" s="71"/>
      <c r="K36" s="71"/>
      <c r="L36" s="71"/>
      <c r="M36" s="71"/>
      <c r="N36" s="71"/>
      <c r="O36" s="71">
        <v>40000</v>
      </c>
      <c r="P36" s="71"/>
      <c r="Q36" s="72">
        <f t="shared" si="19"/>
        <v>80000</v>
      </c>
      <c r="R36" s="17">
        <v>80000</v>
      </c>
      <c r="S36" s="32">
        <f t="shared" si="24"/>
        <v>0</v>
      </c>
      <c r="T36" s="7">
        <f t="shared" si="25"/>
        <v>0</v>
      </c>
      <c r="U36" s="32">
        <f>SUM($E36:F36)</f>
        <v>0</v>
      </c>
      <c r="V36" s="32">
        <f>SUM($E36:G36)</f>
        <v>0</v>
      </c>
      <c r="W36" s="32">
        <f>SUM($E36:H36)</f>
        <v>0</v>
      </c>
      <c r="X36" s="32">
        <f>SUM($E36:I36)</f>
        <v>40000</v>
      </c>
      <c r="Y36" s="32">
        <f>SUM($E36:J36)</f>
        <v>40000</v>
      </c>
      <c r="Z36" s="32">
        <f>SUM($E36:K36)</f>
        <v>40000</v>
      </c>
      <c r="AA36" s="32">
        <f>SUM($E36:L36)</f>
        <v>40000</v>
      </c>
      <c r="AB36" s="32">
        <f>SUM($E36:M36)</f>
        <v>40000</v>
      </c>
      <c r="AC36" s="32">
        <f>SUM($E36:N36)</f>
        <v>40000</v>
      </c>
      <c r="AD36" s="32">
        <f>SUM($E36:O36)</f>
        <v>80000</v>
      </c>
      <c r="AE36" s="32">
        <f>SUM($E36:P36)</f>
        <v>80000</v>
      </c>
      <c r="AG36" s="218">
        <f>_xlfn.XLOOKUP(A36,'מצטבר יוני'!A:A,'מצטבר יוני'!H:H)</f>
        <v>0</v>
      </c>
      <c r="AI36" s="17">
        <f>_xlfn.XLOOKUP($A36,'[1]מפיצים הערכה לחציון שני '!$L:$L,'[1]מפיצים הערכה לחציון שני '!O:O)</f>
        <v>0</v>
      </c>
      <c r="AJ36" s="17">
        <f>_xlfn.XLOOKUP($A36,'[1]מפיצים הערכה לחציון שני '!$L:$L,'[1]מפיצים הערכה לחציון שני '!P:P)</f>
        <v>0</v>
      </c>
      <c r="AK36" s="17">
        <f>_xlfn.XLOOKUP($A36,'[1]מפיצים הערכה לחציון שני '!$L:$L,'[1]מפיצים הערכה לחציון שני '!Q:Q)</f>
        <v>0</v>
      </c>
      <c r="AL36" s="17">
        <f>_xlfn.XLOOKUP($A36,'[1]מפיצים הערכה לחציון שני '!$L:$L,'[1]מפיצים הערכה לחציון שני '!R:R)</f>
        <v>0</v>
      </c>
      <c r="AM36" s="17">
        <f>_xlfn.XLOOKUP($A36,'[1]מפיצים הערכה לחציון שני '!$L:$L,'[1]מפיצים הערכה לחציון שני '!S:S)</f>
        <v>0</v>
      </c>
      <c r="AN36" s="208">
        <f>_xlfn.XLOOKUP($A36,'[1]מפיצים הערכה לחציון שני '!$L:$L,'[1]מפיצים הערכה לחציון שני '!T:T)</f>
        <v>25000</v>
      </c>
      <c r="AO36" s="218">
        <f t="shared" si="5"/>
        <v>25000</v>
      </c>
      <c r="AP36" s="213">
        <f t="shared" si="17"/>
        <v>65000</v>
      </c>
      <c r="AR36" s="236">
        <f t="shared" si="7"/>
        <v>0</v>
      </c>
      <c r="AS36" s="17">
        <f t="shared" si="18"/>
        <v>0</v>
      </c>
      <c r="AT36" s="17">
        <f t="shared" si="20"/>
        <v>0</v>
      </c>
      <c r="AU36" s="17">
        <f t="shared" si="21"/>
        <v>0</v>
      </c>
      <c r="AV36" s="17">
        <f t="shared" si="22"/>
        <v>0</v>
      </c>
      <c r="AW36" s="237">
        <f t="shared" si="23"/>
        <v>25000</v>
      </c>
    </row>
    <row r="37" spans="1:49" ht="15" x14ac:dyDescent="0.25">
      <c r="A37" s="2">
        <v>34</v>
      </c>
      <c r="B37" s="5"/>
      <c r="C37" s="109" t="s">
        <v>35</v>
      </c>
      <c r="D37" s="3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>
        <v>20000</v>
      </c>
      <c r="P37" s="71"/>
      <c r="Q37" s="72"/>
      <c r="R37" s="17">
        <v>20000</v>
      </c>
      <c r="S37" s="32"/>
      <c r="T37" s="7">
        <f t="shared" si="25"/>
        <v>20000</v>
      </c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G37" s="218">
        <f>_xlfn.XLOOKUP(A37,'מצטבר יוני'!A:A,'מצטבר יוני'!H:H)</f>
        <v>0</v>
      </c>
      <c r="AI37" s="17">
        <f>_xlfn.XLOOKUP($A37,'[1]מפיצים הערכה לחציון שני '!$L:$L,'[1]מפיצים הערכה לחציון שני '!O:O)</f>
        <v>0</v>
      </c>
      <c r="AJ37" s="17">
        <f>_xlfn.XLOOKUP($A37,'[1]מפיצים הערכה לחציון שני '!$L:$L,'[1]מפיצים הערכה לחציון שני '!P:P)</f>
        <v>0</v>
      </c>
      <c r="AK37" s="17">
        <f>_xlfn.XLOOKUP($A37,'[1]מפיצים הערכה לחציון שני '!$L:$L,'[1]מפיצים הערכה לחציון שני '!Q:Q)</f>
        <v>0</v>
      </c>
      <c r="AL37" s="17">
        <f>_xlfn.XLOOKUP($A37,'[1]מפיצים הערכה לחציון שני '!$L:$L,'[1]מפיצים הערכה לחציון שני '!R:R)</f>
        <v>0</v>
      </c>
      <c r="AM37" s="17">
        <f>_xlfn.XLOOKUP($A37,'[1]מפיצים הערכה לחציון שני '!$L:$L,'[1]מפיצים הערכה לחציון שני '!S:S)</f>
        <v>0</v>
      </c>
      <c r="AN37" s="208">
        <f>_xlfn.XLOOKUP($A37,'[1]מפיצים הערכה לחציון שני '!$L:$L,'[1]מפיצים הערכה לחציון שני '!T:T)</f>
        <v>0</v>
      </c>
      <c r="AO37" s="218">
        <f t="shared" si="5"/>
        <v>0</v>
      </c>
      <c r="AP37" s="213">
        <f t="shared" si="17"/>
        <v>0</v>
      </c>
      <c r="AR37" s="236">
        <f t="shared" si="7"/>
        <v>0</v>
      </c>
      <c r="AS37" s="17">
        <f t="shared" si="18"/>
        <v>0</v>
      </c>
      <c r="AT37" s="17">
        <f t="shared" si="20"/>
        <v>0</v>
      </c>
      <c r="AU37" s="17">
        <f t="shared" si="21"/>
        <v>0</v>
      </c>
      <c r="AV37" s="17">
        <f t="shared" si="22"/>
        <v>0</v>
      </c>
      <c r="AW37" s="237">
        <f t="shared" si="23"/>
        <v>0</v>
      </c>
    </row>
    <row r="38" spans="1:49" ht="15" x14ac:dyDescent="0.25">
      <c r="A38" s="14">
        <v>35</v>
      </c>
      <c r="B38" s="5" t="s">
        <v>109</v>
      </c>
      <c r="C38" s="109" t="s">
        <v>70</v>
      </c>
      <c r="D38" s="225" t="s">
        <v>38</v>
      </c>
      <c r="E38" s="226"/>
      <c r="F38" s="226"/>
      <c r="G38" s="226"/>
      <c r="H38" s="226">
        <v>200000</v>
      </c>
      <c r="I38" s="226"/>
      <c r="J38" s="226"/>
      <c r="K38" s="226"/>
      <c r="L38" s="226">
        <v>200000</v>
      </c>
      <c r="M38" s="226"/>
      <c r="N38" s="226"/>
      <c r="O38" s="226">
        <v>200000</v>
      </c>
      <c r="P38" s="226"/>
      <c r="Q38" s="227">
        <f t="shared" si="19"/>
        <v>600000</v>
      </c>
      <c r="R38" s="228">
        <v>600000</v>
      </c>
      <c r="S38" s="229">
        <f>SUM(E38:E38)</f>
        <v>0</v>
      </c>
      <c r="T38" s="7">
        <f t="shared" si="25"/>
        <v>0</v>
      </c>
      <c r="U38" s="229">
        <f>SUM($E38:F38)</f>
        <v>0</v>
      </c>
      <c r="V38" s="229">
        <f>SUM($E38:G38)</f>
        <v>0</v>
      </c>
      <c r="W38" s="229">
        <f>SUM($E38:H38)</f>
        <v>200000</v>
      </c>
      <c r="X38" s="229">
        <f>SUM($E38:I38)</f>
        <v>200000</v>
      </c>
      <c r="Y38" s="229">
        <f>SUM($E38:J38)</f>
        <v>200000</v>
      </c>
      <c r="Z38" s="229">
        <f>SUM($E38:K38)</f>
        <v>200000</v>
      </c>
      <c r="AA38" s="229">
        <f>SUM($E38:L38)</f>
        <v>400000</v>
      </c>
      <c r="AB38" s="229">
        <f>SUM($E38:M38)</f>
        <v>400000</v>
      </c>
      <c r="AC38" s="229">
        <f>SUM($E38:N38)</f>
        <v>400000</v>
      </c>
      <c r="AD38" s="229">
        <f>SUM($E38:O38)</f>
        <v>600000</v>
      </c>
      <c r="AE38" s="229">
        <f>SUM($E38:P38)</f>
        <v>600000</v>
      </c>
      <c r="AG38" s="230">
        <f>_xlfn.XLOOKUP(A38,'מצטבר יוני'!A:A,'מצטבר יוני'!H:H)</f>
        <v>0</v>
      </c>
      <c r="AI38" s="228">
        <f>_xlfn.XLOOKUP($A38,'[1]מפיצים הערכה לחציון שני '!$L:$L,'[1]מפיצים הערכה לחציון שני '!O:O)</f>
        <v>0</v>
      </c>
      <c r="AJ38" s="228">
        <f>_xlfn.XLOOKUP($A38,'[1]מפיצים הערכה לחציון שני '!$L:$L,'[1]מפיצים הערכה לחציון שני '!P:P)</f>
        <v>0</v>
      </c>
      <c r="AK38" s="228">
        <f>_xlfn.XLOOKUP($A38,'[1]מפיצים הערכה לחציון שני '!$L:$L,'[1]מפיצים הערכה לחציון שני '!Q:Q)</f>
        <v>0</v>
      </c>
      <c r="AL38" s="228">
        <f>_xlfn.XLOOKUP($A38,'[1]מפיצים הערכה לחציון שני '!$L:$L,'[1]מפיצים הערכה לחציון שני '!R:R)</f>
        <v>0</v>
      </c>
      <c r="AM38" s="228">
        <f>_xlfn.XLOOKUP($A38,'[1]מפיצים הערכה לחציון שני '!$L:$L,'[1]מפיצים הערכה לחציון שני '!S:S)</f>
        <v>0</v>
      </c>
      <c r="AN38" s="231">
        <f>_xlfn.XLOOKUP($A38,'[1]מפיצים הערכה לחציון שני '!$L:$L,'[1]מפיצים הערכה לחציון שני '!T:T)</f>
        <v>0</v>
      </c>
      <c r="AO38" s="230">
        <f t="shared" si="5"/>
        <v>0</v>
      </c>
      <c r="AP38" s="232">
        <f t="shared" si="17"/>
        <v>200000</v>
      </c>
      <c r="AR38" s="240">
        <f t="shared" si="7"/>
        <v>0</v>
      </c>
      <c r="AS38" s="228">
        <f t="shared" si="18"/>
        <v>0</v>
      </c>
      <c r="AT38" s="228">
        <f t="shared" si="20"/>
        <v>0</v>
      </c>
      <c r="AU38" s="228">
        <f t="shared" si="21"/>
        <v>0</v>
      </c>
      <c r="AV38" s="228">
        <f t="shared" si="22"/>
        <v>0</v>
      </c>
      <c r="AW38" s="241">
        <f t="shared" si="23"/>
        <v>0</v>
      </c>
    </row>
    <row r="39" spans="1:49" ht="15.75" thickBot="1" x14ac:dyDescent="0.3">
      <c r="A39" s="2">
        <v>36</v>
      </c>
      <c r="B39" s="5" t="s">
        <v>90</v>
      </c>
      <c r="C39" s="109" t="s">
        <v>91</v>
      </c>
      <c r="D39" s="3"/>
      <c r="E39" s="71"/>
      <c r="F39" s="71"/>
      <c r="G39" s="71"/>
      <c r="H39" s="71"/>
      <c r="I39" s="71"/>
      <c r="J39" s="71">
        <v>200000</v>
      </c>
      <c r="K39" s="71"/>
      <c r="L39" s="71"/>
      <c r="M39" s="71"/>
      <c r="N39" s="71"/>
      <c r="O39" s="71">
        <v>200000</v>
      </c>
      <c r="P39" s="71"/>
      <c r="Q39" s="72">
        <f t="shared" si="19"/>
        <v>400000</v>
      </c>
      <c r="R39" s="17">
        <v>400000</v>
      </c>
      <c r="S39" s="32">
        <f>SUM(E39:E39)</f>
        <v>0</v>
      </c>
      <c r="T39" s="7">
        <f t="shared" si="25"/>
        <v>0</v>
      </c>
      <c r="U39" s="32">
        <f>SUM($E39:F39)</f>
        <v>0</v>
      </c>
      <c r="V39" s="32">
        <f>SUM($E39:G39)</f>
        <v>0</v>
      </c>
      <c r="W39" s="32">
        <f>SUM($E39:H39)</f>
        <v>0</v>
      </c>
      <c r="X39" s="32">
        <f>SUM($E39:I39)</f>
        <v>0</v>
      </c>
      <c r="Y39" s="32">
        <f>SUM($E39:J39)</f>
        <v>200000</v>
      </c>
      <c r="Z39" s="32">
        <f>SUM($E39:K39)</f>
        <v>200000</v>
      </c>
      <c r="AA39" s="32">
        <f>SUM($E39:L39)</f>
        <v>200000</v>
      </c>
      <c r="AB39" s="32">
        <f>SUM($E39:M39)</f>
        <v>200000</v>
      </c>
      <c r="AC39" s="32">
        <f>SUM($E39:N39)</f>
        <v>200000</v>
      </c>
      <c r="AD39" s="32">
        <f>SUM($E39:O39)</f>
        <v>400000</v>
      </c>
      <c r="AE39" s="32">
        <f>SUM($E39:P39)</f>
        <v>400000</v>
      </c>
      <c r="AG39" s="218">
        <f>_xlfn.XLOOKUP(A39,'מצטבר יוני'!A:A,'מצטבר יוני'!H:H)</f>
        <v>0</v>
      </c>
      <c r="AI39" s="17">
        <f>_xlfn.XLOOKUP($A39,'[1]מפיצים הערכה לחציון שני '!$L:$L,'[1]מפיצים הערכה לחציון שני '!O:O)</f>
        <v>0</v>
      </c>
      <c r="AJ39" s="17">
        <f>_xlfn.XLOOKUP($A39,'[1]מפיצים הערכה לחציון שני '!$L:$L,'[1]מפיצים הערכה לחציון שני '!P:P)</f>
        <v>0</v>
      </c>
      <c r="AK39" s="17">
        <f>_xlfn.XLOOKUP($A39,'[1]מפיצים הערכה לחציון שני '!$L:$L,'[1]מפיצים הערכה לחציון שני '!Q:Q)</f>
        <v>0</v>
      </c>
      <c r="AL39" s="17">
        <f>_xlfn.XLOOKUP($A39,'[1]מפיצים הערכה לחציון שני '!$L:$L,'[1]מפיצים הערכה לחציון שני '!R:R)</f>
        <v>100000</v>
      </c>
      <c r="AM39" s="17">
        <f>_xlfn.XLOOKUP($A39,'[1]מפיצים הערכה לחציון שני '!$L:$L,'[1]מפיצים הערכה לחציון שני '!S:S)</f>
        <v>0</v>
      </c>
      <c r="AN39" s="208">
        <f>_xlfn.XLOOKUP($A39,'[1]מפיצים הערכה לחציון שני '!$L:$L,'[1]מפיצים הערכה לחציון שני '!T:T)</f>
        <v>0</v>
      </c>
      <c r="AO39" s="218">
        <f t="shared" si="5"/>
        <v>100000</v>
      </c>
      <c r="AP39" s="213">
        <f t="shared" si="17"/>
        <v>300000</v>
      </c>
      <c r="AR39" s="236">
        <f t="shared" si="7"/>
        <v>0</v>
      </c>
      <c r="AS39" s="17">
        <f t="shared" si="18"/>
        <v>0</v>
      </c>
      <c r="AT39" s="17">
        <f t="shared" si="20"/>
        <v>0</v>
      </c>
      <c r="AU39" s="17">
        <f t="shared" si="21"/>
        <v>100000</v>
      </c>
      <c r="AV39" s="17">
        <f t="shared" si="22"/>
        <v>100000</v>
      </c>
      <c r="AW39" s="237">
        <f t="shared" si="23"/>
        <v>100000</v>
      </c>
    </row>
    <row r="40" spans="1:49" ht="15" thickBot="1" x14ac:dyDescent="0.25">
      <c r="A40" s="105"/>
      <c r="B40" s="105" t="s">
        <v>42</v>
      </c>
      <c r="C40" s="105"/>
      <c r="D40" s="105"/>
      <c r="E40" s="19">
        <f t="shared" ref="E40:Q40" si="27">SUM(E22:E39)</f>
        <v>526326.77011249994</v>
      </c>
      <c r="F40" s="19">
        <f t="shared" si="27"/>
        <v>624144.32429999998</v>
      </c>
      <c r="G40" s="19">
        <f t="shared" si="27"/>
        <v>542589.520425</v>
      </c>
      <c r="H40" s="19">
        <f t="shared" si="27"/>
        <v>946901.26630000002</v>
      </c>
      <c r="I40" s="19">
        <f t="shared" si="27"/>
        <v>856658.88679999998</v>
      </c>
      <c r="J40" s="19">
        <f t="shared" si="27"/>
        <v>758228.8293000001</v>
      </c>
      <c r="K40" s="19">
        <f t="shared" si="27"/>
        <v>1015167.992175</v>
      </c>
      <c r="L40" s="19">
        <f t="shared" si="27"/>
        <v>1146567.022175</v>
      </c>
      <c r="M40" s="19">
        <f t="shared" si="27"/>
        <v>688160.54454999999</v>
      </c>
      <c r="N40" s="19">
        <f t="shared" si="27"/>
        <v>689745.59680000006</v>
      </c>
      <c r="O40" s="19">
        <f t="shared" si="27"/>
        <v>1412960.1577375</v>
      </c>
      <c r="P40" s="27">
        <f t="shared" si="27"/>
        <v>593921.60261249996</v>
      </c>
      <c r="Q40" s="60">
        <f t="shared" si="27"/>
        <v>9781372.5132874995</v>
      </c>
      <c r="R40" s="60">
        <f t="shared" ref="R40" si="28">SUM(R22:R39)</f>
        <v>5024793.3</v>
      </c>
      <c r="S40" s="60">
        <f t="shared" ref="S40:U40" si="29">SUM(S22:S39)</f>
        <v>526326.77011249994</v>
      </c>
      <c r="T40" s="7">
        <f t="shared" si="25"/>
        <v>-4756579.2132874997</v>
      </c>
      <c r="U40" s="60">
        <f t="shared" si="29"/>
        <v>1150471.0944125</v>
      </c>
      <c r="V40" s="60">
        <f t="shared" ref="V40:W40" si="30">SUM(V22:V39)</f>
        <v>1693060.6148374998</v>
      </c>
      <c r="W40" s="60">
        <f t="shared" si="30"/>
        <v>2639961.8811375001</v>
      </c>
      <c r="X40" s="60">
        <f t="shared" ref="X40:Y40" si="31">SUM(X22:X39)</f>
        <v>3496620.7679374996</v>
      </c>
      <c r="Y40" s="60">
        <f t="shared" si="31"/>
        <v>4254849.5972374994</v>
      </c>
      <c r="Z40" s="60">
        <f t="shared" ref="Z40:AA40" si="32">SUM(Z22:Z39)</f>
        <v>5270017.5894125002</v>
      </c>
      <c r="AA40" s="60">
        <f t="shared" si="32"/>
        <v>6416584.6115875002</v>
      </c>
      <c r="AB40" s="60">
        <f t="shared" ref="AB40:AC40" si="33">SUM(AB22:AB39)</f>
        <v>7104745.156137499</v>
      </c>
      <c r="AC40" s="60">
        <f t="shared" si="33"/>
        <v>7794490.7529374994</v>
      </c>
      <c r="AD40" s="60">
        <f t="shared" ref="AD40:AG40" si="34">SUM(AD22:AD39)</f>
        <v>9187450.9106749985</v>
      </c>
      <c r="AE40" s="60">
        <f t="shared" si="34"/>
        <v>9781372.5132874995</v>
      </c>
      <c r="AG40" s="223">
        <f t="shared" si="34"/>
        <v>2801213.8399999994</v>
      </c>
      <c r="AI40" s="118">
        <f t="shared" ref="AI40:AO40" si="35">SUM(AI22:AI39)</f>
        <v>565966.80000000005</v>
      </c>
      <c r="AJ40" s="118">
        <f t="shared" si="35"/>
        <v>495012.39999999997</v>
      </c>
      <c r="AK40" s="118">
        <f t="shared" si="35"/>
        <v>779615.8</v>
      </c>
      <c r="AL40" s="118">
        <f t="shared" si="35"/>
        <v>871888.6</v>
      </c>
      <c r="AM40" s="118">
        <f t="shared" si="35"/>
        <v>771122.5</v>
      </c>
      <c r="AN40" s="206">
        <f t="shared" si="35"/>
        <v>487561</v>
      </c>
      <c r="AO40" s="220">
        <f t="shared" si="35"/>
        <v>3971167.1</v>
      </c>
      <c r="AP40" s="215">
        <f>SUM(AP22:AP39)</f>
        <v>8226016.6972375</v>
      </c>
      <c r="AR40" s="220">
        <f t="shared" si="7"/>
        <v>3367180.6399999997</v>
      </c>
      <c r="AS40" s="118">
        <f t="shared" ref="AS40:AV40" si="36">SUM(AS22:AS39)</f>
        <v>3862193.0399999996</v>
      </c>
      <c r="AT40" s="118">
        <f t="shared" si="36"/>
        <v>4641808.84</v>
      </c>
      <c r="AU40" s="118">
        <f t="shared" si="36"/>
        <v>5513697.4399999995</v>
      </c>
      <c r="AV40" s="118">
        <f t="shared" si="36"/>
        <v>6284819.9399999995</v>
      </c>
      <c r="AW40" s="118">
        <f>SUM(AW22:AW39)</f>
        <v>6772380.9399999995</v>
      </c>
    </row>
    <row r="41" spans="1:49" ht="15" thickBot="1" x14ac:dyDescent="0.25">
      <c r="A41" s="106"/>
      <c r="B41" s="106" t="s">
        <v>64</v>
      </c>
      <c r="C41" s="106"/>
      <c r="D41" s="106"/>
      <c r="E41" s="28">
        <f t="shared" ref="E41:Q41" si="37">E40+E21</f>
        <v>2378890.5346040251</v>
      </c>
      <c r="F41" s="28">
        <f t="shared" si="37"/>
        <v>2671040.9513150654</v>
      </c>
      <c r="G41" s="28">
        <f t="shared" si="37"/>
        <v>2775894.3395304615</v>
      </c>
      <c r="H41" s="28">
        <f t="shared" si="37"/>
        <v>2944067.6673263656</v>
      </c>
      <c r="I41" s="28">
        <f t="shared" si="37"/>
        <v>3153822.4629676077</v>
      </c>
      <c r="J41" s="28">
        <f t="shared" si="37"/>
        <v>3481428.3753357818</v>
      </c>
      <c r="K41" s="28">
        <f t="shared" si="37"/>
        <v>3827194.6568548493</v>
      </c>
      <c r="L41" s="28">
        <f t="shared" si="37"/>
        <v>4141049.6190582388</v>
      </c>
      <c r="M41" s="28">
        <f t="shared" si="37"/>
        <v>3373969.6951055555</v>
      </c>
      <c r="N41" s="28">
        <f t="shared" si="37"/>
        <v>3737220.3782406775</v>
      </c>
      <c r="O41" s="28">
        <f t="shared" si="37"/>
        <v>4914196.1444512475</v>
      </c>
      <c r="P41" s="29">
        <f t="shared" si="37"/>
        <v>3862704.3878196562</v>
      </c>
      <c r="Q41" s="61">
        <f t="shared" si="37"/>
        <v>41241479.212609537</v>
      </c>
      <c r="R41" s="61">
        <f t="shared" ref="R41" si="38">R40+R21</f>
        <v>5024793.3</v>
      </c>
      <c r="S41" s="61">
        <f t="shared" ref="S41:U41" si="39">S40+S21</f>
        <v>2378890.5346040251</v>
      </c>
      <c r="U41" s="61">
        <f t="shared" si="39"/>
        <v>5049931.4859190909</v>
      </c>
      <c r="V41" s="61">
        <f t="shared" ref="V41:W41" si="40">V40+V21</f>
        <v>7825825.8254495524</v>
      </c>
      <c r="W41" s="61">
        <f t="shared" si="40"/>
        <v>10769893.492775917</v>
      </c>
      <c r="X41" s="61">
        <f t="shared" ref="X41:Y41" si="41">X40+X21</f>
        <v>13923715.955743527</v>
      </c>
      <c r="Y41" s="61">
        <f t="shared" si="41"/>
        <v>17405144.331079308</v>
      </c>
      <c r="Z41" s="61">
        <f t="shared" ref="Z41:AA41" si="42">Z40+Z21</f>
        <v>21232338.987934161</v>
      </c>
      <c r="AA41" s="61">
        <f t="shared" si="42"/>
        <v>25373388.606992394</v>
      </c>
      <c r="AB41" s="61">
        <f t="shared" ref="AB41:AC41" si="43">AB40+AB21</f>
        <v>28747358.302097954</v>
      </c>
      <c r="AC41" s="61">
        <f t="shared" si="43"/>
        <v>32484578.680338629</v>
      </c>
      <c r="AD41" s="61">
        <f t="shared" ref="AD41:AG41" si="44">AD40+AD21</f>
        <v>37378774.824789874</v>
      </c>
      <c r="AE41" s="61">
        <f t="shared" si="44"/>
        <v>41241479.212609537</v>
      </c>
      <c r="AG41" s="224">
        <f t="shared" si="44"/>
        <v>12671808.107000031</v>
      </c>
      <c r="AI41" s="119">
        <f t="shared" ref="AI41:AO41" si="45">AI40+AI21</f>
        <v>2665966.7999999998</v>
      </c>
      <c r="AJ41" s="120">
        <f t="shared" si="45"/>
        <v>2626512.4</v>
      </c>
      <c r="AK41" s="120">
        <f t="shared" si="45"/>
        <v>3406716.6474576276</v>
      </c>
      <c r="AL41" s="120">
        <f t="shared" si="45"/>
        <v>3681445.3796610171</v>
      </c>
      <c r="AM41" s="120">
        <f t="shared" si="45"/>
        <v>3433922.5</v>
      </c>
      <c r="AN41" s="211">
        <f t="shared" si="45"/>
        <v>3438082.1864406783</v>
      </c>
      <c r="AO41" s="119">
        <f t="shared" si="45"/>
        <v>19252645.913559325</v>
      </c>
      <c r="AP41" s="120">
        <f>AP40+AP21</f>
        <v>36657790.244638629</v>
      </c>
      <c r="AR41" s="119">
        <f t="shared" si="7"/>
        <v>15337774.907000031</v>
      </c>
      <c r="AS41" s="120">
        <f t="shared" ref="AS41:AV41" si="46">AS40+AS21</f>
        <v>17964287.30700003</v>
      </c>
      <c r="AT41" s="120">
        <f t="shared" si="46"/>
        <v>21371003.954457656</v>
      </c>
      <c r="AU41" s="120">
        <f t="shared" si="46"/>
        <v>25052449.334118672</v>
      </c>
      <c r="AV41" s="120">
        <f t="shared" si="46"/>
        <v>28486371.834118672</v>
      </c>
      <c r="AW41" s="120">
        <f>AW40+AW21</f>
        <v>31924454.020559348</v>
      </c>
    </row>
    <row r="42" spans="1:49" ht="15" thickBot="1" x14ac:dyDescent="0.25">
      <c r="H42" s="70"/>
      <c r="S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G42" s="65"/>
    </row>
    <row r="43" spans="1:49" x14ac:dyDescent="0.2">
      <c r="B43" s="20"/>
      <c r="C43" s="21"/>
      <c r="D43" s="21" t="s">
        <v>10</v>
      </c>
      <c r="E43" s="21" t="s">
        <v>60</v>
      </c>
      <c r="F43" s="21" t="s">
        <v>61</v>
      </c>
      <c r="G43" s="21" t="s">
        <v>59</v>
      </c>
      <c r="H43" s="26" t="s">
        <v>58</v>
      </c>
      <c r="I43" s="26" t="s">
        <v>57</v>
      </c>
      <c r="J43" s="21" t="s">
        <v>56</v>
      </c>
      <c r="K43" s="21" t="s">
        <v>55</v>
      </c>
      <c r="L43" s="21" t="s">
        <v>54</v>
      </c>
      <c r="M43" s="21" t="s">
        <v>53</v>
      </c>
      <c r="N43" s="26" t="s">
        <v>52</v>
      </c>
      <c r="O43" s="21" t="s">
        <v>51</v>
      </c>
      <c r="P43" s="31" t="s">
        <v>50</v>
      </c>
      <c r="Q43" s="59" t="s">
        <v>62</v>
      </c>
    </row>
    <row r="44" spans="1:49" x14ac:dyDescent="0.2">
      <c r="B44" s="2" t="s">
        <v>1</v>
      </c>
      <c r="C44" s="2" t="s">
        <v>1</v>
      </c>
      <c r="D44" s="3" t="s">
        <v>40</v>
      </c>
      <c r="E44" s="73">
        <f t="shared" ref="E44:P44" si="47">E5/$Q5</f>
        <v>7.0105820105820102E-2</v>
      </c>
      <c r="F44" s="73">
        <f t="shared" si="47"/>
        <v>6.6767447719828676E-2</v>
      </c>
      <c r="G44" s="73">
        <f t="shared" si="47"/>
        <v>7.6782564877802967E-2</v>
      </c>
      <c r="H44" s="73">
        <f t="shared" si="47"/>
        <v>6.8657092466616276E-2</v>
      </c>
      <c r="I44" s="73">
        <f t="shared" si="47"/>
        <v>7.4703955656336613E-2</v>
      </c>
      <c r="J44" s="73">
        <f t="shared" si="47"/>
        <v>9.3285462333081368E-2</v>
      </c>
      <c r="K44" s="73">
        <f t="shared" si="47"/>
        <v>9.3285462333081368E-2</v>
      </c>
      <c r="L44" s="73">
        <f t="shared" si="47"/>
        <v>9.3285462333081368E-2</v>
      </c>
      <c r="M44" s="73">
        <f t="shared" si="47"/>
        <v>8.3270345175107077E-2</v>
      </c>
      <c r="N44" s="73">
        <f t="shared" si="47"/>
        <v>8.9947089947089942E-2</v>
      </c>
      <c r="O44" s="73">
        <f t="shared" si="47"/>
        <v>9.3285462333081368E-2</v>
      </c>
      <c r="P44" s="73">
        <f t="shared" si="47"/>
        <v>9.6623834719072821E-2</v>
      </c>
      <c r="Q44" s="74">
        <f t="shared" ref="Q44" si="48">SUM(E44:P44)</f>
        <v>0.99999999999999978</v>
      </c>
      <c r="R44"/>
    </row>
    <row r="45" spans="1:49" x14ac:dyDescent="0.2">
      <c r="B45" s="2" t="s">
        <v>0</v>
      </c>
      <c r="C45" s="2" t="s">
        <v>0</v>
      </c>
      <c r="D45" s="3" t="s">
        <v>40</v>
      </c>
      <c r="E45" s="73">
        <f t="shared" ref="E45:P45" si="49">E6/$Q6</f>
        <v>7.9166052023405625E-2</v>
      </c>
      <c r="F45" s="73">
        <f t="shared" si="49"/>
        <v>7.8571311496521704E-2</v>
      </c>
      <c r="G45" s="73">
        <f t="shared" si="49"/>
        <v>9.0091482332225817E-2</v>
      </c>
      <c r="H45" s="73">
        <f t="shared" si="49"/>
        <v>7.0148942696516101E-2</v>
      </c>
      <c r="I45" s="73">
        <f t="shared" si="49"/>
        <v>8.2406685445481728E-2</v>
      </c>
      <c r="J45" s="73">
        <f t="shared" si="49"/>
        <v>8.9349227422689595E-2</v>
      </c>
      <c r="K45" s="73">
        <f t="shared" si="49"/>
        <v>8.9349227422689595E-2</v>
      </c>
      <c r="L45" s="73">
        <f t="shared" si="49"/>
        <v>8.9349227422689595E-2</v>
      </c>
      <c r="M45" s="73">
        <f t="shared" si="49"/>
        <v>7.7829056586985496E-2</v>
      </c>
      <c r="N45" s="73">
        <f t="shared" si="49"/>
        <v>8.064119584992871E-2</v>
      </c>
      <c r="O45" s="73">
        <f t="shared" si="49"/>
        <v>8.4776281560468028E-2</v>
      </c>
      <c r="P45" s="73">
        <f t="shared" si="49"/>
        <v>8.8321309740398105E-2</v>
      </c>
      <c r="Q45" s="74">
        <f t="shared" ref="Q45:Q56" si="50">SUM(E45:P45)</f>
        <v>1</v>
      </c>
    </row>
    <row r="46" spans="1:49" x14ac:dyDescent="0.2">
      <c r="B46" s="2" t="s">
        <v>44</v>
      </c>
      <c r="C46" s="2" t="s">
        <v>44</v>
      </c>
      <c r="D46" s="3" t="s">
        <v>40</v>
      </c>
      <c r="E46" s="73">
        <f t="shared" ref="E46:P46" si="51">E7/$Q7</f>
        <v>8.1111111111111106E-2</v>
      </c>
      <c r="F46" s="73">
        <f t="shared" si="51"/>
        <v>8.1587301587301597E-2</v>
      </c>
      <c r="G46" s="73">
        <f t="shared" si="51"/>
        <v>9.1269841269841279E-2</v>
      </c>
      <c r="H46" s="73">
        <f t="shared" si="51"/>
        <v>6.7460317460317457E-2</v>
      </c>
      <c r="I46" s="73">
        <f t="shared" si="51"/>
        <v>7.9365079365079375E-2</v>
      </c>
      <c r="J46" s="73">
        <f t="shared" si="51"/>
        <v>8.7301587301587297E-2</v>
      </c>
      <c r="K46" s="73">
        <f t="shared" si="51"/>
        <v>8.7301587301587297E-2</v>
      </c>
      <c r="L46" s="73">
        <f t="shared" si="51"/>
        <v>8.7301587301587297E-2</v>
      </c>
      <c r="M46" s="73">
        <f t="shared" si="51"/>
        <v>7.5396825396825379E-2</v>
      </c>
      <c r="N46" s="73">
        <f t="shared" si="51"/>
        <v>8.3333333333333329E-2</v>
      </c>
      <c r="O46" s="73">
        <f t="shared" si="51"/>
        <v>8.7301587301587297E-2</v>
      </c>
      <c r="P46" s="73">
        <f t="shared" si="51"/>
        <v>9.1269841269841279E-2</v>
      </c>
      <c r="Q46" s="74">
        <f t="shared" si="50"/>
        <v>1</v>
      </c>
    </row>
    <row r="47" spans="1:49" x14ac:dyDescent="0.2">
      <c r="B47" s="2" t="s">
        <v>72</v>
      </c>
      <c r="C47" s="2" t="s">
        <v>3</v>
      </c>
      <c r="D47" s="3" t="s">
        <v>40</v>
      </c>
      <c r="E47" s="73">
        <f t="shared" ref="E47:P47" si="52">E8/$Q8</f>
        <v>7.8240027392569758E-2</v>
      </c>
      <c r="F47" s="73">
        <f t="shared" si="52"/>
        <v>8.0530894090216118E-2</v>
      </c>
      <c r="G47" s="73">
        <f t="shared" si="52"/>
        <v>8.9066614490343296E-2</v>
      </c>
      <c r="H47" s="73">
        <f t="shared" si="52"/>
        <v>6.8913509591475686E-2</v>
      </c>
      <c r="I47" s="73">
        <f t="shared" si="52"/>
        <v>8.258533682262495E-2</v>
      </c>
      <c r="J47" s="73">
        <f t="shared" si="52"/>
        <v>8.7762206406274204E-2</v>
      </c>
      <c r="K47" s="73">
        <f t="shared" si="52"/>
        <v>8.7762206406274204E-2</v>
      </c>
      <c r="L47" s="73">
        <f t="shared" si="52"/>
        <v>8.7762206406274204E-2</v>
      </c>
      <c r="M47" s="73">
        <f t="shared" si="52"/>
        <v>7.7172043273738195E-2</v>
      </c>
      <c r="N47" s="73">
        <f t="shared" si="52"/>
        <v>8.3376134223591844E-2</v>
      </c>
      <c r="O47" s="73">
        <f t="shared" si="52"/>
        <v>8.7762206406274204E-2</v>
      </c>
      <c r="P47" s="73">
        <f t="shared" si="52"/>
        <v>8.9066614490343296E-2</v>
      </c>
      <c r="Q47" s="74">
        <f t="shared" si="50"/>
        <v>0.99999999999999978</v>
      </c>
    </row>
    <row r="48" spans="1:49" x14ac:dyDescent="0.2">
      <c r="B48" s="2" t="s">
        <v>2</v>
      </c>
      <c r="C48" s="2" t="s">
        <v>2</v>
      </c>
      <c r="D48" s="3" t="s">
        <v>40</v>
      </c>
      <c r="E48" s="73">
        <f t="shared" ref="E48:P48" si="53">E9/$Q9</f>
        <v>8.331431180095869E-2</v>
      </c>
      <c r="F48" s="73">
        <f t="shared" si="53"/>
        <v>8.331431180095869E-2</v>
      </c>
      <c r="G48" s="73">
        <f t="shared" si="53"/>
        <v>8.331431180095869E-2</v>
      </c>
      <c r="H48" s="73">
        <f t="shared" si="53"/>
        <v>8.331431180095869E-2</v>
      </c>
      <c r="I48" s="73">
        <f t="shared" si="53"/>
        <v>8.331431180095869E-2</v>
      </c>
      <c r="J48" s="73">
        <f t="shared" si="53"/>
        <v>8.331431180095869E-2</v>
      </c>
      <c r="K48" s="73">
        <f t="shared" si="53"/>
        <v>8.331431180095869E-2</v>
      </c>
      <c r="L48" s="73">
        <f t="shared" si="53"/>
        <v>8.331431180095869E-2</v>
      </c>
      <c r="M48" s="73">
        <f t="shared" si="53"/>
        <v>8.331431180095869E-2</v>
      </c>
      <c r="N48" s="73">
        <f t="shared" si="53"/>
        <v>8.331431180095869E-2</v>
      </c>
      <c r="O48" s="73">
        <f t="shared" si="53"/>
        <v>8.331431180095869E-2</v>
      </c>
      <c r="P48" s="73">
        <f t="shared" si="53"/>
        <v>8.3542570189454463E-2</v>
      </c>
      <c r="Q48" s="74">
        <f t="shared" si="50"/>
        <v>1.0000000000000002</v>
      </c>
    </row>
    <row r="49" spans="2:17" x14ac:dyDescent="0.2">
      <c r="B49" s="2" t="s">
        <v>5</v>
      </c>
      <c r="C49" s="2" t="s">
        <v>5</v>
      </c>
      <c r="D49" s="3" t="s">
        <v>40</v>
      </c>
      <c r="E49" s="73">
        <f t="shared" ref="E49:P49" si="54">E10/$Q10</f>
        <v>6.8306010928961741E-2</v>
      </c>
      <c r="F49" s="73">
        <f t="shared" si="54"/>
        <v>8.9643507676294559E-2</v>
      </c>
      <c r="G49" s="73">
        <f t="shared" si="54"/>
        <v>9.1204787926099401E-2</v>
      </c>
      <c r="H49" s="73">
        <f t="shared" si="54"/>
        <v>7.9885506115014313E-2</v>
      </c>
      <c r="I49" s="73">
        <f t="shared" si="54"/>
        <v>8.1446786364819154E-2</v>
      </c>
      <c r="J49" s="73">
        <f t="shared" si="54"/>
        <v>8.7952120739005976E-2</v>
      </c>
      <c r="K49" s="73">
        <f t="shared" si="54"/>
        <v>8.7952120739005976E-2</v>
      </c>
      <c r="L49" s="73">
        <f t="shared" si="54"/>
        <v>8.7952120739005976E-2</v>
      </c>
      <c r="M49" s="73">
        <f t="shared" si="54"/>
        <v>7.8194119177725729E-2</v>
      </c>
      <c r="N49" s="73">
        <f t="shared" si="54"/>
        <v>8.4699453551912565E-2</v>
      </c>
      <c r="O49" s="73">
        <f t="shared" si="54"/>
        <v>8.7952120739005976E-2</v>
      </c>
      <c r="P49" s="73">
        <f t="shared" si="54"/>
        <v>7.4811345303148577E-2</v>
      </c>
      <c r="Q49" s="74">
        <f t="shared" si="50"/>
        <v>0.99999999999999989</v>
      </c>
    </row>
    <row r="50" spans="2:17" x14ac:dyDescent="0.2">
      <c r="B50" s="2" t="s">
        <v>4</v>
      </c>
      <c r="C50" s="2" t="s">
        <v>4</v>
      </c>
      <c r="D50" s="3" t="s">
        <v>40</v>
      </c>
      <c r="E50" s="73">
        <f t="shared" ref="E50:P50" si="55">E11/$Q11</f>
        <v>6.4468586828364496E-2</v>
      </c>
      <c r="F50" s="73">
        <f t="shared" si="55"/>
        <v>7.836248867072515E-2</v>
      </c>
      <c r="G50" s="73">
        <f t="shared" si="55"/>
        <v>8.1147685619641155E-2</v>
      </c>
      <c r="H50" s="73">
        <f t="shared" si="55"/>
        <v>7.0524234622263926E-2</v>
      </c>
      <c r="I50" s="73">
        <f t="shared" si="55"/>
        <v>8.5942074320042985E-2</v>
      </c>
      <c r="J50" s="73">
        <f t="shared" si="55"/>
        <v>8.9483224652502066E-2</v>
      </c>
      <c r="K50" s="73">
        <f t="shared" si="55"/>
        <v>8.9483224652502066E-2</v>
      </c>
      <c r="L50" s="73">
        <f t="shared" si="55"/>
        <v>8.9483224652502066E-2</v>
      </c>
      <c r="M50" s="73">
        <f t="shared" si="55"/>
        <v>8.4171499153813459E-2</v>
      </c>
      <c r="N50" s="73">
        <f t="shared" si="55"/>
        <v>8.7712649486272526E-2</v>
      </c>
      <c r="O50" s="73">
        <f t="shared" si="55"/>
        <v>8.9483224652502066E-2</v>
      </c>
      <c r="P50" s="73">
        <f t="shared" si="55"/>
        <v>8.9737882688868037E-2</v>
      </c>
      <c r="Q50" s="74">
        <f t="shared" si="50"/>
        <v>1</v>
      </c>
    </row>
    <row r="51" spans="2:17" x14ac:dyDescent="0.2">
      <c r="B51" s="4" t="s">
        <v>6</v>
      </c>
      <c r="C51" s="4" t="s">
        <v>6</v>
      </c>
      <c r="D51" s="3" t="s">
        <v>40</v>
      </c>
      <c r="E51" s="73">
        <f t="shared" ref="E51:P51" si="56">E12/$Q12</f>
        <v>8.3333333333333315E-2</v>
      </c>
      <c r="F51" s="73">
        <f t="shared" si="56"/>
        <v>7.9365079365079347E-2</v>
      </c>
      <c r="G51" s="73">
        <f t="shared" si="56"/>
        <v>9.1269841269841251E-2</v>
      </c>
      <c r="H51" s="73">
        <f t="shared" si="56"/>
        <v>6.7460317460317443E-2</v>
      </c>
      <c r="I51" s="73">
        <f t="shared" si="56"/>
        <v>7.9365079365079347E-2</v>
      </c>
      <c r="J51" s="73">
        <f t="shared" si="56"/>
        <v>8.7301587301587283E-2</v>
      </c>
      <c r="K51" s="73">
        <f t="shared" si="56"/>
        <v>8.7301587301587283E-2</v>
      </c>
      <c r="L51" s="73">
        <f t="shared" si="56"/>
        <v>8.7301587301587283E-2</v>
      </c>
      <c r="M51" s="73">
        <f t="shared" si="56"/>
        <v>7.5396825396825379E-2</v>
      </c>
      <c r="N51" s="73">
        <f t="shared" si="56"/>
        <v>8.3333333333333315E-2</v>
      </c>
      <c r="O51" s="73">
        <f t="shared" si="56"/>
        <v>8.7301587301587283E-2</v>
      </c>
      <c r="P51" s="73">
        <f t="shared" si="56"/>
        <v>9.1269841269841251E-2</v>
      </c>
      <c r="Q51" s="74">
        <f t="shared" si="50"/>
        <v>1</v>
      </c>
    </row>
    <row r="52" spans="2:17" x14ac:dyDescent="0.2">
      <c r="B52" s="2" t="s">
        <v>66</v>
      </c>
      <c r="C52" s="2" t="s">
        <v>66</v>
      </c>
      <c r="D52" s="3" t="s">
        <v>40</v>
      </c>
      <c r="E52" s="73">
        <f t="shared" ref="E52:P52" si="57">E13/$Q13</f>
        <v>6.3333333333333325E-2</v>
      </c>
      <c r="F52" s="73">
        <f t="shared" si="57"/>
        <v>7.9365079365079361E-2</v>
      </c>
      <c r="G52" s="73">
        <f t="shared" si="57"/>
        <v>9.1269841269841279E-2</v>
      </c>
      <c r="H52" s="73">
        <f t="shared" si="57"/>
        <v>6.746031746031747E-2</v>
      </c>
      <c r="I52" s="73">
        <f t="shared" si="57"/>
        <v>7.9365079365079361E-2</v>
      </c>
      <c r="J52" s="73">
        <f t="shared" si="57"/>
        <v>8.7301587301587311E-2</v>
      </c>
      <c r="K52" s="73">
        <f t="shared" si="57"/>
        <v>8.7301587301587311E-2</v>
      </c>
      <c r="L52" s="73">
        <f t="shared" si="57"/>
        <v>8.7301587301587311E-2</v>
      </c>
      <c r="M52" s="73">
        <f t="shared" si="57"/>
        <v>8.5396825396825402E-2</v>
      </c>
      <c r="N52" s="73">
        <f t="shared" si="57"/>
        <v>9.3333333333333338E-2</v>
      </c>
      <c r="O52" s="73">
        <f t="shared" si="57"/>
        <v>8.7301587301587311E-2</v>
      </c>
      <c r="P52" s="73">
        <f t="shared" si="57"/>
        <v>9.1269841269841279E-2</v>
      </c>
      <c r="Q52" s="74">
        <f t="shared" si="50"/>
        <v>1</v>
      </c>
    </row>
    <row r="53" spans="2:17" hidden="1" x14ac:dyDescent="0.2">
      <c r="B53" s="2" t="s">
        <v>9</v>
      </c>
      <c r="C53" s="2" t="s">
        <v>9</v>
      </c>
      <c r="D53" s="3" t="s">
        <v>40</v>
      </c>
      <c r="E53" s="73" t="e">
        <f t="shared" ref="E53:P53" si="58">E15/$Q15</f>
        <v>#DIV/0!</v>
      </c>
      <c r="F53" s="73" t="e">
        <f t="shared" si="58"/>
        <v>#DIV/0!</v>
      </c>
      <c r="G53" s="73" t="e">
        <f t="shared" si="58"/>
        <v>#DIV/0!</v>
      </c>
      <c r="H53" s="73" t="e">
        <f t="shared" si="58"/>
        <v>#DIV/0!</v>
      </c>
      <c r="I53" s="73" t="e">
        <f t="shared" si="58"/>
        <v>#DIV/0!</v>
      </c>
      <c r="J53" s="73" t="e">
        <f t="shared" si="58"/>
        <v>#DIV/0!</v>
      </c>
      <c r="K53" s="73" t="e">
        <f t="shared" si="58"/>
        <v>#DIV/0!</v>
      </c>
      <c r="L53" s="73" t="e">
        <f t="shared" si="58"/>
        <v>#DIV/0!</v>
      </c>
      <c r="M53" s="73" t="e">
        <f t="shared" si="58"/>
        <v>#DIV/0!</v>
      </c>
      <c r="N53" s="73" t="e">
        <f t="shared" si="58"/>
        <v>#DIV/0!</v>
      </c>
      <c r="O53" s="73" t="e">
        <f t="shared" si="58"/>
        <v>#DIV/0!</v>
      </c>
      <c r="P53" s="73" t="e">
        <f t="shared" si="58"/>
        <v>#DIV/0!</v>
      </c>
      <c r="Q53" s="74" t="e">
        <f t="shared" si="50"/>
        <v>#DIV/0!</v>
      </c>
    </row>
    <row r="54" spans="2:17" x14ac:dyDescent="0.2">
      <c r="B54" s="2" t="s">
        <v>73</v>
      </c>
      <c r="C54" s="2" t="s">
        <v>73</v>
      </c>
      <c r="D54" s="3" t="s">
        <v>40</v>
      </c>
      <c r="E54" s="73">
        <f t="shared" ref="E54:P54" si="59">E17/$Q17</f>
        <v>8.3333333333333329E-2</v>
      </c>
      <c r="F54" s="73">
        <f t="shared" si="59"/>
        <v>7.9365079365079361E-2</v>
      </c>
      <c r="G54" s="73">
        <f t="shared" si="59"/>
        <v>9.1269841269841279E-2</v>
      </c>
      <c r="H54" s="73">
        <f t="shared" si="59"/>
        <v>6.746031746031747E-2</v>
      </c>
      <c r="I54" s="73">
        <f t="shared" si="59"/>
        <v>7.9365079365079361E-2</v>
      </c>
      <c r="J54" s="73">
        <f t="shared" si="59"/>
        <v>8.7301587301587311E-2</v>
      </c>
      <c r="K54" s="73">
        <f t="shared" si="59"/>
        <v>8.7301587301587311E-2</v>
      </c>
      <c r="L54" s="73">
        <f t="shared" si="59"/>
        <v>8.7301587301587311E-2</v>
      </c>
      <c r="M54" s="73">
        <f t="shared" si="59"/>
        <v>7.5396825396825407E-2</v>
      </c>
      <c r="N54" s="73">
        <f t="shared" si="59"/>
        <v>8.3333333333333329E-2</v>
      </c>
      <c r="O54" s="73">
        <f t="shared" si="59"/>
        <v>8.7301587301587311E-2</v>
      </c>
      <c r="P54" s="73">
        <f t="shared" si="59"/>
        <v>9.1269841269841279E-2</v>
      </c>
      <c r="Q54" s="74">
        <f t="shared" si="50"/>
        <v>1</v>
      </c>
    </row>
    <row r="55" spans="2:17" x14ac:dyDescent="0.2">
      <c r="B55" s="2" t="s">
        <v>7</v>
      </c>
      <c r="C55" s="2" t="s">
        <v>7</v>
      </c>
      <c r="D55" s="3" t="s">
        <v>40</v>
      </c>
      <c r="E55" s="73">
        <f t="shared" ref="E55:P55" si="60">E18/$Q18</f>
        <v>2.7492762922914298E-2</v>
      </c>
      <c r="F55" s="73">
        <f t="shared" si="60"/>
        <v>4.1239144384371443E-2</v>
      </c>
      <c r="G55" s="73">
        <f t="shared" si="60"/>
        <v>4.536305882280859E-2</v>
      </c>
      <c r="H55" s="73">
        <f t="shared" si="60"/>
        <v>4.2044289584256794E-2</v>
      </c>
      <c r="I55" s="73">
        <f t="shared" si="60"/>
        <v>5.4889301175598398E-2</v>
      </c>
      <c r="J55" s="73">
        <f t="shared" si="60"/>
        <v>8.2333991038773202E-2</v>
      </c>
      <c r="K55" s="73">
        <f t="shared" si="60"/>
        <v>9.056736657742516E-2</v>
      </c>
      <c r="L55" s="73">
        <f t="shared" si="60"/>
        <v>0.10747918621107545</v>
      </c>
      <c r="M55" s="73">
        <f t="shared" si="60"/>
        <v>9.3876316972075907E-2</v>
      </c>
      <c r="N55" s="73">
        <f t="shared" si="60"/>
        <v>0.12054516106556608</v>
      </c>
      <c r="O55" s="73">
        <f t="shared" si="60"/>
        <v>0.15616486325924503</v>
      </c>
      <c r="P55" s="73">
        <f t="shared" si="60"/>
        <v>0.13800455798588959</v>
      </c>
      <c r="Q55" s="74">
        <f t="shared" si="50"/>
        <v>1</v>
      </c>
    </row>
    <row r="56" spans="2:17" x14ac:dyDescent="0.2">
      <c r="B56" s="14" t="s">
        <v>65</v>
      </c>
      <c r="C56" s="14" t="s">
        <v>65</v>
      </c>
      <c r="D56" s="3" t="s">
        <v>40</v>
      </c>
      <c r="E56" s="73">
        <f t="shared" ref="E56:P56" si="61">E19/$Q19</f>
        <v>8.3333333333333315E-2</v>
      </c>
      <c r="F56" s="73">
        <f t="shared" si="61"/>
        <v>8.3333333333333315E-2</v>
      </c>
      <c r="G56" s="73">
        <f t="shared" si="61"/>
        <v>8.3333333333333315E-2</v>
      </c>
      <c r="H56" s="73">
        <f t="shared" si="61"/>
        <v>8.3333333333333315E-2</v>
      </c>
      <c r="I56" s="73">
        <f t="shared" si="61"/>
        <v>8.3333333333333315E-2</v>
      </c>
      <c r="J56" s="73">
        <f t="shared" si="61"/>
        <v>8.3333333333333315E-2</v>
      </c>
      <c r="K56" s="73">
        <f t="shared" si="61"/>
        <v>8.3333333333333315E-2</v>
      </c>
      <c r="L56" s="73">
        <f t="shared" si="61"/>
        <v>8.3333333333333315E-2</v>
      </c>
      <c r="M56" s="73">
        <f t="shared" si="61"/>
        <v>8.3333333333333315E-2</v>
      </c>
      <c r="N56" s="73">
        <f t="shared" si="61"/>
        <v>8.3333333333333315E-2</v>
      </c>
      <c r="O56" s="73">
        <f t="shared" si="61"/>
        <v>8.3333333333333315E-2</v>
      </c>
      <c r="P56" s="73">
        <f t="shared" si="61"/>
        <v>8.3333333333333315E-2</v>
      </c>
      <c r="Q56" s="74">
        <f t="shared" si="50"/>
        <v>0.99999999999999956</v>
      </c>
    </row>
    <row r="57" spans="2:17" x14ac:dyDescent="0.2">
      <c r="B57" s="24"/>
      <c r="C57" s="14"/>
      <c r="D57" s="3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2"/>
    </row>
    <row r="58" spans="2:17" x14ac:dyDescent="0.2">
      <c r="B58" s="266" t="s">
        <v>41</v>
      </c>
      <c r="C58" s="267"/>
      <c r="D58" s="267"/>
      <c r="E58" s="62">
        <f t="shared" ref="E58:P58" si="62">E21/$Q$21</f>
        <v>5.8886124646597197E-2</v>
      </c>
      <c r="F58" s="62">
        <f t="shared" si="62"/>
        <v>6.5063244908167325E-2</v>
      </c>
      <c r="G58" s="62">
        <f t="shared" si="62"/>
        <v>7.0988469316081146E-2</v>
      </c>
      <c r="H58" s="62">
        <f t="shared" si="62"/>
        <v>6.3482505641641832E-2</v>
      </c>
      <c r="I58" s="62">
        <f t="shared" si="62"/>
        <v>7.301830213491016E-2</v>
      </c>
      <c r="J58" s="62">
        <f t="shared" si="62"/>
        <v>8.656040400824408E-2</v>
      </c>
      <c r="K58" s="62">
        <f t="shared" si="62"/>
        <v>8.9383888349636398E-2</v>
      </c>
      <c r="L58" s="62">
        <f t="shared" si="62"/>
        <v>9.5183485088045472E-2</v>
      </c>
      <c r="M58" s="62">
        <f t="shared" si="62"/>
        <v>8.5371902143403539E-2</v>
      </c>
      <c r="N58" s="62">
        <f t="shared" si="62"/>
        <v>9.6867909907830993E-2</v>
      </c>
      <c r="O58" s="62">
        <f t="shared" si="62"/>
        <v>0.11129129408798855</v>
      </c>
      <c r="P58" s="62">
        <f t="shared" si="62"/>
        <v>0.10390246976745308</v>
      </c>
      <c r="Q58" s="62">
        <f>SUM(E58:P58)</f>
        <v>0.99999999999999967</v>
      </c>
    </row>
    <row r="59" spans="2:17" s="6" customFormat="1" x14ac:dyDescent="0.2">
      <c r="B59" s="56" t="s">
        <v>74</v>
      </c>
      <c r="C59" s="57" t="s">
        <v>47</v>
      </c>
      <c r="D59" s="58" t="s">
        <v>38</v>
      </c>
      <c r="E59" s="73">
        <f t="shared" ref="E59:P59" si="63">E22/$Q22</f>
        <v>5.7002111757047551E-2</v>
      </c>
      <c r="F59" s="73">
        <f t="shared" si="63"/>
        <v>6.5383593823276784E-2</v>
      </c>
      <c r="G59" s="73">
        <f t="shared" si="63"/>
        <v>6.967840787485971E-2</v>
      </c>
      <c r="H59" s="73">
        <f t="shared" si="63"/>
        <v>7.6861737897710655E-2</v>
      </c>
      <c r="I59" s="73">
        <f t="shared" si="63"/>
        <v>8.3425070814690874E-2</v>
      </c>
      <c r="J59" s="73">
        <f t="shared" si="63"/>
        <v>8.97009599568587E-2</v>
      </c>
      <c r="K59" s="73">
        <f t="shared" si="63"/>
        <v>9.6557155667804082E-2</v>
      </c>
      <c r="L59" s="73">
        <f t="shared" si="63"/>
        <v>0.10086756872224847</v>
      </c>
      <c r="M59" s="73">
        <f t="shared" si="63"/>
        <v>9.9945051309873176E-2</v>
      </c>
      <c r="N59" s="73">
        <f t="shared" si="63"/>
        <v>9.2944236442852338E-2</v>
      </c>
      <c r="O59" s="73">
        <f t="shared" si="63"/>
        <v>8.344069097547574E-2</v>
      </c>
      <c r="P59" s="73">
        <f t="shared" si="63"/>
        <v>8.4193414757302035E-2</v>
      </c>
      <c r="Q59" s="74">
        <f t="shared" ref="Q59:Q76" si="64">SUM(E59:P59)</f>
        <v>1</v>
      </c>
    </row>
    <row r="60" spans="2:17" x14ac:dyDescent="0.2">
      <c r="B60" s="36" t="s">
        <v>75</v>
      </c>
      <c r="C60" s="5" t="s">
        <v>13</v>
      </c>
      <c r="D60" s="3" t="s">
        <v>39</v>
      </c>
      <c r="E60" s="73">
        <f t="shared" ref="E60:P60" si="65">E23/$Q23</f>
        <v>0</v>
      </c>
      <c r="F60" s="73">
        <f t="shared" si="65"/>
        <v>0.24</v>
      </c>
      <c r="G60" s="73">
        <f t="shared" si="65"/>
        <v>0</v>
      </c>
      <c r="H60" s="73">
        <f t="shared" si="65"/>
        <v>0</v>
      </c>
      <c r="I60" s="73">
        <f t="shared" si="65"/>
        <v>0.24</v>
      </c>
      <c r="J60" s="73">
        <f t="shared" si="65"/>
        <v>0</v>
      </c>
      <c r="K60" s="73">
        <f t="shared" si="65"/>
        <v>0.21</v>
      </c>
      <c r="L60" s="73">
        <f t="shared" si="65"/>
        <v>0</v>
      </c>
      <c r="M60" s="73">
        <f t="shared" si="65"/>
        <v>0</v>
      </c>
      <c r="N60" s="73">
        <f t="shared" si="65"/>
        <v>0.16</v>
      </c>
      <c r="O60" s="73">
        <f t="shared" si="65"/>
        <v>0</v>
      </c>
      <c r="P60" s="73">
        <f t="shared" si="65"/>
        <v>0.15</v>
      </c>
      <c r="Q60" s="74">
        <f t="shared" si="64"/>
        <v>1</v>
      </c>
    </row>
    <row r="61" spans="2:17" x14ac:dyDescent="0.2">
      <c r="B61" s="36" t="s">
        <v>80</v>
      </c>
      <c r="C61" s="5" t="s">
        <v>18</v>
      </c>
      <c r="D61" s="3" t="s">
        <v>19</v>
      </c>
      <c r="E61" s="73">
        <f t="shared" ref="E61:P61" si="66">E24/$Q24</f>
        <v>0.19214664326216355</v>
      </c>
      <c r="F61" s="73">
        <f t="shared" si="66"/>
        <v>1.8022915590481216E-2</v>
      </c>
      <c r="G61" s="73">
        <f t="shared" si="66"/>
        <v>2.307691349112824E-2</v>
      </c>
      <c r="H61" s="73">
        <f t="shared" si="66"/>
        <v>0.15384608994085494</v>
      </c>
      <c r="I61" s="73">
        <f t="shared" si="66"/>
        <v>2.307691349112824E-2</v>
      </c>
      <c r="J61" s="73">
        <f t="shared" si="66"/>
        <v>5.3846131479299231E-2</v>
      </c>
      <c r="K61" s="73">
        <f t="shared" si="66"/>
        <v>2.0599991443080477E-2</v>
      </c>
      <c r="L61" s="73">
        <f t="shared" si="66"/>
        <v>0.18461530792902592</v>
      </c>
      <c r="M61" s="73">
        <f t="shared" si="66"/>
        <v>2.307691349112824E-2</v>
      </c>
      <c r="N61" s="73">
        <f t="shared" si="66"/>
        <v>0</v>
      </c>
      <c r="O61" s="73">
        <f t="shared" si="66"/>
        <v>0.30769217988170988</v>
      </c>
      <c r="P61" s="73">
        <f t="shared" si="66"/>
        <v>0</v>
      </c>
      <c r="Q61" s="74">
        <f t="shared" si="64"/>
        <v>1</v>
      </c>
    </row>
    <row r="62" spans="2:17" x14ac:dyDescent="0.2">
      <c r="B62" s="36" t="s">
        <v>82</v>
      </c>
      <c r="C62" s="5" t="s">
        <v>14</v>
      </c>
      <c r="D62" s="3" t="s">
        <v>15</v>
      </c>
      <c r="E62" s="73">
        <f t="shared" ref="E62:P62" si="67">E25/$Q25</f>
        <v>0.13431794805907687</v>
      </c>
      <c r="F62" s="73">
        <f t="shared" si="67"/>
        <v>0</v>
      </c>
      <c r="G62" s="73">
        <f t="shared" si="67"/>
        <v>0.1900000114000007</v>
      </c>
      <c r="H62" s="73">
        <f t="shared" si="67"/>
        <v>0</v>
      </c>
      <c r="I62" s="73">
        <f t="shared" si="67"/>
        <v>0.17000001020000063</v>
      </c>
      <c r="J62" s="73">
        <f t="shared" si="67"/>
        <v>0</v>
      </c>
      <c r="K62" s="73">
        <f t="shared" si="67"/>
        <v>0.17000001020000063</v>
      </c>
      <c r="L62" s="73">
        <f t="shared" si="67"/>
        <v>0</v>
      </c>
      <c r="M62" s="73">
        <f t="shared" si="67"/>
        <v>0.17000001020000063</v>
      </c>
      <c r="N62" s="73">
        <f t="shared" si="67"/>
        <v>0</v>
      </c>
      <c r="O62" s="73">
        <f t="shared" si="67"/>
        <v>0.16568200994092061</v>
      </c>
      <c r="P62" s="73">
        <f t="shared" si="67"/>
        <v>0</v>
      </c>
      <c r="Q62" s="74">
        <f t="shared" si="64"/>
        <v>1.0000000000000002</v>
      </c>
    </row>
    <row r="63" spans="2:17" x14ac:dyDescent="0.2">
      <c r="B63" s="36" t="s">
        <v>78</v>
      </c>
      <c r="C63" s="5" t="s">
        <v>24</v>
      </c>
      <c r="D63" s="3" t="s">
        <v>25</v>
      </c>
      <c r="E63" s="73">
        <f t="shared" ref="E63:P63" si="68">E26/$Q26</f>
        <v>0.11267806438746537</v>
      </c>
      <c r="F63" s="73">
        <f t="shared" si="68"/>
        <v>0</v>
      </c>
      <c r="G63" s="73">
        <f t="shared" si="68"/>
        <v>0.1214286408163662</v>
      </c>
      <c r="H63" s="73">
        <f t="shared" si="68"/>
        <v>7.1428612244921294E-2</v>
      </c>
      <c r="I63" s="73">
        <f t="shared" si="68"/>
        <v>0.1214286408163662</v>
      </c>
      <c r="J63" s="73">
        <f t="shared" si="68"/>
        <v>7.1428612244921294E-2</v>
      </c>
      <c r="K63" s="73">
        <f t="shared" si="68"/>
        <v>0.1214286408163662</v>
      </c>
      <c r="L63" s="73">
        <f t="shared" si="68"/>
        <v>7.1428612244921294E-2</v>
      </c>
      <c r="M63" s="73">
        <f t="shared" si="68"/>
        <v>0.1214286408163662</v>
      </c>
      <c r="N63" s="73">
        <f t="shared" si="68"/>
        <v>6.5892894795939891E-2</v>
      </c>
      <c r="O63" s="73">
        <f t="shared" si="68"/>
        <v>0.1214286408163662</v>
      </c>
      <c r="P63" s="73">
        <f t="shared" si="68"/>
        <v>0</v>
      </c>
      <c r="Q63" s="74">
        <f t="shared" si="64"/>
        <v>1.0000000000000002</v>
      </c>
    </row>
    <row r="64" spans="2:17" x14ac:dyDescent="0.2">
      <c r="B64" s="36" t="s">
        <v>79</v>
      </c>
      <c r="C64" s="5" t="s">
        <v>27</v>
      </c>
      <c r="D64" s="3" t="s">
        <v>46</v>
      </c>
      <c r="E64" s="73">
        <f t="shared" ref="E64:P64" si="69">E27/$Q27</f>
        <v>0</v>
      </c>
      <c r="F64" s="73">
        <f t="shared" si="69"/>
        <v>0</v>
      </c>
      <c r="G64" s="73">
        <f t="shared" si="69"/>
        <v>0.1</v>
      </c>
      <c r="H64" s="73">
        <f t="shared" si="69"/>
        <v>0.1</v>
      </c>
      <c r="I64" s="73">
        <f t="shared" si="69"/>
        <v>0.1</v>
      </c>
      <c r="J64" s="73">
        <f t="shared" si="69"/>
        <v>0.1</v>
      </c>
      <c r="K64" s="73">
        <f t="shared" si="69"/>
        <v>0.1</v>
      </c>
      <c r="L64" s="73">
        <f t="shared" si="69"/>
        <v>0.1</v>
      </c>
      <c r="M64" s="73">
        <f t="shared" si="69"/>
        <v>0.1</v>
      </c>
      <c r="N64" s="73">
        <f t="shared" si="69"/>
        <v>0.1</v>
      </c>
      <c r="O64" s="73">
        <f t="shared" si="69"/>
        <v>0.1</v>
      </c>
      <c r="P64" s="73">
        <f t="shared" si="69"/>
        <v>0.1</v>
      </c>
      <c r="Q64" s="74">
        <f t="shared" si="64"/>
        <v>0.99999999999999989</v>
      </c>
    </row>
    <row r="65" spans="2:17" x14ac:dyDescent="0.2">
      <c r="B65" s="36" t="s">
        <v>87</v>
      </c>
      <c r="C65" s="5" t="s">
        <v>20</v>
      </c>
      <c r="D65" s="3" t="s">
        <v>21</v>
      </c>
      <c r="E65" s="73">
        <f t="shared" ref="E65:P65" si="70">E28/$Q28</f>
        <v>0</v>
      </c>
      <c r="F65" s="73">
        <f t="shared" si="70"/>
        <v>0</v>
      </c>
      <c r="G65" s="73">
        <f t="shared" si="70"/>
        <v>0</v>
      </c>
      <c r="H65" s="73">
        <f t="shared" si="70"/>
        <v>0.33333333333333331</v>
      </c>
      <c r="I65" s="73">
        <f t="shared" si="70"/>
        <v>0</v>
      </c>
      <c r="J65" s="73">
        <f t="shared" si="70"/>
        <v>0</v>
      </c>
      <c r="K65" s="73">
        <f t="shared" si="70"/>
        <v>0.33333333333333331</v>
      </c>
      <c r="L65" s="73">
        <f t="shared" si="70"/>
        <v>0</v>
      </c>
      <c r="M65" s="73">
        <f t="shared" si="70"/>
        <v>0</v>
      </c>
      <c r="N65" s="73">
        <f t="shared" si="70"/>
        <v>0</v>
      </c>
      <c r="O65" s="73">
        <f t="shared" si="70"/>
        <v>0.33333333333333331</v>
      </c>
      <c r="P65" s="73">
        <f t="shared" si="70"/>
        <v>0</v>
      </c>
      <c r="Q65" s="74">
        <f t="shared" si="64"/>
        <v>1</v>
      </c>
    </row>
    <row r="66" spans="2:17" x14ac:dyDescent="0.2">
      <c r="B66" s="36" t="s">
        <v>77</v>
      </c>
      <c r="C66" s="5" t="s">
        <v>26</v>
      </c>
      <c r="D66" s="3" t="s">
        <v>28</v>
      </c>
      <c r="E66" s="73">
        <f t="shared" ref="E66:P66" si="71">E29/$Q29</f>
        <v>0</v>
      </c>
      <c r="F66" s="73">
        <f t="shared" si="71"/>
        <v>0.2</v>
      </c>
      <c r="G66" s="73">
        <f t="shared" si="71"/>
        <v>0</v>
      </c>
      <c r="H66" s="73">
        <f t="shared" si="71"/>
        <v>0.2</v>
      </c>
      <c r="I66" s="73">
        <f t="shared" si="71"/>
        <v>0</v>
      </c>
      <c r="J66" s="73">
        <f t="shared" si="71"/>
        <v>0.2</v>
      </c>
      <c r="K66" s="73">
        <f t="shared" si="71"/>
        <v>0</v>
      </c>
      <c r="L66" s="73">
        <f t="shared" si="71"/>
        <v>0.2</v>
      </c>
      <c r="M66" s="73">
        <f t="shared" si="71"/>
        <v>0</v>
      </c>
      <c r="N66" s="73">
        <f t="shared" si="71"/>
        <v>0</v>
      </c>
      <c r="O66" s="73">
        <f t="shared" si="71"/>
        <v>0.2</v>
      </c>
      <c r="P66" s="73">
        <f t="shared" si="71"/>
        <v>0</v>
      </c>
      <c r="Q66" s="74">
        <f t="shared" si="64"/>
        <v>1</v>
      </c>
    </row>
    <row r="67" spans="2:17" x14ac:dyDescent="0.2">
      <c r="B67" s="36" t="s">
        <v>88</v>
      </c>
      <c r="C67" s="5" t="s">
        <v>22</v>
      </c>
      <c r="D67" s="3" t="s">
        <v>23</v>
      </c>
      <c r="E67" s="73">
        <f t="shared" ref="E67:P67" si="72">E30/$Q30</f>
        <v>0</v>
      </c>
      <c r="F67" s="73">
        <f t="shared" si="72"/>
        <v>0</v>
      </c>
      <c r="G67" s="73">
        <f t="shared" si="72"/>
        <v>0</v>
      </c>
      <c r="H67" s="73">
        <f t="shared" si="72"/>
        <v>0</v>
      </c>
      <c r="I67" s="73">
        <f t="shared" si="72"/>
        <v>0</v>
      </c>
      <c r="J67" s="73">
        <f t="shared" si="72"/>
        <v>0</v>
      </c>
      <c r="K67" s="73">
        <f t="shared" si="72"/>
        <v>0</v>
      </c>
      <c r="L67" s="73">
        <f t="shared" si="72"/>
        <v>1</v>
      </c>
      <c r="M67" s="73">
        <f t="shared" si="72"/>
        <v>0</v>
      </c>
      <c r="N67" s="73">
        <f t="shared" si="72"/>
        <v>0</v>
      </c>
      <c r="O67" s="73">
        <f t="shared" si="72"/>
        <v>0</v>
      </c>
      <c r="P67" s="73">
        <f t="shared" si="72"/>
        <v>0</v>
      </c>
      <c r="Q67" s="74">
        <f t="shared" si="64"/>
        <v>1</v>
      </c>
    </row>
    <row r="68" spans="2:17" x14ac:dyDescent="0.2">
      <c r="B68" s="36" t="s">
        <v>89</v>
      </c>
      <c r="C68" s="5" t="s">
        <v>16</v>
      </c>
      <c r="D68" s="3" t="s">
        <v>17</v>
      </c>
      <c r="E68" s="73">
        <f t="shared" ref="E68:P68" si="73">E31/$Q31</f>
        <v>6.095497777777778E-2</v>
      </c>
      <c r="F68" s="73">
        <f t="shared" si="73"/>
        <v>5.5376666666666664E-2</v>
      </c>
      <c r="G68" s="73">
        <f t="shared" si="73"/>
        <v>8.8366835555555551E-2</v>
      </c>
      <c r="H68" s="73">
        <f t="shared" si="73"/>
        <v>8.8366835555555551E-2</v>
      </c>
      <c r="I68" s="73">
        <f t="shared" si="73"/>
        <v>8.8366835555555551E-2</v>
      </c>
      <c r="J68" s="73">
        <f t="shared" si="73"/>
        <v>8.8366835555555551E-2</v>
      </c>
      <c r="K68" s="73">
        <f t="shared" si="73"/>
        <v>8.8366835555555551E-2</v>
      </c>
      <c r="L68" s="73">
        <f t="shared" si="73"/>
        <v>8.8366835555555551E-2</v>
      </c>
      <c r="M68" s="73">
        <f t="shared" si="73"/>
        <v>8.8366835555555551E-2</v>
      </c>
      <c r="N68" s="73">
        <f t="shared" si="73"/>
        <v>8.8366835555555551E-2</v>
      </c>
      <c r="O68" s="73">
        <f t="shared" si="73"/>
        <v>8.8366835555555551E-2</v>
      </c>
      <c r="P68" s="73">
        <f t="shared" si="73"/>
        <v>8.8366835555555551E-2</v>
      </c>
      <c r="Q68" s="74">
        <f t="shared" si="64"/>
        <v>1</v>
      </c>
    </row>
    <row r="69" spans="2:17" x14ac:dyDescent="0.2">
      <c r="B69" s="36" t="s">
        <v>81</v>
      </c>
      <c r="C69" s="5" t="s">
        <v>29</v>
      </c>
      <c r="D69" s="3" t="s">
        <v>30</v>
      </c>
      <c r="E69" s="73">
        <f t="shared" ref="E69:P69" si="74">E32/$Q32</f>
        <v>0</v>
      </c>
      <c r="F69" s="73">
        <f t="shared" si="74"/>
        <v>0</v>
      </c>
      <c r="G69" s="73">
        <f t="shared" si="74"/>
        <v>0</v>
      </c>
      <c r="H69" s="73">
        <f t="shared" si="74"/>
        <v>0.5</v>
      </c>
      <c r="I69" s="73">
        <f t="shared" si="74"/>
        <v>0</v>
      </c>
      <c r="J69" s="73">
        <f t="shared" si="74"/>
        <v>0</v>
      </c>
      <c r="K69" s="73">
        <f t="shared" si="74"/>
        <v>0</v>
      </c>
      <c r="L69" s="73">
        <f t="shared" si="74"/>
        <v>0</v>
      </c>
      <c r="M69" s="73">
        <f t="shared" si="74"/>
        <v>0</v>
      </c>
      <c r="N69" s="73">
        <f t="shared" si="74"/>
        <v>0.5</v>
      </c>
      <c r="O69" s="73">
        <f t="shared" si="74"/>
        <v>0</v>
      </c>
      <c r="P69" s="73">
        <f t="shared" si="74"/>
        <v>0</v>
      </c>
      <c r="Q69" s="74">
        <f t="shared" si="64"/>
        <v>1</v>
      </c>
    </row>
    <row r="70" spans="2:17" x14ac:dyDescent="0.2">
      <c r="B70" s="36" t="s">
        <v>76</v>
      </c>
      <c r="C70" s="5" t="s">
        <v>34</v>
      </c>
      <c r="D70" s="3" t="s">
        <v>30</v>
      </c>
      <c r="E70" s="73">
        <f t="shared" ref="E70:P70" si="75">E33/$Q33</f>
        <v>0</v>
      </c>
      <c r="F70" s="73">
        <f t="shared" si="75"/>
        <v>0</v>
      </c>
      <c r="G70" s="73">
        <f t="shared" si="75"/>
        <v>0.33448731456859498</v>
      </c>
      <c r="H70" s="73">
        <f t="shared" si="75"/>
        <v>0</v>
      </c>
      <c r="I70" s="73">
        <f t="shared" si="75"/>
        <v>0</v>
      </c>
      <c r="J70" s="73">
        <f t="shared" si="75"/>
        <v>0</v>
      </c>
      <c r="K70" s="73">
        <f t="shared" si="75"/>
        <v>0.33448731456859498</v>
      </c>
      <c r="L70" s="73">
        <f t="shared" si="75"/>
        <v>0</v>
      </c>
      <c r="M70" s="73">
        <f t="shared" si="75"/>
        <v>0</v>
      </c>
      <c r="N70" s="73">
        <f t="shared" si="75"/>
        <v>0</v>
      </c>
      <c r="O70" s="73">
        <f t="shared" si="75"/>
        <v>0.33102537086281003</v>
      </c>
      <c r="P70" s="73">
        <f t="shared" si="75"/>
        <v>0</v>
      </c>
      <c r="Q70" s="74">
        <f t="shared" si="64"/>
        <v>1</v>
      </c>
    </row>
    <row r="71" spans="2:17" x14ac:dyDescent="0.2">
      <c r="B71" s="37" t="s">
        <v>85</v>
      </c>
      <c r="C71" s="5" t="s">
        <v>32</v>
      </c>
      <c r="D71" s="3" t="s">
        <v>33</v>
      </c>
      <c r="E71" s="73">
        <f t="shared" ref="E71:P71" si="76">E34/$Q34</f>
        <v>0</v>
      </c>
      <c r="F71" s="73">
        <f t="shared" si="76"/>
        <v>0</v>
      </c>
      <c r="G71" s="73">
        <f t="shared" si="76"/>
        <v>0.21176470588235294</v>
      </c>
      <c r="H71" s="73">
        <f t="shared" si="76"/>
        <v>0</v>
      </c>
      <c r="I71" s="73">
        <f t="shared" si="76"/>
        <v>0</v>
      </c>
      <c r="J71" s="73">
        <f t="shared" si="76"/>
        <v>0</v>
      </c>
      <c r="K71" s="73">
        <f t="shared" si="76"/>
        <v>0.21176470588235294</v>
      </c>
      <c r="L71" s="73">
        <f t="shared" si="76"/>
        <v>0</v>
      </c>
      <c r="M71" s="73">
        <f t="shared" si="76"/>
        <v>0.57647058823529407</v>
      </c>
      <c r="N71" s="73">
        <f t="shared" si="76"/>
        <v>0</v>
      </c>
      <c r="O71" s="73">
        <f t="shared" si="76"/>
        <v>0</v>
      </c>
      <c r="P71" s="73">
        <f t="shared" si="76"/>
        <v>0</v>
      </c>
      <c r="Q71" s="74">
        <f t="shared" si="64"/>
        <v>1</v>
      </c>
    </row>
    <row r="72" spans="2:17" x14ac:dyDescent="0.2">
      <c r="B72" s="36" t="s">
        <v>86</v>
      </c>
      <c r="C72" s="5" t="s">
        <v>31</v>
      </c>
      <c r="D72" s="3" t="s">
        <v>49</v>
      </c>
      <c r="E72" s="73">
        <f t="shared" ref="E72:P72" si="77">E35/$Q35</f>
        <v>0.46981649999999997</v>
      </c>
      <c r="F72" s="73">
        <f t="shared" si="77"/>
        <v>0</v>
      </c>
      <c r="G72" s="73">
        <f t="shared" si="77"/>
        <v>0</v>
      </c>
      <c r="H72" s="73">
        <f t="shared" si="77"/>
        <v>0</v>
      </c>
      <c r="I72" s="73">
        <f t="shared" si="77"/>
        <v>0.53018350000000003</v>
      </c>
      <c r="J72" s="73">
        <f t="shared" si="77"/>
        <v>0</v>
      </c>
      <c r="K72" s="73">
        <f t="shared" si="77"/>
        <v>0</v>
      </c>
      <c r="L72" s="73">
        <f t="shared" si="77"/>
        <v>0</v>
      </c>
      <c r="M72" s="73">
        <f t="shared" si="77"/>
        <v>0</v>
      </c>
      <c r="N72" s="73">
        <f t="shared" si="77"/>
        <v>0</v>
      </c>
      <c r="O72" s="73">
        <f t="shared" si="77"/>
        <v>0</v>
      </c>
      <c r="P72" s="73">
        <f t="shared" si="77"/>
        <v>0</v>
      </c>
      <c r="Q72" s="74">
        <f t="shared" si="64"/>
        <v>1</v>
      </c>
    </row>
    <row r="73" spans="2:17" x14ac:dyDescent="0.2">
      <c r="B73" s="36" t="s">
        <v>83</v>
      </c>
      <c r="C73" s="5" t="s">
        <v>84</v>
      </c>
      <c r="D73" s="3" t="s">
        <v>48</v>
      </c>
      <c r="E73" s="73">
        <f t="shared" ref="E73:P74" si="78">E36/$Q36</f>
        <v>0</v>
      </c>
      <c r="F73" s="73">
        <f t="shared" si="78"/>
        <v>0</v>
      </c>
      <c r="G73" s="73">
        <f t="shared" si="78"/>
        <v>0</v>
      </c>
      <c r="H73" s="73">
        <f t="shared" si="78"/>
        <v>0</v>
      </c>
      <c r="I73" s="73">
        <f t="shared" si="78"/>
        <v>0.5</v>
      </c>
      <c r="J73" s="73">
        <f t="shared" si="78"/>
        <v>0</v>
      </c>
      <c r="K73" s="73">
        <f t="shared" si="78"/>
        <v>0</v>
      </c>
      <c r="L73" s="73">
        <f t="shared" si="78"/>
        <v>0</v>
      </c>
      <c r="M73" s="73">
        <f t="shared" si="78"/>
        <v>0</v>
      </c>
      <c r="N73" s="73">
        <f t="shared" si="78"/>
        <v>0</v>
      </c>
      <c r="O73" s="73">
        <f t="shared" si="78"/>
        <v>0.5</v>
      </c>
      <c r="P73" s="73">
        <f t="shared" si="78"/>
        <v>0</v>
      </c>
      <c r="Q73" s="74">
        <f t="shared" si="64"/>
        <v>1</v>
      </c>
    </row>
    <row r="74" spans="2:17" x14ac:dyDescent="0.2">
      <c r="B74" s="37"/>
      <c r="C74" s="5" t="s">
        <v>35</v>
      </c>
      <c r="D74" s="3"/>
      <c r="E74" s="73" t="e">
        <f t="shared" si="78"/>
        <v>#DIV/0!</v>
      </c>
      <c r="F74" s="73" t="e">
        <f t="shared" si="78"/>
        <v>#DIV/0!</v>
      </c>
      <c r="G74" s="73" t="e">
        <f t="shared" si="78"/>
        <v>#DIV/0!</v>
      </c>
      <c r="H74" s="73" t="e">
        <f t="shared" si="78"/>
        <v>#DIV/0!</v>
      </c>
      <c r="I74" s="73" t="e">
        <f t="shared" si="78"/>
        <v>#DIV/0!</v>
      </c>
      <c r="J74" s="73" t="e">
        <f t="shared" si="78"/>
        <v>#DIV/0!</v>
      </c>
      <c r="K74" s="73" t="e">
        <f t="shared" si="78"/>
        <v>#DIV/0!</v>
      </c>
      <c r="L74" s="73" t="e">
        <f t="shared" si="78"/>
        <v>#DIV/0!</v>
      </c>
      <c r="M74" s="73" t="e">
        <f t="shared" si="78"/>
        <v>#DIV/0!</v>
      </c>
      <c r="N74" s="73" t="e">
        <f t="shared" si="78"/>
        <v>#DIV/0!</v>
      </c>
      <c r="O74" s="73" t="e">
        <f t="shared" si="78"/>
        <v>#DIV/0!</v>
      </c>
      <c r="P74" s="73" t="e">
        <f t="shared" si="78"/>
        <v>#DIV/0!</v>
      </c>
      <c r="Q74" s="74" t="e">
        <f t="shared" ref="Q74" si="79">SUM(E74:P74)</f>
        <v>#DIV/0!</v>
      </c>
    </row>
    <row r="75" spans="2:17" x14ac:dyDescent="0.2">
      <c r="B75" s="37" t="s">
        <v>109</v>
      </c>
      <c r="C75" s="5" t="s">
        <v>70</v>
      </c>
      <c r="D75" s="3" t="s">
        <v>38</v>
      </c>
      <c r="E75" s="73">
        <f t="shared" ref="E75:P75" si="80">E38/$Q38</f>
        <v>0</v>
      </c>
      <c r="F75" s="73">
        <f t="shared" si="80"/>
        <v>0</v>
      </c>
      <c r="G75" s="73">
        <f t="shared" si="80"/>
        <v>0</v>
      </c>
      <c r="H75" s="73">
        <f t="shared" si="80"/>
        <v>0.33333333333333331</v>
      </c>
      <c r="I75" s="73">
        <f t="shared" si="80"/>
        <v>0</v>
      </c>
      <c r="J75" s="73">
        <f t="shared" si="80"/>
        <v>0</v>
      </c>
      <c r="K75" s="73">
        <f t="shared" si="80"/>
        <v>0</v>
      </c>
      <c r="L75" s="73">
        <f t="shared" si="80"/>
        <v>0.33333333333333331</v>
      </c>
      <c r="M75" s="73">
        <f t="shared" si="80"/>
        <v>0</v>
      </c>
      <c r="N75" s="73">
        <f t="shared" si="80"/>
        <v>0</v>
      </c>
      <c r="O75" s="73">
        <f t="shared" si="80"/>
        <v>0.33333333333333331</v>
      </c>
      <c r="P75" s="73">
        <f t="shared" si="80"/>
        <v>0</v>
      </c>
      <c r="Q75" s="74">
        <f t="shared" si="64"/>
        <v>1</v>
      </c>
    </row>
    <row r="76" spans="2:17" x14ac:dyDescent="0.2">
      <c r="B76" s="38" t="s">
        <v>90</v>
      </c>
      <c r="C76" s="5" t="s">
        <v>91</v>
      </c>
      <c r="D76" s="3"/>
      <c r="E76" s="73">
        <f t="shared" ref="E76:P76" si="81">E39/$Q39</f>
        <v>0</v>
      </c>
      <c r="F76" s="73">
        <f t="shared" si="81"/>
        <v>0</v>
      </c>
      <c r="G76" s="73">
        <f t="shared" si="81"/>
        <v>0</v>
      </c>
      <c r="H76" s="73">
        <f t="shared" si="81"/>
        <v>0</v>
      </c>
      <c r="I76" s="73">
        <f t="shared" si="81"/>
        <v>0</v>
      </c>
      <c r="J76" s="73">
        <f t="shared" si="81"/>
        <v>0.5</v>
      </c>
      <c r="K76" s="73">
        <f t="shared" si="81"/>
        <v>0</v>
      </c>
      <c r="L76" s="73">
        <f t="shared" si="81"/>
        <v>0</v>
      </c>
      <c r="M76" s="73">
        <f t="shared" si="81"/>
        <v>0</v>
      </c>
      <c r="N76" s="73">
        <f t="shared" si="81"/>
        <v>0</v>
      </c>
      <c r="O76" s="73">
        <f t="shared" si="81"/>
        <v>0.5</v>
      </c>
      <c r="P76" s="73">
        <f t="shared" si="81"/>
        <v>0</v>
      </c>
      <c r="Q76" s="74">
        <f t="shared" si="64"/>
        <v>1</v>
      </c>
    </row>
    <row r="77" spans="2:17" x14ac:dyDescent="0.2">
      <c r="B77" s="266" t="s">
        <v>42</v>
      </c>
      <c r="C77" s="267"/>
      <c r="D77" s="267"/>
      <c r="E77" s="62">
        <f>E40/$Q$40</f>
        <v>5.3809091658405979E-2</v>
      </c>
      <c r="F77" s="62">
        <f t="shared" ref="F77:P77" si="82">F40/$Q$40</f>
        <v>6.3809483122346231E-2</v>
      </c>
      <c r="G77" s="62">
        <f t="shared" si="82"/>
        <v>5.5471716232861963E-2</v>
      </c>
      <c r="H77" s="62">
        <f t="shared" si="82"/>
        <v>9.6806584660146883E-2</v>
      </c>
      <c r="I77" s="62">
        <f t="shared" si="82"/>
        <v>8.7580642249977927E-2</v>
      </c>
      <c r="J77" s="62">
        <f t="shared" si="82"/>
        <v>7.7517631423400402E-2</v>
      </c>
      <c r="K77" s="62">
        <f t="shared" si="82"/>
        <v>0.10378584301905951</v>
      </c>
      <c r="L77" s="62">
        <f t="shared" si="82"/>
        <v>0.11721944140430668</v>
      </c>
      <c r="M77" s="62">
        <f t="shared" si="82"/>
        <v>7.0354190438526767E-2</v>
      </c>
      <c r="N77" s="62">
        <f t="shared" si="82"/>
        <v>7.0516238479110732E-2</v>
      </c>
      <c r="O77" s="62">
        <f t="shared" si="82"/>
        <v>0.14445418123254841</v>
      </c>
      <c r="P77" s="62">
        <f t="shared" si="82"/>
        <v>6.071965890325591E-2</v>
      </c>
      <c r="Q77" s="62">
        <f>SUM(E77:P77)</f>
        <v>1.0020447028239474</v>
      </c>
    </row>
    <row r="78" spans="2:17" ht="15" thickBot="1" x14ac:dyDescent="0.25">
      <c r="B78" s="264" t="s">
        <v>64</v>
      </c>
      <c r="C78" s="265"/>
      <c r="D78" s="265"/>
      <c r="E78" s="63">
        <f>E41/$Q$41</f>
        <v>5.7681988619765166E-2</v>
      </c>
      <c r="F78" s="63">
        <f t="shared" ref="F78:P78" si="83">F41/$Q$41</f>
        <v>6.4765886246349713E-2</v>
      </c>
      <c r="G78" s="63">
        <f t="shared" si="83"/>
        <v>6.7308311741682988E-2</v>
      </c>
      <c r="H78" s="63">
        <f t="shared" si="83"/>
        <v>7.1386083223373337E-2</v>
      </c>
      <c r="I78" s="63">
        <f t="shared" si="83"/>
        <v>7.6472098556623305E-2</v>
      </c>
      <c r="J78" s="63">
        <f t="shared" si="83"/>
        <v>8.4415700935172547E-2</v>
      </c>
      <c r="K78" s="63">
        <f t="shared" si="83"/>
        <v>9.2799645646189352E-2</v>
      </c>
      <c r="L78" s="63">
        <f t="shared" si="83"/>
        <v>0.10040982278327489</v>
      </c>
      <c r="M78" s="63">
        <f t="shared" si="83"/>
        <v>8.1810103796518721E-2</v>
      </c>
      <c r="N78" s="63">
        <f t="shared" si="83"/>
        <v>9.061800036255796E-2</v>
      </c>
      <c r="O78" s="63">
        <f t="shared" si="83"/>
        <v>0.11915664128140044</v>
      </c>
      <c r="P78" s="63">
        <f t="shared" si="83"/>
        <v>9.3660665465137793E-2</v>
      </c>
      <c r="Q78" s="64">
        <f>SUM(E78:P78)</f>
        <v>1.0004849486580463</v>
      </c>
    </row>
  </sheetData>
  <mergeCells count="3">
    <mergeCell ref="B78:D78"/>
    <mergeCell ref="B58:D58"/>
    <mergeCell ref="B77:D77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2210-31BF-46D1-8537-9C986ECEF446}">
  <sheetPr>
    <tabColor rgb="FFFF0000"/>
  </sheetPr>
  <dimension ref="A1:AB47"/>
  <sheetViews>
    <sheetView rightToLeft="1" workbookViewId="0">
      <pane xSplit="1" ySplit="4" topLeftCell="B20" activePane="bottomRight" state="frozen"/>
      <selection activeCell="E2" sqref="E1:E1048576"/>
      <selection pane="topRight" activeCell="E2" sqref="E1:E1048576"/>
      <selection pane="bottomLeft" activeCell="E2" sqref="E1:E1048576"/>
      <selection pane="bottomRight" activeCell="L30" sqref="L30"/>
    </sheetView>
  </sheetViews>
  <sheetFormatPr defaultRowHeight="14.25" x14ac:dyDescent="0.2"/>
  <cols>
    <col min="1" max="1" width="26.375" customWidth="1"/>
    <col min="2" max="2" width="9.375" bestFit="1" customWidth="1"/>
    <col min="14" max="14" width="8.875" bestFit="1" customWidth="1"/>
    <col min="15" max="15" width="10.875" bestFit="1" customWidth="1"/>
    <col min="16" max="16" width="8.875" bestFit="1" customWidth="1"/>
    <col min="18" max="19" width="8.875" bestFit="1" customWidth="1"/>
    <col min="21" max="21" width="8.875" bestFit="1" customWidth="1"/>
    <col min="22" max="28" width="10.25" customWidth="1"/>
  </cols>
  <sheetData>
    <row r="1" spans="1:28" ht="18.600000000000001" customHeight="1" x14ac:dyDescent="0.2"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</row>
    <row r="2" spans="1:28" ht="18.95" customHeight="1" x14ac:dyDescent="0.2">
      <c r="B2" s="51"/>
      <c r="C2" s="51"/>
      <c r="D2" s="51">
        <f t="shared" ref="D2:L2" si="0">D35/$O$35</f>
        <v>0.12306951558854011</v>
      </c>
      <c r="E2" s="51">
        <f t="shared" si="0"/>
        <v>0.10707744558882791</v>
      </c>
      <c r="F2" s="51">
        <f t="shared" si="0"/>
        <v>0.15914623681528889</v>
      </c>
      <c r="G2" s="51">
        <f t="shared" si="0"/>
        <v>1.5063993358602315E-4</v>
      </c>
      <c r="H2" s="51">
        <f t="shared" si="0"/>
        <v>0.15805837524648705</v>
      </c>
      <c r="I2" s="51">
        <f t="shared" si="0"/>
        <v>7.5565535131673023E-2</v>
      </c>
      <c r="J2" s="51">
        <f t="shared" si="0"/>
        <v>7.7103969999033323E-2</v>
      </c>
      <c r="K2" s="51">
        <f t="shared" si="0"/>
        <v>0.10192191308339521</v>
      </c>
      <c r="L2" s="51">
        <f t="shared" si="0"/>
        <v>8.1652987419910464E-2</v>
      </c>
      <c r="M2" s="51">
        <f>M35/$O$35</f>
        <v>0.1162533811932579</v>
      </c>
    </row>
    <row r="3" spans="1:28" x14ac:dyDescent="0.2">
      <c r="A3" s="41" t="s">
        <v>133</v>
      </c>
      <c r="B3" s="46">
        <v>45658</v>
      </c>
      <c r="C3" s="46">
        <v>45689</v>
      </c>
      <c r="D3" s="46">
        <v>45717</v>
      </c>
      <c r="E3" s="46">
        <v>45748</v>
      </c>
      <c r="F3" s="46">
        <v>45778</v>
      </c>
      <c r="G3" s="46">
        <v>45809</v>
      </c>
      <c r="H3" s="46">
        <v>45839</v>
      </c>
      <c r="I3" s="46">
        <v>45870</v>
      </c>
      <c r="J3" s="46">
        <v>46266</v>
      </c>
      <c r="K3" s="46">
        <v>45931</v>
      </c>
      <c r="L3" s="46">
        <v>45962</v>
      </c>
      <c r="M3" s="46">
        <v>45992</v>
      </c>
      <c r="N3" s="54" t="s">
        <v>106</v>
      </c>
      <c r="P3" s="54" t="s">
        <v>63</v>
      </c>
      <c r="R3" s="54" t="s">
        <v>152</v>
      </c>
      <c r="S3" s="54" t="s">
        <v>153</v>
      </c>
      <c r="T3" s="54" t="s">
        <v>154</v>
      </c>
      <c r="U3" s="54" t="s">
        <v>155</v>
      </c>
      <c r="V3" s="54" t="s">
        <v>156</v>
      </c>
      <c r="W3" s="54" t="s">
        <v>157</v>
      </c>
      <c r="X3" s="54" t="s">
        <v>158</v>
      </c>
      <c r="Y3" s="54" t="s">
        <v>159</v>
      </c>
      <c r="Z3" s="54" t="s">
        <v>160</v>
      </c>
      <c r="AA3" s="54" t="s">
        <v>161</v>
      </c>
      <c r="AB3" s="54" t="s">
        <v>162</v>
      </c>
    </row>
    <row r="4" spans="1:28" x14ac:dyDescent="0.2">
      <c r="A4" s="41" t="s">
        <v>123</v>
      </c>
      <c r="B4" s="40" t="s">
        <v>122</v>
      </c>
      <c r="C4" s="40" t="s">
        <v>122</v>
      </c>
      <c r="D4" s="40" t="s">
        <v>122</v>
      </c>
      <c r="E4" s="40" t="s">
        <v>122</v>
      </c>
      <c r="F4" s="40" t="s">
        <v>122</v>
      </c>
      <c r="G4" s="40" t="s">
        <v>122</v>
      </c>
      <c r="H4" s="40" t="s">
        <v>122</v>
      </c>
      <c r="I4" s="40" t="s">
        <v>122</v>
      </c>
      <c r="J4" s="40" t="s">
        <v>122</v>
      </c>
      <c r="K4" s="40" t="s">
        <v>122</v>
      </c>
      <c r="L4" s="40" t="s">
        <v>122</v>
      </c>
      <c r="M4" s="40" t="s">
        <v>122</v>
      </c>
      <c r="N4" s="55" t="s">
        <v>122</v>
      </c>
      <c r="P4" s="55" t="s">
        <v>122</v>
      </c>
      <c r="R4" s="55" t="s">
        <v>122</v>
      </c>
      <c r="S4" s="55" t="s">
        <v>122</v>
      </c>
      <c r="T4" s="55" t="s">
        <v>122</v>
      </c>
      <c r="U4" s="55" t="s">
        <v>122</v>
      </c>
      <c r="V4" s="55" t="s">
        <v>122</v>
      </c>
      <c r="W4" s="55" t="s">
        <v>122</v>
      </c>
      <c r="X4" s="55" t="s">
        <v>122</v>
      </c>
      <c r="Y4" s="55" t="s">
        <v>122</v>
      </c>
      <c r="Z4" s="55" t="s">
        <v>122</v>
      </c>
      <c r="AA4" s="55" t="s">
        <v>122</v>
      </c>
      <c r="AB4" s="55" t="s">
        <v>122</v>
      </c>
    </row>
    <row r="5" spans="1:28" x14ac:dyDescent="0.2">
      <c r="A5" s="37" t="s">
        <v>134</v>
      </c>
      <c r="B5" s="35">
        <v>844589.24000000255</v>
      </c>
      <c r="C5" s="35">
        <v>597568.02000000572</v>
      </c>
      <c r="D5" s="35">
        <v>638446.17200000188</v>
      </c>
      <c r="E5" s="35">
        <v>781364.83000000694</v>
      </c>
      <c r="F5" s="35">
        <v>977752.95000001136</v>
      </c>
      <c r="G5" s="35">
        <v>689832.37000000477</v>
      </c>
      <c r="H5" s="35">
        <v>758569.05000000482</v>
      </c>
      <c r="I5" s="35">
        <v>741932.1</v>
      </c>
      <c r="J5" s="35">
        <v>656043.56999999995</v>
      </c>
      <c r="K5" s="35">
        <v>612448.29</v>
      </c>
      <c r="L5" s="35">
        <v>740101.82</v>
      </c>
      <c r="M5" s="35">
        <v>650395.29</v>
      </c>
      <c r="N5" s="35">
        <v>8689043.7020000368</v>
      </c>
      <c r="O5" s="66">
        <f>SUM(D5:M5)</f>
        <v>7246886.4420000305</v>
      </c>
      <c r="P5" s="35">
        <v>2080603.43200001</v>
      </c>
      <c r="R5" s="35">
        <v>1442157.2600000082</v>
      </c>
      <c r="S5" s="35">
        <v>2080603.43200001</v>
      </c>
      <c r="T5" s="35">
        <v>2861968.2620000169</v>
      </c>
      <c r="U5" s="35">
        <v>3839721.2120000282</v>
      </c>
      <c r="V5" s="35">
        <v>4529553.582000033</v>
      </c>
      <c r="W5" s="35">
        <v>5288122.6320000375</v>
      </c>
      <c r="X5" s="35">
        <v>6030054.7320000371</v>
      </c>
      <c r="Y5" s="35">
        <v>6686098.3020000374</v>
      </c>
      <c r="Z5" s="35">
        <v>7298546.5920000374</v>
      </c>
      <c r="AA5" s="35">
        <v>8038648.4120000377</v>
      </c>
      <c r="AB5" s="35">
        <v>8689043.7020000368</v>
      </c>
    </row>
    <row r="6" spans="1:28" x14ac:dyDescent="0.2">
      <c r="A6" s="37" t="s">
        <v>121</v>
      </c>
      <c r="B6" s="35">
        <v>72633.300000000032</v>
      </c>
      <c r="C6" s="35">
        <v>46378.11</v>
      </c>
      <c r="D6" s="35">
        <v>65531.819999999992</v>
      </c>
      <c r="E6" s="35">
        <v>74555.12000000001</v>
      </c>
      <c r="F6" s="35">
        <v>94846.85</v>
      </c>
      <c r="G6" s="35">
        <v>63999.639999999992</v>
      </c>
      <c r="H6" s="35">
        <v>81305.009999999995</v>
      </c>
      <c r="I6" s="35">
        <v>61998.830000000016</v>
      </c>
      <c r="J6" s="35">
        <v>69988.58</v>
      </c>
      <c r="K6" s="35">
        <v>57765.279999999999</v>
      </c>
      <c r="L6" s="35">
        <v>96453.829999999987</v>
      </c>
      <c r="M6" s="35">
        <v>69362.570000000022</v>
      </c>
      <c r="N6" s="35">
        <v>854818.94000000018</v>
      </c>
      <c r="O6" s="66">
        <f t="shared" ref="O6:O38" si="1">SUM(D6:M6)</f>
        <v>735807.53</v>
      </c>
      <c r="P6" s="35">
        <v>184543.23000000004</v>
      </c>
      <c r="R6" s="35">
        <v>119011.41000000003</v>
      </c>
      <c r="S6" s="35">
        <v>184543.23000000004</v>
      </c>
      <c r="T6" s="35">
        <v>259098.35000000003</v>
      </c>
      <c r="U6" s="35">
        <v>353945.20000000007</v>
      </c>
      <c r="V6" s="35">
        <v>417944.84000000008</v>
      </c>
      <c r="W6" s="35">
        <v>499249.85000000009</v>
      </c>
      <c r="X6" s="35">
        <v>561248.68000000017</v>
      </c>
      <c r="Y6" s="35">
        <v>631237.26000000013</v>
      </c>
      <c r="Z6" s="35">
        <v>689002.54000000015</v>
      </c>
      <c r="AA6" s="35">
        <v>785456.37000000011</v>
      </c>
      <c r="AB6" s="35">
        <v>854818.94000000018</v>
      </c>
    </row>
    <row r="7" spans="1:28" x14ac:dyDescent="0.2">
      <c r="A7" s="37" t="s">
        <v>120</v>
      </c>
      <c r="B7" s="35">
        <v>16402.679999999997</v>
      </c>
      <c r="C7" s="35">
        <v>17589.940000000002</v>
      </c>
      <c r="D7" s="35">
        <v>21300.790000000005</v>
      </c>
      <c r="E7" s="35">
        <v>15201.7</v>
      </c>
      <c r="F7" s="35">
        <v>15870.650000000003</v>
      </c>
      <c r="G7" s="35">
        <v>9192.1699999999983</v>
      </c>
      <c r="H7" s="35">
        <v>10971.320000000002</v>
      </c>
      <c r="I7" s="35">
        <v>12420.51</v>
      </c>
      <c r="J7" s="35">
        <v>17490.719999999998</v>
      </c>
      <c r="K7" s="35">
        <v>9579</v>
      </c>
      <c r="L7" s="35">
        <v>28016.530000000002</v>
      </c>
      <c r="M7" s="35">
        <v>11214.500000000002</v>
      </c>
      <c r="N7" s="35">
        <v>185250.51</v>
      </c>
      <c r="O7" s="66">
        <f t="shared" si="1"/>
        <v>151257.89000000001</v>
      </c>
      <c r="P7" s="35">
        <v>55293.41</v>
      </c>
      <c r="R7" s="35">
        <v>33992.619999999995</v>
      </c>
      <c r="S7" s="35">
        <v>55293.41</v>
      </c>
      <c r="T7" s="35">
        <v>70495.11</v>
      </c>
      <c r="U7" s="35">
        <v>86365.760000000009</v>
      </c>
      <c r="V7" s="35">
        <v>95557.930000000008</v>
      </c>
      <c r="W7" s="35">
        <v>106529.25000000001</v>
      </c>
      <c r="X7" s="35">
        <v>118949.76000000001</v>
      </c>
      <c r="Y7" s="35">
        <v>136440.48000000001</v>
      </c>
      <c r="Z7" s="35">
        <v>146019.48000000001</v>
      </c>
      <c r="AA7" s="35">
        <v>174036.01</v>
      </c>
      <c r="AB7" s="35">
        <v>185250.51</v>
      </c>
    </row>
    <row r="8" spans="1:28" x14ac:dyDescent="0.2">
      <c r="A8" s="37" t="s">
        <v>119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514.20000000000005</v>
      </c>
      <c r="L8" s="35">
        <v>0</v>
      </c>
      <c r="M8" s="35">
        <v>0</v>
      </c>
      <c r="N8" s="35">
        <v>514.20000000000005</v>
      </c>
      <c r="O8" s="66">
        <f t="shared" si="1"/>
        <v>514.20000000000005</v>
      </c>
      <c r="P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514.20000000000005</v>
      </c>
      <c r="AA8" s="35">
        <v>514.20000000000005</v>
      </c>
      <c r="AB8" s="35">
        <v>514.20000000000005</v>
      </c>
    </row>
    <row r="9" spans="1:28" x14ac:dyDescent="0.2">
      <c r="A9" s="37" t="s">
        <v>118</v>
      </c>
      <c r="B9" s="35">
        <v>15213.91</v>
      </c>
      <c r="C9" s="35">
        <v>12501.56</v>
      </c>
      <c r="D9" s="35">
        <v>2138.4299999999998</v>
      </c>
      <c r="E9" s="35">
        <v>5898.3700000000008</v>
      </c>
      <c r="F9" s="35">
        <v>707.66000000000076</v>
      </c>
      <c r="G9" s="35">
        <v>17697.580000000002</v>
      </c>
      <c r="H9" s="35">
        <v>7828.72</v>
      </c>
      <c r="I9" s="35">
        <v>5704.97</v>
      </c>
      <c r="J9" s="35">
        <v>9679.4700000000012</v>
      </c>
      <c r="K9" s="35">
        <v>4038.81</v>
      </c>
      <c r="L9" s="35">
        <v>12930.619999999999</v>
      </c>
      <c r="M9" s="35">
        <v>361.5</v>
      </c>
      <c r="N9" s="35">
        <v>94701.6</v>
      </c>
      <c r="O9" s="66">
        <f t="shared" si="1"/>
        <v>66986.13</v>
      </c>
      <c r="P9" s="35">
        <v>29853.9</v>
      </c>
      <c r="R9" s="35">
        <v>27715.47</v>
      </c>
      <c r="S9" s="35">
        <v>29853.9</v>
      </c>
      <c r="T9" s="35">
        <v>35752.270000000004</v>
      </c>
      <c r="U9" s="35">
        <v>36459.930000000008</v>
      </c>
      <c r="V9" s="35">
        <v>54157.510000000009</v>
      </c>
      <c r="W9" s="35">
        <v>61986.23000000001</v>
      </c>
      <c r="X9" s="35">
        <v>67691.200000000012</v>
      </c>
      <c r="Y9" s="35">
        <v>77370.670000000013</v>
      </c>
      <c r="Z9" s="35">
        <v>81409.48000000001</v>
      </c>
      <c r="AA9" s="35">
        <v>94340.1</v>
      </c>
      <c r="AB9" s="35">
        <v>94701.6</v>
      </c>
    </row>
    <row r="10" spans="1:28" x14ac:dyDescent="0.2">
      <c r="A10" s="37" t="s">
        <v>117</v>
      </c>
      <c r="B10" s="35">
        <v>6025.5</v>
      </c>
      <c r="C10" s="35">
        <v>4045.81</v>
      </c>
      <c r="D10" s="35">
        <v>11352.51</v>
      </c>
      <c r="E10" s="35">
        <v>4054.42</v>
      </c>
      <c r="F10" s="35">
        <v>5871.1200000000008</v>
      </c>
      <c r="G10" s="35">
        <v>4288.26</v>
      </c>
      <c r="H10" s="35">
        <v>4990.47</v>
      </c>
      <c r="I10" s="35">
        <v>1459.42</v>
      </c>
      <c r="J10" s="35">
        <v>4228.8700000000008</v>
      </c>
      <c r="K10" s="35">
        <v>3274.69</v>
      </c>
      <c r="L10" s="35">
        <v>1902.07</v>
      </c>
      <c r="M10" s="35">
        <v>5866.579999999999</v>
      </c>
      <c r="N10" s="35">
        <v>57359.720000000008</v>
      </c>
      <c r="O10" s="66">
        <f t="shared" si="1"/>
        <v>47288.410000000011</v>
      </c>
      <c r="P10" s="35">
        <v>21423.82</v>
      </c>
      <c r="R10" s="35">
        <v>10071.31</v>
      </c>
      <c r="S10" s="35">
        <v>21423.82</v>
      </c>
      <c r="T10" s="35">
        <v>25478.239999999998</v>
      </c>
      <c r="U10" s="35">
        <v>31349.360000000001</v>
      </c>
      <c r="V10" s="35">
        <v>35637.620000000003</v>
      </c>
      <c r="W10" s="35">
        <v>40628.090000000004</v>
      </c>
      <c r="X10" s="35">
        <v>42087.51</v>
      </c>
      <c r="Y10" s="35">
        <v>46316.380000000005</v>
      </c>
      <c r="Z10" s="35">
        <v>49591.070000000007</v>
      </c>
      <c r="AA10" s="35">
        <v>51493.140000000007</v>
      </c>
      <c r="AB10" s="35">
        <v>57359.720000000008</v>
      </c>
    </row>
    <row r="11" spans="1:28" x14ac:dyDescent="0.2">
      <c r="A11" s="37" t="s">
        <v>116</v>
      </c>
      <c r="B11" s="35">
        <v>1162.8499999999999</v>
      </c>
      <c r="C11" s="35">
        <v>569.45000000000005</v>
      </c>
      <c r="D11" s="35">
        <v>0</v>
      </c>
      <c r="E11" s="35">
        <v>0</v>
      </c>
      <c r="F11" s="35">
        <v>0</v>
      </c>
      <c r="G11" s="35">
        <v>1244.8399999999999</v>
      </c>
      <c r="H11" s="35">
        <v>0</v>
      </c>
      <c r="I11" s="35">
        <v>0</v>
      </c>
      <c r="J11" s="35">
        <v>0</v>
      </c>
      <c r="K11" s="35">
        <v>669.74</v>
      </c>
      <c r="L11" s="35">
        <v>498.8</v>
      </c>
      <c r="M11" s="35">
        <v>0</v>
      </c>
      <c r="N11" s="35">
        <v>4145.68</v>
      </c>
      <c r="O11" s="66">
        <f t="shared" si="1"/>
        <v>2413.38</v>
      </c>
      <c r="P11" s="35">
        <v>1732.3</v>
      </c>
      <c r="R11" s="35">
        <v>1732.3</v>
      </c>
      <c r="S11" s="35">
        <v>1732.3</v>
      </c>
      <c r="T11" s="35">
        <v>1732.3</v>
      </c>
      <c r="U11" s="35">
        <v>1732.3</v>
      </c>
      <c r="V11" s="35">
        <v>2977.14</v>
      </c>
      <c r="W11" s="35">
        <v>2977.14</v>
      </c>
      <c r="X11" s="35">
        <v>2977.14</v>
      </c>
      <c r="Y11" s="35">
        <v>2977.14</v>
      </c>
      <c r="Z11" s="35">
        <v>3646.88</v>
      </c>
      <c r="AA11" s="35">
        <v>4145.68</v>
      </c>
      <c r="AB11" s="35">
        <v>4145.68</v>
      </c>
    </row>
    <row r="12" spans="1:28" x14ac:dyDescent="0.2">
      <c r="A12" s="37" t="s">
        <v>115</v>
      </c>
      <c r="B12" s="35">
        <v>58427.8</v>
      </c>
      <c r="C12" s="35">
        <v>233209.9</v>
      </c>
      <c r="D12" s="35">
        <v>66608.100000000006</v>
      </c>
      <c r="E12" s="35">
        <v>336937.60000000003</v>
      </c>
      <c r="F12" s="35">
        <v>131634</v>
      </c>
      <c r="G12" s="35">
        <v>0</v>
      </c>
      <c r="H12" s="35">
        <v>83088</v>
      </c>
      <c r="I12" s="35">
        <v>243929.09999999998</v>
      </c>
      <c r="J12" s="35">
        <v>157587.19</v>
      </c>
      <c r="K12" s="35">
        <v>33955.199999999997</v>
      </c>
      <c r="L12" s="35">
        <v>265660.90000000002</v>
      </c>
      <c r="M12" s="35">
        <v>97619.06</v>
      </c>
      <c r="N12" s="35">
        <v>1708656.85</v>
      </c>
      <c r="O12" s="66">
        <f t="shared" si="1"/>
        <v>1417019.15</v>
      </c>
      <c r="P12" s="35">
        <v>358245.80000000005</v>
      </c>
      <c r="R12" s="35">
        <v>291637.7</v>
      </c>
      <c r="S12" s="35">
        <v>358245.80000000005</v>
      </c>
      <c r="T12" s="35">
        <v>695183.40000000014</v>
      </c>
      <c r="U12" s="35">
        <v>826817.40000000014</v>
      </c>
      <c r="V12" s="35">
        <v>826817.40000000014</v>
      </c>
      <c r="W12" s="35">
        <v>909905.40000000014</v>
      </c>
      <c r="X12" s="35">
        <v>1153834.5</v>
      </c>
      <c r="Y12" s="35">
        <v>1311421.69</v>
      </c>
      <c r="Z12" s="35">
        <v>1345376.89</v>
      </c>
      <c r="AA12" s="35">
        <v>1611037.79</v>
      </c>
      <c r="AB12" s="35">
        <v>1708656.85</v>
      </c>
    </row>
    <row r="13" spans="1:28" x14ac:dyDescent="0.2">
      <c r="A13" s="37" t="s">
        <v>163</v>
      </c>
      <c r="B13" s="35">
        <v>0</v>
      </c>
      <c r="C13" s="35">
        <v>11720.98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7344.4</v>
      </c>
      <c r="J13" s="35">
        <v>0</v>
      </c>
      <c r="K13" s="35">
        <v>0</v>
      </c>
      <c r="L13" s="35">
        <v>0</v>
      </c>
      <c r="M13" s="35">
        <v>0</v>
      </c>
      <c r="N13" s="35">
        <v>19065.379999999997</v>
      </c>
      <c r="O13" s="66">
        <f t="shared" si="1"/>
        <v>7344.4</v>
      </c>
      <c r="P13" s="35">
        <v>11720.98</v>
      </c>
      <c r="R13" s="35">
        <v>11720.98</v>
      </c>
      <c r="S13" s="35">
        <v>11720.98</v>
      </c>
      <c r="T13" s="35">
        <v>11720.98</v>
      </c>
      <c r="U13" s="35">
        <v>11720.98</v>
      </c>
      <c r="V13" s="35">
        <v>11720.98</v>
      </c>
      <c r="W13" s="35">
        <v>11720.98</v>
      </c>
      <c r="X13" s="35">
        <v>19065.379999999997</v>
      </c>
      <c r="Y13" s="35">
        <v>19065.379999999997</v>
      </c>
      <c r="Z13" s="35">
        <v>19065.379999999997</v>
      </c>
      <c r="AA13" s="35">
        <v>19065.379999999997</v>
      </c>
      <c r="AB13" s="35">
        <v>19065.379999999997</v>
      </c>
    </row>
    <row r="14" spans="1:28" x14ac:dyDescent="0.2">
      <c r="A14" s="37" t="s">
        <v>114</v>
      </c>
      <c r="B14" s="35">
        <v>0</v>
      </c>
      <c r="C14" s="35">
        <v>11067.51</v>
      </c>
      <c r="D14" s="35">
        <v>0</v>
      </c>
      <c r="E14" s="35">
        <v>0</v>
      </c>
      <c r="F14" s="35">
        <v>0</v>
      </c>
      <c r="G14" s="35">
        <v>0</v>
      </c>
      <c r="H14" s="35">
        <v>651.15</v>
      </c>
      <c r="I14" s="35">
        <v>0</v>
      </c>
      <c r="J14" s="35">
        <v>0</v>
      </c>
      <c r="K14" s="35">
        <v>0</v>
      </c>
      <c r="L14" s="35">
        <v>0</v>
      </c>
      <c r="M14" s="35">
        <v>1813.57</v>
      </c>
      <c r="N14" s="35">
        <v>13532.23</v>
      </c>
      <c r="O14" s="66">
        <f t="shared" si="1"/>
        <v>2464.7199999999998</v>
      </c>
      <c r="P14" s="35">
        <v>11067.51</v>
      </c>
      <c r="R14" s="35">
        <v>11067.51</v>
      </c>
      <c r="S14" s="35">
        <v>11067.51</v>
      </c>
      <c r="T14" s="35">
        <v>11067.51</v>
      </c>
      <c r="U14" s="35">
        <v>11067.51</v>
      </c>
      <c r="V14" s="35">
        <v>11067.51</v>
      </c>
      <c r="W14" s="35">
        <v>11718.66</v>
      </c>
      <c r="X14" s="35">
        <v>11718.66</v>
      </c>
      <c r="Y14" s="35">
        <v>11718.66</v>
      </c>
      <c r="Z14" s="35">
        <v>11718.66</v>
      </c>
      <c r="AA14" s="35">
        <v>11718.66</v>
      </c>
      <c r="AB14" s="35">
        <v>13532.23</v>
      </c>
    </row>
    <row r="15" spans="1:28" x14ac:dyDescent="0.2">
      <c r="A15" s="37" t="s">
        <v>136</v>
      </c>
      <c r="B15" s="35">
        <v>16943.23</v>
      </c>
      <c r="C15" s="35">
        <v>8629.41</v>
      </c>
      <c r="D15" s="35">
        <v>10741.720000000001</v>
      </c>
      <c r="E15" s="35">
        <v>16562.55</v>
      </c>
      <c r="F15" s="35">
        <v>18520.669999999998</v>
      </c>
      <c r="G15" s="35">
        <v>10131.699999999999</v>
      </c>
      <c r="H15" s="35">
        <v>9190.31</v>
      </c>
      <c r="I15" s="35">
        <v>6621.54</v>
      </c>
      <c r="J15" s="35">
        <v>9073.07</v>
      </c>
      <c r="K15" s="35">
        <v>17028.329999999998</v>
      </c>
      <c r="L15" s="35">
        <v>21017.63</v>
      </c>
      <c r="M15" s="35">
        <v>7965.2</v>
      </c>
      <c r="N15" s="35">
        <v>152425.35999999999</v>
      </c>
      <c r="O15" s="66">
        <f t="shared" si="1"/>
        <v>126852.72</v>
      </c>
      <c r="P15" s="35">
        <v>36314.36</v>
      </c>
      <c r="R15" s="35">
        <v>25572.639999999999</v>
      </c>
      <c r="S15" s="35">
        <v>36314.36</v>
      </c>
      <c r="T15" s="35">
        <v>52876.91</v>
      </c>
      <c r="U15" s="35">
        <v>71397.58</v>
      </c>
      <c r="V15" s="35">
        <v>81529.279999999999</v>
      </c>
      <c r="W15" s="35">
        <v>90719.59</v>
      </c>
      <c r="X15" s="35">
        <v>97341.12999999999</v>
      </c>
      <c r="Y15" s="35">
        <v>106414.19999999998</v>
      </c>
      <c r="Z15" s="35">
        <v>123442.52999999998</v>
      </c>
      <c r="AA15" s="35">
        <v>144460.15999999997</v>
      </c>
      <c r="AB15" s="35">
        <v>152425.35999999999</v>
      </c>
    </row>
    <row r="16" spans="1:28" x14ac:dyDescent="0.2">
      <c r="A16" s="37" t="s">
        <v>113</v>
      </c>
      <c r="B16" s="35">
        <v>57834.640000000007</v>
      </c>
      <c r="C16" s="35">
        <v>82146.139999999985</v>
      </c>
      <c r="D16" s="35">
        <v>74502.3</v>
      </c>
      <c r="E16" s="35">
        <v>62433.130000000005</v>
      </c>
      <c r="F16" s="35">
        <v>88130.799999999974</v>
      </c>
      <c r="G16" s="35">
        <v>62616.159999999989</v>
      </c>
      <c r="H16" s="35">
        <v>95914.880000000005</v>
      </c>
      <c r="I16" s="35">
        <v>81013.089999999982</v>
      </c>
      <c r="J16" s="35">
        <v>89206.99</v>
      </c>
      <c r="K16" s="35">
        <v>70789.239999999991</v>
      </c>
      <c r="L16" s="35">
        <v>68004.570000000007</v>
      </c>
      <c r="M16" s="35">
        <v>60034.249999999978</v>
      </c>
      <c r="N16" s="35">
        <v>892626.19</v>
      </c>
      <c r="O16" s="66">
        <f t="shared" si="1"/>
        <v>752645.40999999992</v>
      </c>
      <c r="P16" s="35">
        <v>214483.08000000002</v>
      </c>
      <c r="R16" s="35">
        <v>139980.78</v>
      </c>
      <c r="S16" s="35">
        <v>214483.08000000002</v>
      </c>
      <c r="T16" s="35">
        <v>276916.21000000002</v>
      </c>
      <c r="U16" s="35">
        <v>365047.01</v>
      </c>
      <c r="V16" s="35">
        <v>427663.17</v>
      </c>
      <c r="W16" s="35">
        <v>523578.05</v>
      </c>
      <c r="X16" s="35">
        <v>604591.14</v>
      </c>
      <c r="Y16" s="35">
        <v>693798.13</v>
      </c>
      <c r="Z16" s="35">
        <v>764587.37</v>
      </c>
      <c r="AA16" s="35">
        <v>832591.94</v>
      </c>
      <c r="AB16" s="35">
        <v>892626.19</v>
      </c>
    </row>
    <row r="17" spans="1:28" x14ac:dyDescent="0.2">
      <c r="A17" s="37" t="s">
        <v>112</v>
      </c>
      <c r="B17" s="35">
        <v>326467.5</v>
      </c>
      <c r="C17" s="35">
        <v>371734.5</v>
      </c>
      <c r="D17" s="35">
        <v>376182</v>
      </c>
      <c r="E17" s="35">
        <v>263457</v>
      </c>
      <c r="F17" s="35">
        <v>307503</v>
      </c>
      <c r="G17" s="35">
        <v>363201.5</v>
      </c>
      <c r="H17" s="35">
        <v>329541.7</v>
      </c>
      <c r="I17" s="35">
        <v>273604.39999999997</v>
      </c>
      <c r="J17" s="35">
        <v>337200.15</v>
      </c>
      <c r="K17" s="35">
        <v>184903.80000000002</v>
      </c>
      <c r="L17" s="35">
        <v>308121.37</v>
      </c>
      <c r="M17" s="35">
        <v>367699.50000000006</v>
      </c>
      <c r="N17" s="35">
        <v>3809616.42</v>
      </c>
      <c r="O17" s="66">
        <f t="shared" si="1"/>
        <v>3111414.42</v>
      </c>
      <c r="P17" s="35">
        <v>1074384</v>
      </c>
      <c r="R17" s="35">
        <v>698202</v>
      </c>
      <c r="S17" s="35">
        <v>1074384</v>
      </c>
      <c r="T17" s="35">
        <v>1337841</v>
      </c>
      <c r="U17" s="35">
        <v>1645344</v>
      </c>
      <c r="V17" s="35">
        <v>2008545.5</v>
      </c>
      <c r="W17" s="35">
        <v>2338087.2000000002</v>
      </c>
      <c r="X17" s="35">
        <v>2611691.6</v>
      </c>
      <c r="Y17" s="35">
        <v>2948891.75</v>
      </c>
      <c r="Z17" s="35">
        <v>3133795.55</v>
      </c>
      <c r="AA17" s="35">
        <v>3441916.92</v>
      </c>
      <c r="AB17" s="35">
        <v>3809616.42</v>
      </c>
    </row>
    <row r="18" spans="1:28" x14ac:dyDescent="0.2">
      <c r="A18" s="37" t="s">
        <v>111</v>
      </c>
      <c r="B18" s="35">
        <v>92988.169999999576</v>
      </c>
      <c r="C18" s="35">
        <v>97231.17999999976</v>
      </c>
      <c r="D18" s="35">
        <v>98819.240000000034</v>
      </c>
      <c r="E18" s="35">
        <v>96447.310000000187</v>
      </c>
      <c r="F18" s="35">
        <v>99302.950000000201</v>
      </c>
      <c r="G18" s="35">
        <v>128892.76000000039</v>
      </c>
      <c r="H18" s="35">
        <v>163496.61999999839</v>
      </c>
      <c r="I18" s="35">
        <v>136844.32999999952</v>
      </c>
      <c r="J18" s="35">
        <v>143120.64999999831</v>
      </c>
      <c r="K18" s="35">
        <v>136200.53999999957</v>
      </c>
      <c r="L18" s="35">
        <v>249690.08000000147</v>
      </c>
      <c r="M18" s="35">
        <v>213224.45999999787</v>
      </c>
      <c r="N18" s="35">
        <v>1656258.2899999951</v>
      </c>
      <c r="O18" s="66">
        <f t="shared" si="1"/>
        <v>1466038.939999996</v>
      </c>
      <c r="P18" s="35">
        <v>289038.58999999939</v>
      </c>
      <c r="R18" s="35">
        <v>190219.34999999934</v>
      </c>
      <c r="S18" s="35">
        <v>289038.58999999939</v>
      </c>
      <c r="T18" s="35">
        <v>385485.89999999956</v>
      </c>
      <c r="U18" s="35">
        <v>484788.84999999974</v>
      </c>
      <c r="V18" s="35">
        <v>613681.6100000001</v>
      </c>
      <c r="W18" s="35">
        <v>777178.22999999847</v>
      </c>
      <c r="X18" s="35">
        <v>914022.55999999796</v>
      </c>
      <c r="Y18" s="35">
        <v>1057143.2099999962</v>
      </c>
      <c r="Z18" s="35">
        <v>1193343.7499999958</v>
      </c>
      <c r="AA18" s="35">
        <v>1443033.8299999973</v>
      </c>
      <c r="AB18" s="35">
        <v>1656258.2899999951</v>
      </c>
    </row>
    <row r="19" spans="1:28" x14ac:dyDescent="0.2">
      <c r="A19" s="37" t="s">
        <v>110</v>
      </c>
      <c r="B19" s="35">
        <v>2032.3000000000002</v>
      </c>
      <c r="C19" s="35">
        <v>3188.8200000000006</v>
      </c>
      <c r="D19" s="35">
        <v>3577.559999999999</v>
      </c>
      <c r="E19" s="35">
        <v>2606.4000000000005</v>
      </c>
      <c r="F19" s="35">
        <v>1491.14</v>
      </c>
      <c r="G19" s="35">
        <v>4432.93</v>
      </c>
      <c r="H19" s="35">
        <v>1318.1200000000001</v>
      </c>
      <c r="I19" s="35">
        <v>2497.5200000000004</v>
      </c>
      <c r="J19" s="35">
        <v>1798.35</v>
      </c>
      <c r="K19" s="35">
        <v>1762.2600000000002</v>
      </c>
      <c r="L19" s="35">
        <v>1058.8800000000001</v>
      </c>
      <c r="M19" s="35">
        <v>1561.4600000000005</v>
      </c>
      <c r="N19" s="35">
        <v>27325.74</v>
      </c>
      <c r="O19" s="66">
        <f t="shared" si="1"/>
        <v>22104.62</v>
      </c>
      <c r="P19" s="35">
        <v>8798.68</v>
      </c>
      <c r="R19" s="35">
        <v>5221.1200000000008</v>
      </c>
      <c r="S19" s="35">
        <v>8798.68</v>
      </c>
      <c r="T19" s="35">
        <v>11405.080000000002</v>
      </c>
      <c r="U19" s="35">
        <v>12896.220000000001</v>
      </c>
      <c r="V19" s="35">
        <v>17329.150000000001</v>
      </c>
      <c r="W19" s="35">
        <v>18647.27</v>
      </c>
      <c r="X19" s="35">
        <v>21144.79</v>
      </c>
      <c r="Y19" s="35">
        <v>22943.14</v>
      </c>
      <c r="Z19" s="35">
        <v>24705.4</v>
      </c>
      <c r="AA19" s="35">
        <v>25764.280000000002</v>
      </c>
      <c r="AB19" s="35">
        <v>27325.74</v>
      </c>
    </row>
    <row r="20" spans="1:28" x14ac:dyDescent="0.2">
      <c r="A20" s="37" t="s">
        <v>93</v>
      </c>
      <c r="B20" s="35">
        <v>0</v>
      </c>
      <c r="C20" s="35">
        <v>213082.56</v>
      </c>
      <c r="D20" s="35">
        <v>0</v>
      </c>
      <c r="E20" s="35">
        <v>217182.24</v>
      </c>
      <c r="F20" s="35">
        <v>0</v>
      </c>
      <c r="G20" s="35">
        <v>0</v>
      </c>
      <c r="H20" s="35">
        <v>187405.66</v>
      </c>
      <c r="I20" s="35">
        <v>0</v>
      </c>
      <c r="J20" s="35">
        <v>0</v>
      </c>
      <c r="K20" s="35">
        <v>140125.45000000001</v>
      </c>
      <c r="L20" s="35">
        <v>0</v>
      </c>
      <c r="M20" s="35">
        <v>144741.73000000001</v>
      </c>
      <c r="N20" s="35">
        <v>902537.6399999999</v>
      </c>
      <c r="O20" s="66">
        <f t="shared" si="1"/>
        <v>689455.08000000007</v>
      </c>
      <c r="P20" s="35">
        <v>213082.56</v>
      </c>
      <c r="R20" s="35">
        <v>213082.56</v>
      </c>
      <c r="S20" s="35">
        <v>213082.56</v>
      </c>
      <c r="T20" s="35">
        <v>430264.8</v>
      </c>
      <c r="U20" s="35">
        <v>430264.8</v>
      </c>
      <c r="V20" s="35">
        <v>430264.8</v>
      </c>
      <c r="W20" s="35">
        <v>617670.46</v>
      </c>
      <c r="X20" s="35">
        <v>617670.46</v>
      </c>
      <c r="Y20" s="35">
        <v>617670.46</v>
      </c>
      <c r="Z20" s="35">
        <v>757795.90999999992</v>
      </c>
      <c r="AA20" s="35">
        <v>757795.90999999992</v>
      </c>
      <c r="AB20" s="35">
        <v>902537.6399999999</v>
      </c>
    </row>
    <row r="21" spans="1:28" s="81" customFormat="1" x14ac:dyDescent="0.2">
      <c r="A21" s="78" t="s">
        <v>103</v>
      </c>
      <c r="B21" s="79">
        <v>19897.57</v>
      </c>
      <c r="C21" s="79">
        <v>0</v>
      </c>
      <c r="D21" s="79">
        <v>0</v>
      </c>
      <c r="E21" s="79">
        <v>0</v>
      </c>
      <c r="F21" s="79">
        <v>18835.730000000003</v>
      </c>
      <c r="G21" s="79">
        <v>0</v>
      </c>
      <c r="H21" s="79">
        <v>0</v>
      </c>
      <c r="I21" s="79">
        <v>0</v>
      </c>
      <c r="J21" s="79">
        <v>0</v>
      </c>
      <c r="K21" s="79">
        <v>22174.82</v>
      </c>
      <c r="L21" s="79">
        <v>0.08</v>
      </c>
      <c r="M21" s="79">
        <v>0</v>
      </c>
      <c r="N21" s="79">
        <v>60908.200000000004</v>
      </c>
      <c r="O21" s="80">
        <f t="shared" si="1"/>
        <v>41010.630000000005</v>
      </c>
      <c r="P21" s="79">
        <v>19897.57</v>
      </c>
      <c r="R21" s="79">
        <v>19897.57</v>
      </c>
      <c r="S21" s="79">
        <v>19897.57</v>
      </c>
      <c r="T21" s="79">
        <v>19897.57</v>
      </c>
      <c r="U21" s="79">
        <v>38733.300000000003</v>
      </c>
      <c r="V21" s="79">
        <v>38733.300000000003</v>
      </c>
      <c r="W21" s="79">
        <v>38733.300000000003</v>
      </c>
      <c r="X21" s="79">
        <v>38733.300000000003</v>
      </c>
      <c r="Y21" s="79">
        <v>38733.300000000003</v>
      </c>
      <c r="Z21" s="79">
        <v>60908.12</v>
      </c>
      <c r="AA21" s="79">
        <v>60908.200000000004</v>
      </c>
      <c r="AB21" s="79">
        <v>60908.200000000004</v>
      </c>
    </row>
    <row r="22" spans="1:28" s="77" customFormat="1" x14ac:dyDescent="0.2">
      <c r="A22" s="75" t="s">
        <v>99</v>
      </c>
      <c r="B22" s="76">
        <v>0</v>
      </c>
      <c r="C22" s="76">
        <v>0</v>
      </c>
      <c r="D22" s="76">
        <v>0</v>
      </c>
      <c r="E22" s="76">
        <v>35240.620000000003</v>
      </c>
      <c r="F22" s="76">
        <v>0</v>
      </c>
      <c r="G22" s="76">
        <v>0</v>
      </c>
      <c r="H22" s="76">
        <v>31010.799999999999</v>
      </c>
      <c r="I22" s="76">
        <v>0</v>
      </c>
      <c r="J22" s="76">
        <v>0</v>
      </c>
      <c r="K22" s="76">
        <v>20604.23</v>
      </c>
      <c r="L22" s="76">
        <v>0</v>
      </c>
      <c r="M22" s="76">
        <v>0</v>
      </c>
      <c r="N22" s="76">
        <v>86855.65</v>
      </c>
      <c r="O22" s="66">
        <f t="shared" si="1"/>
        <v>86855.65</v>
      </c>
      <c r="P22" s="76">
        <v>0</v>
      </c>
      <c r="R22" s="76">
        <v>0</v>
      </c>
      <c r="S22" s="76">
        <v>0</v>
      </c>
      <c r="T22" s="76">
        <v>35240.620000000003</v>
      </c>
      <c r="U22" s="76">
        <v>35240.620000000003</v>
      </c>
      <c r="V22" s="76">
        <v>35240.620000000003</v>
      </c>
      <c r="W22" s="76">
        <v>66251.42</v>
      </c>
      <c r="X22" s="76">
        <v>66251.42</v>
      </c>
      <c r="Y22" s="76">
        <v>66251.42</v>
      </c>
      <c r="Z22" s="76">
        <v>86855.65</v>
      </c>
      <c r="AA22" s="76">
        <v>86855.65</v>
      </c>
      <c r="AB22" s="76">
        <v>86855.65</v>
      </c>
    </row>
    <row r="23" spans="1:28" x14ac:dyDescent="0.2">
      <c r="A23" s="37" t="s">
        <v>109</v>
      </c>
      <c r="B23" s="35">
        <v>0</v>
      </c>
      <c r="C23" s="35">
        <v>0</v>
      </c>
      <c r="D23" s="35">
        <v>0</v>
      </c>
      <c r="E23" s="35">
        <v>0</v>
      </c>
      <c r="F23" s="35">
        <v>248.59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248.59</v>
      </c>
      <c r="O23" s="66">
        <f t="shared" si="1"/>
        <v>248.59</v>
      </c>
      <c r="P23" s="35">
        <v>0</v>
      </c>
      <c r="R23" s="35">
        <v>0</v>
      </c>
      <c r="S23" s="35">
        <v>0</v>
      </c>
      <c r="T23" s="35">
        <v>0</v>
      </c>
      <c r="U23" s="35">
        <v>248.59</v>
      </c>
      <c r="V23" s="35">
        <v>248.59</v>
      </c>
      <c r="W23" s="35">
        <v>248.59</v>
      </c>
      <c r="X23" s="35">
        <v>248.59</v>
      </c>
      <c r="Y23" s="35">
        <v>248.59</v>
      </c>
      <c r="Z23" s="35">
        <v>248.59</v>
      </c>
      <c r="AA23" s="35">
        <v>248.59</v>
      </c>
      <c r="AB23" s="35">
        <v>248.59</v>
      </c>
    </row>
    <row r="24" spans="1:28" x14ac:dyDescent="0.2">
      <c r="A24" s="37" t="s">
        <v>96</v>
      </c>
      <c r="B24" s="35">
        <v>0</v>
      </c>
      <c r="C24" s="35">
        <v>16335.18</v>
      </c>
      <c r="D24" s="35">
        <v>13664.6</v>
      </c>
      <c r="E24" s="35">
        <v>11888.32</v>
      </c>
      <c r="F24" s="35">
        <v>0</v>
      </c>
      <c r="G24" s="35">
        <v>0</v>
      </c>
      <c r="H24" s="35">
        <v>30796.16</v>
      </c>
      <c r="I24" s="35">
        <v>18496.39</v>
      </c>
      <c r="J24" s="35">
        <v>0</v>
      </c>
      <c r="K24" s="35">
        <v>15474.02</v>
      </c>
      <c r="L24" s="35">
        <v>15684.33</v>
      </c>
      <c r="M24" s="35">
        <v>0</v>
      </c>
      <c r="N24" s="35">
        <v>122339</v>
      </c>
      <c r="O24" s="66">
        <f t="shared" si="1"/>
        <v>106003.82</v>
      </c>
      <c r="P24" s="35">
        <v>29999.78</v>
      </c>
      <c r="R24" s="35">
        <v>16335.18</v>
      </c>
      <c r="S24" s="35">
        <v>29999.78</v>
      </c>
      <c r="T24" s="35">
        <v>41888.1</v>
      </c>
      <c r="U24" s="35">
        <v>41888.1</v>
      </c>
      <c r="V24" s="35">
        <v>41888.1</v>
      </c>
      <c r="W24" s="35">
        <v>72684.259999999995</v>
      </c>
      <c r="X24" s="35">
        <v>91180.65</v>
      </c>
      <c r="Y24" s="35">
        <v>91180.65</v>
      </c>
      <c r="Z24" s="35">
        <v>106654.67</v>
      </c>
      <c r="AA24" s="35">
        <v>122339</v>
      </c>
      <c r="AB24" s="35">
        <v>122339</v>
      </c>
    </row>
    <row r="25" spans="1:28" x14ac:dyDescent="0.2">
      <c r="A25" s="37" t="s">
        <v>92</v>
      </c>
      <c r="B25" s="35">
        <v>187395.64</v>
      </c>
      <c r="C25" s="35">
        <v>188313.47</v>
      </c>
      <c r="D25" s="35">
        <v>239973.2</v>
      </c>
      <c r="E25" s="35">
        <v>238431.78</v>
      </c>
      <c r="F25" s="35">
        <v>252540.02</v>
      </c>
      <c r="G25" s="35">
        <v>68328.759999999995</v>
      </c>
      <c r="H25" s="35">
        <v>353503.85</v>
      </c>
      <c r="I25" s="35">
        <v>252496.44</v>
      </c>
      <c r="J25" s="35">
        <v>247434.35</v>
      </c>
      <c r="K25" s="35">
        <v>223589.21</v>
      </c>
      <c r="L25" s="35">
        <v>271266.06</v>
      </c>
      <c r="M25" s="35">
        <v>182118.44</v>
      </c>
      <c r="N25" s="35">
        <v>2705391.22</v>
      </c>
      <c r="O25" s="66">
        <f t="shared" si="1"/>
        <v>2329682.11</v>
      </c>
      <c r="P25" s="35">
        <v>615682.31000000006</v>
      </c>
      <c r="R25" s="35">
        <v>375709.11</v>
      </c>
      <c r="S25" s="35">
        <v>615682.31000000006</v>
      </c>
      <c r="T25" s="35">
        <v>854114.09000000008</v>
      </c>
      <c r="U25" s="35">
        <v>1106654.1100000001</v>
      </c>
      <c r="V25" s="35">
        <v>1174982.8700000001</v>
      </c>
      <c r="W25" s="35">
        <v>1528486.7200000002</v>
      </c>
      <c r="X25" s="35">
        <v>1780983.1600000001</v>
      </c>
      <c r="Y25" s="35">
        <v>2028417.5100000002</v>
      </c>
      <c r="Z25" s="35">
        <v>2252006.7200000002</v>
      </c>
      <c r="AA25" s="35">
        <v>2523272.7800000003</v>
      </c>
      <c r="AB25" s="35">
        <v>2705391.22</v>
      </c>
    </row>
    <row r="26" spans="1:28" x14ac:dyDescent="0.2">
      <c r="A26" s="37" t="s">
        <v>97</v>
      </c>
      <c r="B26" s="35">
        <v>0</v>
      </c>
      <c r="C26" s="35">
        <v>0</v>
      </c>
      <c r="D26" s="35">
        <v>42132.93</v>
      </c>
      <c r="E26" s="35">
        <v>0</v>
      </c>
      <c r="F26" s="35">
        <v>10766.89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52899.82</v>
      </c>
      <c r="O26" s="66">
        <f t="shared" si="1"/>
        <v>52899.82</v>
      </c>
      <c r="P26" s="35">
        <v>42132.93</v>
      </c>
      <c r="R26" s="35">
        <v>0</v>
      </c>
      <c r="S26" s="35">
        <v>42132.93</v>
      </c>
      <c r="T26" s="35">
        <v>42132.93</v>
      </c>
      <c r="U26" s="35">
        <v>52899.82</v>
      </c>
      <c r="V26" s="35">
        <v>52899.82</v>
      </c>
      <c r="W26" s="35">
        <v>52899.82</v>
      </c>
      <c r="X26" s="35">
        <v>52899.82</v>
      </c>
      <c r="Y26" s="35">
        <v>52899.82</v>
      </c>
      <c r="Z26" s="35">
        <v>52899.82</v>
      </c>
      <c r="AA26" s="35">
        <v>52899.82</v>
      </c>
      <c r="AB26" s="35">
        <v>52899.82</v>
      </c>
    </row>
    <row r="27" spans="1:28" x14ac:dyDescent="0.2">
      <c r="A27" s="37" t="s">
        <v>94</v>
      </c>
      <c r="B27" s="35">
        <v>18517.61</v>
      </c>
      <c r="C27" s="35">
        <v>35605.910000000003</v>
      </c>
      <c r="D27" s="35">
        <v>26449.51</v>
      </c>
      <c r="E27" s="35">
        <v>0</v>
      </c>
      <c r="F27" s="35">
        <v>1513.3</v>
      </c>
      <c r="G27" s="35">
        <v>0</v>
      </c>
      <c r="H27" s="35">
        <v>194396.85</v>
      </c>
      <c r="I27" s="35">
        <v>64506.58</v>
      </c>
      <c r="J27" s="35">
        <v>10281.019999999999</v>
      </c>
      <c r="K27" s="35">
        <v>596.73</v>
      </c>
      <c r="L27" s="35">
        <v>53932.219999999994</v>
      </c>
      <c r="M27" s="35">
        <v>121.12</v>
      </c>
      <c r="N27" s="35">
        <v>405920.85</v>
      </c>
      <c r="O27" s="66">
        <f t="shared" si="1"/>
        <v>351797.32999999996</v>
      </c>
      <c r="P27" s="35">
        <v>80573.03</v>
      </c>
      <c r="R27" s="35">
        <v>54123.520000000004</v>
      </c>
      <c r="S27" s="35">
        <v>80573.03</v>
      </c>
      <c r="T27" s="35">
        <v>80573.03</v>
      </c>
      <c r="U27" s="35">
        <v>82086.33</v>
      </c>
      <c r="V27" s="35">
        <v>82086.33</v>
      </c>
      <c r="W27" s="35">
        <v>276483.18</v>
      </c>
      <c r="X27" s="35">
        <v>340989.76</v>
      </c>
      <c r="Y27" s="35">
        <v>351270.78</v>
      </c>
      <c r="Z27" s="35">
        <v>351867.51</v>
      </c>
      <c r="AA27" s="35">
        <v>405799.73</v>
      </c>
      <c r="AB27" s="35">
        <v>405920.85</v>
      </c>
    </row>
    <row r="28" spans="1:28" x14ac:dyDescent="0.2">
      <c r="A28" s="37" t="s">
        <v>102</v>
      </c>
      <c r="B28" s="35">
        <v>0</v>
      </c>
      <c r="C28" s="35">
        <v>0</v>
      </c>
      <c r="D28" s="35">
        <v>32010.18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32544.41</v>
      </c>
      <c r="M28" s="35">
        <v>0</v>
      </c>
      <c r="N28" s="35">
        <v>64554.59</v>
      </c>
      <c r="O28" s="66">
        <f t="shared" si="1"/>
        <v>64554.59</v>
      </c>
      <c r="P28" s="35">
        <v>32010.18</v>
      </c>
      <c r="R28" s="35">
        <v>0</v>
      </c>
      <c r="S28" s="35">
        <v>32010.18</v>
      </c>
      <c r="T28" s="35">
        <v>32010.18</v>
      </c>
      <c r="U28" s="35">
        <v>32010.18</v>
      </c>
      <c r="V28" s="35">
        <v>32010.18</v>
      </c>
      <c r="W28" s="35">
        <v>32010.18</v>
      </c>
      <c r="X28" s="35">
        <v>32010.18</v>
      </c>
      <c r="Y28" s="35">
        <v>32010.18</v>
      </c>
      <c r="Z28" s="35">
        <v>32010.18</v>
      </c>
      <c r="AA28" s="35">
        <v>64554.59</v>
      </c>
      <c r="AB28" s="35">
        <v>64554.59</v>
      </c>
    </row>
    <row r="29" spans="1:28" x14ac:dyDescent="0.2">
      <c r="A29" s="37" t="s">
        <v>95</v>
      </c>
      <c r="B29" s="35">
        <v>0</v>
      </c>
      <c r="C29" s="35">
        <v>85563.25</v>
      </c>
      <c r="D29" s="35">
        <v>0</v>
      </c>
      <c r="E29" s="35">
        <v>88706.82</v>
      </c>
      <c r="F29" s="35">
        <v>0</v>
      </c>
      <c r="G29" s="35">
        <v>0</v>
      </c>
      <c r="H29" s="35">
        <v>87907.48</v>
      </c>
      <c r="I29" s="35">
        <v>68497.3</v>
      </c>
      <c r="J29" s="35">
        <v>0</v>
      </c>
      <c r="K29" s="35">
        <v>0</v>
      </c>
      <c r="L29" s="35">
        <v>83397.790000000008</v>
      </c>
      <c r="M29" s="35">
        <v>0</v>
      </c>
      <c r="N29" s="35">
        <v>414072.64</v>
      </c>
      <c r="O29" s="66">
        <f t="shared" si="1"/>
        <v>328509.39</v>
      </c>
      <c r="P29" s="35">
        <v>85563.25</v>
      </c>
      <c r="R29" s="35">
        <v>85563.25</v>
      </c>
      <c r="S29" s="35">
        <v>85563.25</v>
      </c>
      <c r="T29" s="35">
        <v>174270.07</v>
      </c>
      <c r="U29" s="35">
        <v>174270.07</v>
      </c>
      <c r="V29" s="35">
        <v>174270.07</v>
      </c>
      <c r="W29" s="35">
        <v>262177.55</v>
      </c>
      <c r="X29" s="35">
        <v>330674.84999999998</v>
      </c>
      <c r="Y29" s="35">
        <v>330674.84999999998</v>
      </c>
      <c r="Z29" s="35">
        <v>330674.84999999998</v>
      </c>
      <c r="AA29" s="35">
        <v>414072.64</v>
      </c>
      <c r="AB29" s="35">
        <v>414072.64</v>
      </c>
    </row>
    <row r="30" spans="1:28" s="85" customFormat="1" x14ac:dyDescent="0.2">
      <c r="A30" s="82" t="s">
        <v>105</v>
      </c>
      <c r="B30" s="83">
        <v>0</v>
      </c>
      <c r="C30" s="83">
        <v>0</v>
      </c>
      <c r="D30" s="83">
        <v>0</v>
      </c>
      <c r="E30" s="83">
        <v>0</v>
      </c>
      <c r="F30" s="83">
        <v>30531.53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23331.65</v>
      </c>
      <c r="M30" s="83">
        <v>0</v>
      </c>
      <c r="N30" s="83">
        <v>53863.18</v>
      </c>
      <c r="O30" s="84">
        <f t="shared" si="1"/>
        <v>53863.18</v>
      </c>
      <c r="P30" s="83">
        <v>0</v>
      </c>
      <c r="R30" s="83">
        <v>0</v>
      </c>
      <c r="S30" s="83">
        <v>0</v>
      </c>
      <c r="T30" s="83">
        <v>0</v>
      </c>
      <c r="U30" s="83">
        <v>30531.53</v>
      </c>
      <c r="V30" s="83">
        <v>30531.53</v>
      </c>
      <c r="W30" s="83">
        <v>30531.53</v>
      </c>
      <c r="X30" s="83">
        <v>30531.53</v>
      </c>
      <c r="Y30" s="83">
        <v>30531.53</v>
      </c>
      <c r="Z30" s="83">
        <v>30531.53</v>
      </c>
      <c r="AA30" s="83">
        <v>53863.18</v>
      </c>
      <c r="AB30" s="83">
        <v>53863.18</v>
      </c>
    </row>
    <row r="31" spans="1:28" x14ac:dyDescent="0.2">
      <c r="A31" s="37" t="s">
        <v>85</v>
      </c>
      <c r="B31" s="35">
        <v>0</v>
      </c>
      <c r="C31" s="35">
        <v>0</v>
      </c>
      <c r="D31" s="35">
        <v>16024.5</v>
      </c>
      <c r="E31" s="35">
        <v>0</v>
      </c>
      <c r="F31" s="35">
        <v>0</v>
      </c>
      <c r="G31" s="35">
        <v>0</v>
      </c>
      <c r="H31" s="35">
        <v>15559.58</v>
      </c>
      <c r="I31" s="35">
        <v>0</v>
      </c>
      <c r="J31" s="35">
        <v>50202.49</v>
      </c>
      <c r="K31" s="35">
        <v>0</v>
      </c>
      <c r="L31" s="35">
        <v>0</v>
      </c>
      <c r="M31" s="35">
        <v>0</v>
      </c>
      <c r="N31" s="35">
        <v>81786.570000000007</v>
      </c>
      <c r="O31" s="66">
        <f t="shared" si="1"/>
        <v>81786.570000000007</v>
      </c>
      <c r="P31" s="35">
        <v>16024.5</v>
      </c>
      <c r="R31" s="35">
        <v>0</v>
      </c>
      <c r="S31" s="35">
        <v>16024.5</v>
      </c>
      <c r="T31" s="35">
        <v>16024.5</v>
      </c>
      <c r="U31" s="35">
        <v>16024.5</v>
      </c>
      <c r="V31" s="35">
        <v>16024.5</v>
      </c>
      <c r="W31" s="35">
        <v>31584.080000000002</v>
      </c>
      <c r="X31" s="35">
        <v>31584.080000000002</v>
      </c>
      <c r="Y31" s="35">
        <v>81786.570000000007</v>
      </c>
      <c r="Z31" s="35">
        <v>81786.570000000007</v>
      </c>
      <c r="AA31" s="35">
        <v>81786.570000000007</v>
      </c>
      <c r="AB31" s="35">
        <v>81786.570000000007</v>
      </c>
    </row>
    <row r="32" spans="1:28" s="81" customFormat="1" x14ac:dyDescent="0.2">
      <c r="A32" s="78" t="s">
        <v>104</v>
      </c>
      <c r="B32" s="79">
        <v>19111.37</v>
      </c>
      <c r="C32" s="79">
        <v>1584.32</v>
      </c>
      <c r="D32" s="79">
        <v>0</v>
      </c>
      <c r="E32" s="79">
        <v>0</v>
      </c>
      <c r="F32" s="79">
        <v>19017.88</v>
      </c>
      <c r="G32" s="79">
        <v>0</v>
      </c>
      <c r="H32" s="79">
        <v>0</v>
      </c>
      <c r="I32" s="79">
        <v>0</v>
      </c>
      <c r="J32" s="79">
        <v>0</v>
      </c>
      <c r="K32" s="79">
        <v>0</v>
      </c>
      <c r="L32" s="79">
        <v>0</v>
      </c>
      <c r="M32" s="79">
        <v>0</v>
      </c>
      <c r="N32" s="79">
        <v>39713.57</v>
      </c>
      <c r="O32" s="80">
        <f t="shared" si="1"/>
        <v>19017.88</v>
      </c>
      <c r="P32" s="79">
        <v>20695.689999999999</v>
      </c>
      <c r="R32" s="79">
        <v>20695.689999999999</v>
      </c>
      <c r="S32" s="79">
        <v>20695.689999999999</v>
      </c>
      <c r="T32" s="79">
        <v>20695.689999999999</v>
      </c>
      <c r="U32" s="79">
        <v>39713.57</v>
      </c>
      <c r="V32" s="79">
        <v>39713.57</v>
      </c>
      <c r="W32" s="79">
        <v>39713.57</v>
      </c>
      <c r="X32" s="79">
        <v>39713.57</v>
      </c>
      <c r="Y32" s="79">
        <v>39713.57</v>
      </c>
      <c r="Z32" s="79">
        <v>39713.57</v>
      </c>
      <c r="AA32" s="79">
        <v>39713.57</v>
      </c>
      <c r="AB32" s="79">
        <v>39713.57</v>
      </c>
    </row>
    <row r="33" spans="1:28" x14ac:dyDescent="0.2">
      <c r="A33" s="37" t="s">
        <v>98</v>
      </c>
      <c r="B33" s="35">
        <v>0</v>
      </c>
      <c r="C33" s="35">
        <v>0</v>
      </c>
      <c r="D33" s="35">
        <v>0</v>
      </c>
      <c r="E33" s="35">
        <v>0</v>
      </c>
      <c r="F33" s="35">
        <v>172805.6</v>
      </c>
      <c r="G33" s="35">
        <v>0.33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146752.62</v>
      </c>
      <c r="N33" s="35">
        <v>319558.55</v>
      </c>
      <c r="O33" s="66">
        <f t="shared" si="1"/>
        <v>319558.55</v>
      </c>
      <c r="P33" s="35">
        <v>0</v>
      </c>
      <c r="R33" s="35">
        <v>0</v>
      </c>
      <c r="S33" s="35">
        <v>0</v>
      </c>
      <c r="T33" s="35">
        <v>0</v>
      </c>
      <c r="U33" s="35">
        <v>172805.6</v>
      </c>
      <c r="V33" s="35">
        <v>172805.93</v>
      </c>
      <c r="W33" s="35">
        <v>172805.93</v>
      </c>
      <c r="X33" s="35">
        <v>172805.93</v>
      </c>
      <c r="Y33" s="35">
        <v>172805.93</v>
      </c>
      <c r="Z33" s="35">
        <v>172805.93</v>
      </c>
      <c r="AA33" s="35">
        <v>172805.93</v>
      </c>
      <c r="AB33" s="35">
        <v>319558.55</v>
      </c>
    </row>
    <row r="34" spans="1:28" x14ac:dyDescent="0.2">
      <c r="A34" s="37" t="s">
        <v>100</v>
      </c>
      <c r="B34" s="35">
        <v>0</v>
      </c>
      <c r="C34" s="35">
        <v>0</v>
      </c>
      <c r="D34" s="35">
        <v>0.22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256771.88</v>
      </c>
      <c r="M34" s="35">
        <v>0</v>
      </c>
      <c r="N34" s="35">
        <v>256772.1</v>
      </c>
      <c r="O34" s="66">
        <f t="shared" si="1"/>
        <v>256772.1</v>
      </c>
      <c r="P34" s="35">
        <v>0.22</v>
      </c>
      <c r="R34" s="35">
        <v>0</v>
      </c>
      <c r="S34" s="35">
        <v>0.22</v>
      </c>
      <c r="T34" s="35">
        <v>0.22</v>
      </c>
      <c r="U34" s="35">
        <v>0.22</v>
      </c>
      <c r="V34" s="35">
        <v>0.22</v>
      </c>
      <c r="W34" s="35">
        <v>0.22</v>
      </c>
      <c r="X34" s="35">
        <v>0.22</v>
      </c>
      <c r="Y34" s="35">
        <v>0.22</v>
      </c>
      <c r="Z34" s="35">
        <v>0.22</v>
      </c>
      <c r="AA34" s="35">
        <v>256772.1</v>
      </c>
      <c r="AB34" s="35">
        <v>256772.1</v>
      </c>
    </row>
    <row r="35" spans="1:28" x14ac:dyDescent="0.2">
      <c r="A35" s="37" t="s">
        <v>101</v>
      </c>
      <c r="B35" s="35">
        <v>0</v>
      </c>
      <c r="C35" s="35">
        <v>49474.45</v>
      </c>
      <c r="D35" s="35">
        <v>43871.72</v>
      </c>
      <c r="E35" s="35">
        <v>38170.879999999997</v>
      </c>
      <c r="F35" s="35">
        <v>56732.320000000007</v>
      </c>
      <c r="G35" s="35">
        <v>53.7</v>
      </c>
      <c r="H35" s="35">
        <v>56344.520000000011</v>
      </c>
      <c r="I35" s="35">
        <v>26937.539999999997</v>
      </c>
      <c r="J35" s="35">
        <v>27485.960000000003</v>
      </c>
      <c r="K35" s="35">
        <v>36333.040000000001</v>
      </c>
      <c r="L35" s="35">
        <v>29107.59</v>
      </c>
      <c r="M35" s="35">
        <v>41441.910000000003</v>
      </c>
      <c r="N35" s="35">
        <v>405953.63</v>
      </c>
      <c r="O35" s="66">
        <f t="shared" si="1"/>
        <v>356479.18000000005</v>
      </c>
      <c r="P35" s="35">
        <v>93346.17</v>
      </c>
      <c r="R35" s="35">
        <v>49474.45</v>
      </c>
      <c r="S35" s="35">
        <v>93346.17</v>
      </c>
      <c r="T35" s="35">
        <v>131517.04999999999</v>
      </c>
      <c r="U35" s="35">
        <v>188249.37</v>
      </c>
      <c r="V35" s="35">
        <v>188303.07</v>
      </c>
      <c r="W35" s="35">
        <v>244647.59000000003</v>
      </c>
      <c r="X35" s="35">
        <v>271585.13</v>
      </c>
      <c r="Y35" s="35">
        <v>299071.09000000003</v>
      </c>
      <c r="Z35" s="35">
        <v>335404.13</v>
      </c>
      <c r="AA35" s="35">
        <v>364511.72000000003</v>
      </c>
      <c r="AB35" s="35">
        <v>405953.63</v>
      </c>
    </row>
    <row r="36" spans="1:28" x14ac:dyDescent="0.2">
      <c r="A36" s="37" t="s">
        <v>108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66">
        <f t="shared" si="1"/>
        <v>0</v>
      </c>
      <c r="P36" s="35">
        <v>0</v>
      </c>
      <c r="R36" s="35">
        <v>0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</row>
    <row r="37" spans="1:28" x14ac:dyDescent="0.2">
      <c r="A37" s="37" t="s">
        <v>107</v>
      </c>
      <c r="B37" s="35">
        <v>0</v>
      </c>
      <c r="C37" s="35">
        <v>0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66">
        <f t="shared" si="1"/>
        <v>0</v>
      </c>
      <c r="P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</row>
    <row r="38" spans="1:28" x14ac:dyDescent="0.2">
      <c r="A38" s="36" t="s">
        <v>106</v>
      </c>
      <c r="B38" s="39">
        <v>1755643.3100000026</v>
      </c>
      <c r="C38" s="39">
        <v>2087540.4700000053</v>
      </c>
      <c r="D38" s="39">
        <v>1783327.502000002</v>
      </c>
      <c r="E38" s="39">
        <v>2289139.0900000073</v>
      </c>
      <c r="F38" s="39">
        <v>2304623.6500000111</v>
      </c>
      <c r="G38" s="39">
        <v>1423912.7000000053</v>
      </c>
      <c r="H38" s="39">
        <v>2503790.2500000033</v>
      </c>
      <c r="I38" s="39">
        <v>2006304.4599999995</v>
      </c>
      <c r="J38" s="39">
        <v>1830821.4299999983</v>
      </c>
      <c r="K38" s="39">
        <v>1591826.8799999997</v>
      </c>
      <c r="L38" s="39">
        <v>2559493.1100000013</v>
      </c>
      <c r="M38" s="39">
        <v>2002293.7599999977</v>
      </c>
      <c r="N38" s="39">
        <v>24138716.61200003</v>
      </c>
      <c r="O38" s="66">
        <f t="shared" si="1"/>
        <v>20295532.832000025</v>
      </c>
      <c r="P38" s="39">
        <v>5626511.2820000099</v>
      </c>
      <c r="R38" s="39">
        <v>3843183.7800000077</v>
      </c>
      <c r="S38" s="39">
        <v>5626511.2820000099</v>
      </c>
      <c r="T38" s="39">
        <v>7915650.3720000163</v>
      </c>
      <c r="U38" s="39">
        <v>10220274.022000026</v>
      </c>
      <c r="V38" s="39">
        <v>11644186.722000035</v>
      </c>
      <c r="W38" s="39">
        <v>14147976.972000036</v>
      </c>
      <c r="X38" s="39">
        <v>16154281.432000037</v>
      </c>
      <c r="Y38" s="39">
        <v>17985102.862000037</v>
      </c>
      <c r="Z38" s="39">
        <v>19576929.742000036</v>
      </c>
      <c r="AA38" s="39">
        <v>22136422.852000032</v>
      </c>
      <c r="AB38" s="39">
        <v>24138716.61200003</v>
      </c>
    </row>
    <row r="39" spans="1:28" x14ac:dyDescent="0.2">
      <c r="P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1:28" x14ac:dyDescent="0.2">
      <c r="A40" s="2" t="s">
        <v>0</v>
      </c>
      <c r="B40" s="35">
        <v>670882.19970000477</v>
      </c>
      <c r="C40" s="35">
        <v>406825.34620000247</v>
      </c>
      <c r="D40" s="35">
        <v>437918.57200000179</v>
      </c>
      <c r="E40" s="35">
        <v>549545.83000000706</v>
      </c>
      <c r="F40" s="35">
        <v>729180.69470001059</v>
      </c>
      <c r="G40" s="35">
        <v>452295.98000000487</v>
      </c>
      <c r="H40" s="35">
        <v>486312.52000000491</v>
      </c>
      <c r="I40" s="35">
        <v>495074.58</v>
      </c>
      <c r="J40" s="35">
        <v>465794.42000000004</v>
      </c>
      <c r="K40" s="35">
        <v>417469.78</v>
      </c>
      <c r="L40" s="35">
        <v>507426.01</v>
      </c>
      <c r="M40" s="35">
        <v>453051.69</v>
      </c>
      <c r="N40" s="35">
        <v>6071777.6226000376</v>
      </c>
      <c r="P40" s="35">
        <v>1515626.117900009</v>
      </c>
      <c r="R40" s="35">
        <v>1077707.5459000072</v>
      </c>
      <c r="S40" s="35">
        <v>1515626.117900009</v>
      </c>
      <c r="T40" s="35">
        <v>2065171.9479000161</v>
      </c>
      <c r="U40" s="35">
        <v>2794352.6426000269</v>
      </c>
      <c r="V40" s="35">
        <v>3246648.622600032</v>
      </c>
      <c r="W40" s="35">
        <v>3732961.1426000372</v>
      </c>
      <c r="X40" s="35">
        <v>4228035.7226000372</v>
      </c>
      <c r="Y40" s="35">
        <v>4693830.1426000372</v>
      </c>
      <c r="Z40" s="35">
        <v>5111299.9226000374</v>
      </c>
      <c r="AA40" s="35">
        <v>5618725.9326000372</v>
      </c>
      <c r="AB40" s="35">
        <v>6071777.6226000376</v>
      </c>
    </row>
    <row r="41" spans="1:28" x14ac:dyDescent="0.2">
      <c r="A41" s="2" t="s">
        <v>44</v>
      </c>
      <c r="B41" s="35">
        <v>54489.89</v>
      </c>
      <c r="C41" s="35">
        <v>65962.260000000009</v>
      </c>
      <c r="D41" s="35">
        <v>58257.29</v>
      </c>
      <c r="E41" s="35">
        <v>75168</v>
      </c>
      <c r="F41" s="35">
        <v>80577.77</v>
      </c>
      <c r="G41" s="35">
        <v>87191.650000000009</v>
      </c>
      <c r="H41" s="35">
        <v>59921.68</v>
      </c>
      <c r="I41" s="35">
        <v>73631.740000000005</v>
      </c>
      <c r="J41" s="35">
        <v>64918.490000000005</v>
      </c>
      <c r="K41" s="35">
        <v>61390.420000000006</v>
      </c>
      <c r="L41" s="35">
        <v>85930.39</v>
      </c>
      <c r="M41" s="35">
        <v>61250.28</v>
      </c>
      <c r="N41" s="35">
        <v>828689.8600000001</v>
      </c>
      <c r="P41" s="35">
        <v>178709.44</v>
      </c>
      <c r="R41" s="35">
        <v>120452.15000000001</v>
      </c>
      <c r="S41" s="35">
        <v>178709.44</v>
      </c>
      <c r="T41" s="35">
        <v>253877.44</v>
      </c>
      <c r="U41" s="35">
        <v>334455.21000000002</v>
      </c>
      <c r="V41" s="35">
        <v>421646.86000000004</v>
      </c>
      <c r="W41" s="35">
        <v>481568.54000000004</v>
      </c>
      <c r="X41" s="35">
        <v>555200.28</v>
      </c>
      <c r="Y41" s="35">
        <v>620118.77</v>
      </c>
      <c r="Z41" s="35">
        <v>681509.19000000006</v>
      </c>
      <c r="AA41" s="35">
        <v>767439.58000000007</v>
      </c>
      <c r="AB41" s="35">
        <v>828689.8600000001</v>
      </c>
    </row>
    <row r="42" spans="1:28" x14ac:dyDescent="0.2">
      <c r="A42" s="2"/>
      <c r="B42" s="35">
        <v>119217.15029999778</v>
      </c>
      <c r="C42" s="35">
        <v>124780.41380000324</v>
      </c>
      <c r="D42" s="35">
        <v>142270.31000000008</v>
      </c>
      <c r="E42" s="35">
        <v>156650.99999999988</v>
      </c>
      <c r="F42" s="35">
        <v>167994.48530000076</v>
      </c>
      <c r="G42" s="35">
        <v>150344.73999999987</v>
      </c>
      <c r="H42" s="35">
        <v>212334.84999999992</v>
      </c>
      <c r="I42" s="35">
        <v>173225.77999999997</v>
      </c>
      <c r="J42" s="35">
        <v>125330.6599999999</v>
      </c>
      <c r="K42" s="35">
        <v>133588.09</v>
      </c>
      <c r="L42" s="35">
        <v>146745.41999999993</v>
      </c>
      <c r="M42" s="35">
        <v>136093.32000000004</v>
      </c>
      <c r="N42" s="35">
        <v>1788576.2194000015</v>
      </c>
      <c r="P42" s="35">
        <v>386267.87410000106</v>
      </c>
      <c r="R42" s="35">
        <v>243997.56410000101</v>
      </c>
      <c r="S42" s="35">
        <v>386267.87410000106</v>
      </c>
      <c r="T42" s="35">
        <v>542918.87410000095</v>
      </c>
      <c r="U42" s="35">
        <v>710913.3594000017</v>
      </c>
      <c r="V42" s="35">
        <v>861258.09940000158</v>
      </c>
      <c r="W42" s="35">
        <v>1073592.9494000014</v>
      </c>
      <c r="X42" s="35">
        <v>1246818.7294000015</v>
      </c>
      <c r="Y42" s="35">
        <v>1372149.3894000014</v>
      </c>
      <c r="Z42" s="35">
        <v>1505737.4794000015</v>
      </c>
      <c r="AA42" s="35">
        <v>1652482.8994000014</v>
      </c>
      <c r="AB42" s="35">
        <v>1788576.2194000015</v>
      </c>
    </row>
    <row r="43" spans="1:28" x14ac:dyDescent="0.2">
      <c r="B43" s="53">
        <v>844589.24000000255</v>
      </c>
      <c r="C43" s="53">
        <v>597568.02000000572</v>
      </c>
      <c r="D43" s="53">
        <v>638446.17200000188</v>
      </c>
      <c r="E43" s="53">
        <v>781364.83000000694</v>
      </c>
      <c r="F43" s="53">
        <v>977752.95000001136</v>
      </c>
      <c r="G43" s="53">
        <v>689832.37000000477</v>
      </c>
      <c r="H43" s="53">
        <v>758569.05000000494</v>
      </c>
      <c r="I43" s="53">
        <v>741932.10000000009</v>
      </c>
      <c r="J43" s="53">
        <v>656043.56999999995</v>
      </c>
      <c r="K43" s="53">
        <v>612448.29</v>
      </c>
      <c r="L43" s="53">
        <v>740101.82</v>
      </c>
      <c r="M43" s="53">
        <v>650395.29</v>
      </c>
      <c r="N43" s="53">
        <v>8689043.7020000387</v>
      </c>
      <c r="P43" s="35">
        <v>2080603.43200001</v>
      </c>
      <c r="R43" s="53">
        <v>1442157.2600000082</v>
      </c>
      <c r="S43" s="53">
        <v>2080603.43200001</v>
      </c>
      <c r="T43" s="53">
        <v>2861968.2620000173</v>
      </c>
      <c r="U43" s="53">
        <v>3839721.2120000287</v>
      </c>
      <c r="V43" s="53">
        <v>4529553.5820000339</v>
      </c>
      <c r="W43" s="53">
        <v>5288122.6320000384</v>
      </c>
      <c r="X43" s="53">
        <v>6030054.732000039</v>
      </c>
      <c r="Y43" s="53">
        <v>6686098.3020000383</v>
      </c>
      <c r="Z43" s="53">
        <v>7298546.5920000393</v>
      </c>
      <c r="AA43" s="53">
        <v>8038648.4120000387</v>
      </c>
      <c r="AB43" s="53">
        <v>8689043.7020000387</v>
      </c>
    </row>
    <row r="44" spans="1:28" x14ac:dyDescent="0.2"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</row>
    <row r="46" spans="1:28" x14ac:dyDescent="0.2">
      <c r="A46" s="2" t="s">
        <v>3</v>
      </c>
      <c r="B46" s="66">
        <f>B42+B15</f>
        <v>136160.38029999778</v>
      </c>
      <c r="C46" s="66">
        <f t="shared" ref="C46:P46" si="2">C42+C15</f>
        <v>133409.82380000324</v>
      </c>
      <c r="D46" s="66">
        <f t="shared" si="2"/>
        <v>153012.03000000009</v>
      </c>
      <c r="E46" s="66">
        <f t="shared" si="2"/>
        <v>173213.54999999987</v>
      </c>
      <c r="F46" s="66">
        <f t="shared" si="2"/>
        <v>186515.15530000074</v>
      </c>
      <c r="G46" s="66">
        <f t="shared" si="2"/>
        <v>160476.43999999989</v>
      </c>
      <c r="H46" s="66">
        <f t="shared" si="2"/>
        <v>221525.15999999992</v>
      </c>
      <c r="I46" s="66">
        <f t="shared" si="2"/>
        <v>179847.31999999998</v>
      </c>
      <c r="J46" s="66">
        <f t="shared" si="2"/>
        <v>134403.72999999989</v>
      </c>
      <c r="K46" s="66">
        <f t="shared" si="2"/>
        <v>150616.41999999998</v>
      </c>
      <c r="L46" s="66">
        <f t="shared" si="2"/>
        <v>167763.04999999993</v>
      </c>
      <c r="M46" s="66">
        <f t="shared" si="2"/>
        <v>144058.52000000005</v>
      </c>
      <c r="N46" s="66">
        <f t="shared" si="2"/>
        <v>1941001.5794000016</v>
      </c>
      <c r="P46" s="66">
        <f t="shared" si="2"/>
        <v>422582.23410000105</v>
      </c>
      <c r="R46" s="66">
        <f t="shared" ref="R46:AB46" si="3">R42+R15</f>
        <v>269570.20410000102</v>
      </c>
      <c r="S46" s="66">
        <f t="shared" si="3"/>
        <v>422582.23410000105</v>
      </c>
      <c r="T46" s="66">
        <f t="shared" si="3"/>
        <v>595795.78410000098</v>
      </c>
      <c r="U46" s="66">
        <f t="shared" si="3"/>
        <v>782310.93940000166</v>
      </c>
      <c r="V46" s="66">
        <f t="shared" si="3"/>
        <v>942787.37940000161</v>
      </c>
      <c r="W46" s="66">
        <f t="shared" si="3"/>
        <v>1164312.5394000015</v>
      </c>
      <c r="X46" s="66">
        <f t="shared" si="3"/>
        <v>1344159.8594000014</v>
      </c>
      <c r="Y46" s="66">
        <f t="shared" si="3"/>
        <v>1478563.5894000013</v>
      </c>
      <c r="Z46" s="66">
        <f t="shared" si="3"/>
        <v>1629180.0094000015</v>
      </c>
      <c r="AA46" s="66">
        <f t="shared" si="3"/>
        <v>1796943.0594000013</v>
      </c>
      <c r="AB46" s="66">
        <f t="shared" si="3"/>
        <v>1941001.5794000016</v>
      </c>
    </row>
    <row r="47" spans="1:28" x14ac:dyDescent="0.2"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rightToLeft="1" workbookViewId="0">
      <pane xSplit="4" ySplit="2" topLeftCell="E3" activePane="bottomRight" state="frozen"/>
      <selection activeCell="J13" sqref="J13"/>
      <selection pane="topRight" activeCell="J13" sqref="J13"/>
      <selection pane="bottomLeft" activeCell="J13" sqref="J13"/>
      <selection pane="bottomRight" activeCell="G29" sqref="G29"/>
    </sheetView>
  </sheetViews>
  <sheetFormatPr defaultRowHeight="14.25" x14ac:dyDescent="0.2"/>
  <cols>
    <col min="1" max="1" width="15.375" hidden="1" customWidth="1"/>
    <col min="2" max="2" width="17.375" customWidth="1"/>
    <col min="3" max="3" width="21.375" customWidth="1"/>
    <col min="4" max="4" width="11.375" style="1" customWidth="1"/>
    <col min="5" max="7" width="11.625" customWidth="1"/>
    <col min="8" max="8" width="11.875" style="51" bestFit="1" customWidth="1"/>
    <col min="9" max="9" width="16.75" bestFit="1" customWidth="1"/>
    <col min="10" max="10" width="14.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164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>
        <v>1.2023999999999999</v>
      </c>
      <c r="F2" s="30">
        <v>1.2024999999999999</v>
      </c>
      <c r="G2" s="30">
        <v>1.2025999999999999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VLOOKUP($A3,'2024'!$A:$O,2,0)</f>
        <v>-594.08000000000004</v>
      </c>
      <c r="F3" s="9">
        <f>VLOOKUP($A3,'2025'!$A:$O,2,0)</f>
        <v>58427.8</v>
      </c>
      <c r="G3" s="9">
        <v>63104</v>
      </c>
      <c r="H3" s="49">
        <f t="shared" ref="H3:H16" si="0">G3/F3-1</f>
        <v>8.0033819517421501E-2</v>
      </c>
      <c r="I3" s="11">
        <f t="shared" ref="I3:I15" si="1">G3-F3</f>
        <v>4676.1999999999971</v>
      </c>
      <c r="J3" s="8">
        <f>VLOOKUP(B3,'תקציב  '!$B:$S,4,0)*1</f>
        <v>176666.66666666666</v>
      </c>
      <c r="K3" s="49">
        <f t="shared" ref="K3:K16" si="2">G3/J3-1</f>
        <v>-0.64280754716981137</v>
      </c>
      <c r="L3" s="13">
        <f t="shared" ref="L3:L15" si="3">G3-J3</f>
        <v>-113562.66666666666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VLOOKUP(B4,'2024'!$A:$O,2,0)</f>
        <v>452441.08</v>
      </c>
      <c r="F4" s="9">
        <f>VLOOKUP($A4,'2025'!$A:$O,2,0)</f>
        <v>670882.19970000477</v>
      </c>
      <c r="G4" s="9">
        <f>465886*0.91</f>
        <v>423956.26</v>
      </c>
      <c r="H4" s="49">
        <f t="shared" si="0"/>
        <v>-0.36806154614091935</v>
      </c>
      <c r="I4" s="11">
        <f t="shared" si="1"/>
        <v>-246925.93970000476</v>
      </c>
      <c r="J4" s="8">
        <f>VLOOKUP(B4,'תקציב  '!$B:$S,4,0)*1</f>
        <v>536666.66666666663</v>
      </c>
      <c r="K4" s="49">
        <f t="shared" si="2"/>
        <v>-0.21001939130434777</v>
      </c>
      <c r="L4" s="13">
        <f t="shared" si="3"/>
        <v>-112710.40666666662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VLOOKUP(B5,'2024'!$A:$O,2,0)</f>
        <v>63301.420000000006</v>
      </c>
      <c r="F5" s="9">
        <f>VLOOKUP($A5,'2025'!$A:$O,2,0)</f>
        <v>54489.89</v>
      </c>
      <c r="G5" s="9">
        <f>(74936-611)*0.91</f>
        <v>67635.75</v>
      </c>
      <c r="H5" s="49">
        <f t="shared" si="0"/>
        <v>0.24125319394111466</v>
      </c>
      <c r="I5" s="11">
        <f t="shared" si="1"/>
        <v>13145.86</v>
      </c>
      <c r="J5" s="8">
        <f>VLOOKUP(B5,'תקציב  '!$B:$S,4,0)*1</f>
        <v>73000</v>
      </c>
      <c r="K5" s="49">
        <f t="shared" si="2"/>
        <v>-7.3482876712328782E-2</v>
      </c>
      <c r="L5" s="13">
        <f t="shared" si="3"/>
        <v>-5364.25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VLOOKUP(B6,'2024'!$A:$O,2,0)</f>
        <v>164714.584</v>
      </c>
      <c r="F6" s="9">
        <f>VLOOKUP($A6,'2025'!$A:$O,2,0)</f>
        <v>136160.38029999778</v>
      </c>
      <c r="G6" s="9">
        <f>675284.8-G5-G4+8477</f>
        <v>192169.79000000004</v>
      </c>
      <c r="H6" s="49">
        <f t="shared" si="0"/>
        <v>0.41134880481824831</v>
      </c>
      <c r="I6" s="11">
        <f t="shared" si="1"/>
        <v>56009.409700002259</v>
      </c>
      <c r="J6" s="8">
        <f>VLOOKUP(A6,'תקציב  '!$B:$S,4,0)*1</f>
        <v>152333.33333333331</v>
      </c>
      <c r="K6" s="49">
        <f t="shared" si="2"/>
        <v>0.26150846827133511</v>
      </c>
      <c r="L6" s="13">
        <f t="shared" si="3"/>
        <v>39836.456666666723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VLOOKUP(A7,'2024'!$A:$O,2,0)</f>
        <v>414961</v>
      </c>
      <c r="F7" s="9">
        <f>VLOOKUP($A7,'2025'!$A:$O,2,0)</f>
        <v>326467.5</v>
      </c>
      <c r="G7" s="9">
        <v>320186.20000000007</v>
      </c>
      <c r="H7" s="49">
        <f t="shared" si="0"/>
        <v>-1.9240200019909892E-2</v>
      </c>
      <c r="I7" s="11">
        <f t="shared" si="1"/>
        <v>-6281.2999999999302</v>
      </c>
      <c r="J7" s="8">
        <f>VLOOKUP(B7,'תקציב  '!$B:$S,4,0)*1</f>
        <v>365000</v>
      </c>
      <c r="K7" s="49">
        <f t="shared" si="2"/>
        <v>-0.12277753424657512</v>
      </c>
      <c r="L7" s="13">
        <f t="shared" si="3"/>
        <v>-44813.79999999993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VLOOKUP(A8,'2024'!$A:$O,2,0)</f>
        <v>74817.97</v>
      </c>
      <c r="F8" s="9">
        <f>VLOOKUP($A8,'2025'!$A:$O,2,0)</f>
        <v>57834.640000000007</v>
      </c>
      <c r="G8" s="9">
        <v>60425.140000000014</v>
      </c>
      <c r="H8" s="49">
        <f t="shared" si="0"/>
        <v>4.4791495200800169E-2</v>
      </c>
      <c r="I8" s="11">
        <f t="shared" si="1"/>
        <v>2590.5000000000073</v>
      </c>
      <c r="J8" s="8">
        <f>VLOOKUP(B8,'תקציב  '!$B:$S,4,0)*1</f>
        <v>83333.333333333328</v>
      </c>
      <c r="K8" s="49">
        <f t="shared" si="2"/>
        <v>-0.27489831999999981</v>
      </c>
      <c r="L8" s="13">
        <f t="shared" si="3"/>
        <v>-22908.193333333315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VLOOKUP(A9,'2024'!$A:$O,2,0)</f>
        <v>91890.1</v>
      </c>
      <c r="F9" s="9">
        <f>VLOOKUP($A9,'2025'!$A:$O,2,0)</f>
        <v>72633.300000000032</v>
      </c>
      <c r="G9" s="9">
        <v>86618.03</v>
      </c>
      <c r="H9" s="49">
        <f t="shared" si="0"/>
        <v>0.19253882172502079</v>
      </c>
      <c r="I9" s="11">
        <f t="shared" si="1"/>
        <v>13984.729999999967</v>
      </c>
      <c r="J9" s="8">
        <f>VLOOKUP(B9,'תקציב  '!$B:$S,4,0)*1</f>
        <v>127583.33333333333</v>
      </c>
      <c r="K9" s="49">
        <f t="shared" si="2"/>
        <v>-0.32108663618549971</v>
      </c>
      <c r="L9" s="13">
        <f t="shared" si="3"/>
        <v>-40965.30333333333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VLOOKUP(A10,'2024'!$A:$O,2,0)</f>
        <v>15878.929999999998</v>
      </c>
      <c r="F10" s="9">
        <f>VLOOKUP($A10,'2025'!$A:$O,2,0)</f>
        <v>16402.679999999997</v>
      </c>
      <c r="G10" s="9">
        <v>18073.659999999996</v>
      </c>
      <c r="H10" s="49">
        <f t="shared" si="0"/>
        <v>0.10187237695303453</v>
      </c>
      <c r="I10" s="11">
        <f t="shared" si="1"/>
        <v>1670.9799999999996</v>
      </c>
      <c r="J10" s="8">
        <f>VLOOKUP(B10,'תקציב  '!$B:$S,4,0)*1</f>
        <v>15833.333333333332</v>
      </c>
      <c r="K10" s="49">
        <f t="shared" si="2"/>
        <v>0.14149431578947347</v>
      </c>
      <c r="L10" s="13">
        <f t="shared" si="3"/>
        <v>2240.3266666666641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VLOOKUP(A11,'2024'!$A:$O,2,0)</f>
        <v>5667.68</v>
      </c>
      <c r="F11" s="9">
        <f>VLOOKUP($A11,'2025'!$A:$O,2,0)</f>
        <v>6025.5</v>
      </c>
      <c r="G11" s="9">
        <v>5894.68</v>
      </c>
      <c r="H11" s="49">
        <f t="shared" si="0"/>
        <v>-2.1711061322711722E-2</v>
      </c>
      <c r="I11" s="11">
        <f t="shared" si="1"/>
        <v>-130.81999999999971</v>
      </c>
      <c r="J11" s="8">
        <f>VLOOKUP(B11,'תקציב  '!$B:$S,4,0)*1</f>
        <v>6333.3333333333321</v>
      </c>
      <c r="K11" s="49">
        <f t="shared" si="2"/>
        <v>-6.9261052631578668E-2</v>
      </c>
      <c r="L11" s="13">
        <f t="shared" si="3"/>
        <v>-438.65333333333183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VLOOKUP(A12,'2024'!$A:$O,2,0)</f>
        <v>0</v>
      </c>
      <c r="F12" s="9">
        <f>VLOOKUP($A12,'2025'!$A:$O,2,0)</f>
        <v>1162.8499999999999</v>
      </c>
      <c r="G12" s="9">
        <v>810.6</v>
      </c>
      <c r="H12" s="49">
        <f t="shared" si="0"/>
        <v>-0.3029195511028937</v>
      </c>
      <c r="I12" s="11">
        <f t="shared" si="1"/>
        <v>-352.24999999999989</v>
      </c>
      <c r="J12" s="8">
        <f>VLOOKUP(B12,'תקציב  '!$B:$S,4,0)*1</f>
        <v>0</v>
      </c>
      <c r="K12" s="49"/>
      <c r="L12" s="13">
        <f t="shared" si="3"/>
        <v>810.6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VLOOKUP(A13,'2024'!$A:$O,2,0)</f>
        <v>0</v>
      </c>
      <c r="F13" s="9">
        <f>VLOOKUP($A13,'2025'!$A:$O,2,0)</f>
        <v>0</v>
      </c>
      <c r="G13" s="9"/>
      <c r="H13" s="49" t="e">
        <f t="shared" si="0"/>
        <v>#DIV/0!</v>
      </c>
      <c r="I13" s="11">
        <f t="shared" si="1"/>
        <v>0</v>
      </c>
      <c r="J13" s="8">
        <f>VLOOKUP(B13,'תקציב  '!$B:$S,4,0)*1</f>
        <v>0</v>
      </c>
      <c r="K13" s="49"/>
      <c r="L13" s="13">
        <f t="shared" si="3"/>
        <v>0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VLOOKUP(A14,'2024'!$A:$O,2,0)</f>
        <v>0</v>
      </c>
      <c r="F14" s="9">
        <f>VLOOKUP($A14,'2025'!$A:$O,2,0)</f>
        <v>0</v>
      </c>
      <c r="G14" s="9">
        <v>2523.6</v>
      </c>
      <c r="H14" s="49" t="e">
        <f t="shared" si="0"/>
        <v>#DIV/0!</v>
      </c>
      <c r="I14" s="11">
        <f t="shared" si="1"/>
        <v>2523.6</v>
      </c>
      <c r="J14" s="8">
        <f>VLOOKUP(B14,'תקציב  '!$B:$S,4,0)*1</f>
        <v>0</v>
      </c>
      <c r="K14" s="49"/>
      <c r="L14" s="13">
        <f t="shared" si="3"/>
        <v>2523.6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VLOOKUP(A15,'2024'!$A:$O,2,0)</f>
        <v>4135.49</v>
      </c>
      <c r="F15" s="9">
        <f>VLOOKUP($A15,'2025'!$A:$O,2,0)</f>
        <v>15213.91</v>
      </c>
      <c r="G15" s="9">
        <v>11467.919999999998</v>
      </c>
      <c r="H15" s="49">
        <f t="shared" si="0"/>
        <v>-0.24622138556097684</v>
      </c>
      <c r="I15" s="11">
        <f t="shared" si="1"/>
        <v>-3745.9900000000016</v>
      </c>
      <c r="J15" s="8">
        <f>VLOOKUP(B15,'תקציב  '!$B:$S,4,0)*1</f>
        <v>16666.666666666664</v>
      </c>
      <c r="K15" s="49">
        <f t="shared" si="2"/>
        <v>-0.3119248</v>
      </c>
      <c r="L15" s="13">
        <f t="shared" si="3"/>
        <v>-5198.746666666666</v>
      </c>
    </row>
    <row r="16" spans="1:12" ht="15" x14ac:dyDescent="0.25">
      <c r="B16" s="277" t="s">
        <v>221</v>
      </c>
      <c r="C16" s="278"/>
      <c r="D16" s="278"/>
      <c r="E16" s="67">
        <f>SUM(E3:E15)</f>
        <v>1287214.1739999999</v>
      </c>
      <c r="F16" s="67">
        <f>SUM(F3:F15)</f>
        <v>1415700.6500000025</v>
      </c>
      <c r="G16" s="67">
        <f>SUM(G3:G15)</f>
        <v>1252865.6300000001</v>
      </c>
      <c r="H16" s="68">
        <f t="shared" si="0"/>
        <v>-0.11502079906511453</v>
      </c>
      <c r="I16" s="67">
        <f>SUM(I3:I15)</f>
        <v>-162835.02000000246</v>
      </c>
      <c r="J16" s="67">
        <f>SUM(J3:J15)</f>
        <v>1553416.6666666663</v>
      </c>
      <c r="K16" s="68">
        <f t="shared" si="2"/>
        <v>-0.19347741215599989</v>
      </c>
      <c r="L16" s="67">
        <f>SUM(L3:L15)</f>
        <v>-300551.03666666651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VLOOKUP(A17,'2024'!$A:$O,2,0)</f>
        <v>42663.04000000003</v>
      </c>
      <c r="F17" s="9">
        <f>VLOOKUP($A17,'2025'!$A:$O,2,0)</f>
        <v>92988.169999999576</v>
      </c>
      <c r="G17" s="9">
        <v>212354.11999999901</v>
      </c>
      <c r="H17" s="49">
        <f>G17/F17-1</f>
        <v>1.2836681268165613</v>
      </c>
      <c r="I17" s="11">
        <f>G17-F17</f>
        <v>119365.94999999943</v>
      </c>
      <c r="J17" s="8">
        <f>VLOOKUP(B17,'תקציב  '!$B:$S,4,0)*1</f>
        <v>296610.16949152545</v>
      </c>
      <c r="K17" s="49">
        <f>G17/J17-1</f>
        <v>-0.28406325257143195</v>
      </c>
      <c r="L17" s="13">
        <f>G17-J17</f>
        <v>-84256.049491526443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VLOOKUP(A18,'2024'!$A:$O,2,0)</f>
        <v>1654.8800000000003</v>
      </c>
      <c r="F18" s="9">
        <f>VLOOKUP($A18,'2025'!$A:$O,2,0)</f>
        <v>2032.3000000000002</v>
      </c>
      <c r="G18" s="9">
        <v>1274.4000000000001</v>
      </c>
      <c r="H18" s="49">
        <f>G18/F18-1</f>
        <v>-0.3729272253112238</v>
      </c>
      <c r="I18" s="11">
        <f>G18-F18</f>
        <v>-757.90000000000009</v>
      </c>
      <c r="J18" s="8">
        <f>VLOOKUP(B18,'תקציב  '!$B:$S,4,0)*1</f>
        <v>2536.9283333333324</v>
      </c>
      <c r="K18" s="49">
        <f>G18/J18-1</f>
        <v>-0.49766022821561751</v>
      </c>
      <c r="L18" s="13">
        <f>G18-J18</f>
        <v>-1262.5283333333323</v>
      </c>
    </row>
    <row r="19" spans="1:12" ht="15" x14ac:dyDescent="0.25">
      <c r="B19" s="266" t="s">
        <v>41</v>
      </c>
      <c r="C19" s="267"/>
      <c r="D19" s="267"/>
      <c r="E19" s="12">
        <f>E16+E17+E18</f>
        <v>1331532.0939999998</v>
      </c>
      <c r="F19" s="12">
        <f>F16+F17+F18</f>
        <v>1510721.1200000022</v>
      </c>
      <c r="G19" s="12">
        <f>G16+G17+G18</f>
        <v>1466494.149999999</v>
      </c>
      <c r="H19" s="50">
        <f t="shared" ref="H19:H41" si="4">G19/F19-1</f>
        <v>-2.9275403259076183E-2</v>
      </c>
      <c r="I19" s="12">
        <f>I16+I17+I18</f>
        <v>-44226.970000003035</v>
      </c>
      <c r="J19" s="12">
        <f>J16+J17+J18</f>
        <v>1852563.764491525</v>
      </c>
      <c r="K19" s="50">
        <f t="shared" ref="K19:K41" si="5">G19/J19-1</f>
        <v>-0.20839747699453193</v>
      </c>
      <c r="L19" s="12">
        <f>L16+L17+L18</f>
        <v>-386069.61449152627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VLOOKUP(A20,'2024'!$A:$O,2,0)</f>
        <v>391520.95</v>
      </c>
      <c r="F20" s="9">
        <f>VLOOKUP($A20,'2025'!$A:$O,2,0)</f>
        <v>187395.64</v>
      </c>
      <c r="G20" s="9">
        <v>178026.69</v>
      </c>
      <c r="H20" s="49">
        <f t="shared" si="4"/>
        <v>-4.9995560195530753E-2</v>
      </c>
      <c r="I20" s="11">
        <f t="shared" ref="I20:I39" si="6">G20-F20</f>
        <v>-9368.9500000000116</v>
      </c>
      <c r="J20" s="8">
        <f>VLOOKUP(B20,'תקציב  '!$B:$S,4,0)*1</f>
        <v>272275.11011249997</v>
      </c>
      <c r="K20" s="49">
        <f t="shared" si="5"/>
        <v>-0.34615143511853852</v>
      </c>
      <c r="L20" s="13">
        <f t="shared" ref="L20:L39" si="7">G20-J20</f>
        <v>-94248.420112499967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VLOOKUP(A21,'2024'!$A:$O,2,0)</f>
        <v>203.73000000000013</v>
      </c>
      <c r="F21" s="9">
        <f>VLOOKUP($A21,'2025'!$A:$O,2,0)</f>
        <v>0</v>
      </c>
      <c r="G21" s="9"/>
      <c r="H21" s="49" t="e">
        <f t="shared" si="4"/>
        <v>#DIV/0!</v>
      </c>
      <c r="I21" s="11">
        <f t="shared" si="6"/>
        <v>0</v>
      </c>
      <c r="J21" s="8">
        <f>VLOOKUP(B21,'תקציב  '!$B:$S,4,0)*1</f>
        <v>0</v>
      </c>
      <c r="K21" s="49" t="e">
        <f t="shared" si="5"/>
        <v>#DIV/0!</v>
      </c>
      <c r="L21" s="13">
        <f t="shared" si="7"/>
        <v>0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VLOOKUP(A22,'2024'!$A:$O,2,0)</f>
        <v>49158.59</v>
      </c>
      <c r="F22" s="9">
        <f>VLOOKUP($A22,'2025'!$A:$O,2,0)</f>
        <v>18517.61</v>
      </c>
      <c r="G22" s="9">
        <v>124895.37</v>
      </c>
      <c r="H22" s="49">
        <f t="shared" si="4"/>
        <v>5.7446808740436799</v>
      </c>
      <c r="I22" s="11">
        <f t="shared" si="6"/>
        <v>106377.76</v>
      </c>
      <c r="J22" s="8">
        <f>VLOOKUP(B22,'תקציב  '!$B:$S,4,0)*1</f>
        <v>124895.37</v>
      </c>
      <c r="K22" s="49">
        <f t="shared" si="5"/>
        <v>0</v>
      </c>
      <c r="L22" s="13">
        <f t="shared" si="7"/>
        <v>0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VLOOKUP(A23,'2024'!$A:$O,2,0)</f>
        <v>68604.55</v>
      </c>
      <c r="F23" s="9">
        <f>VLOOKUP($A23,'2025'!$A:$O,2,0)</f>
        <v>0</v>
      </c>
      <c r="G23" s="9">
        <v>67158.969999999987</v>
      </c>
      <c r="H23" s="49" t="e">
        <f t="shared" si="4"/>
        <v>#DIV/0!</v>
      </c>
      <c r="I23" s="11">
        <f t="shared" si="6"/>
        <v>67158.969999999987</v>
      </c>
      <c r="J23" s="8">
        <f>VLOOKUP(B23,'תקציב  '!$B:$S,4,0)*1</f>
        <v>67158.969999999987</v>
      </c>
      <c r="K23" s="49">
        <f t="shared" si="5"/>
        <v>0</v>
      </c>
      <c r="L23" s="13">
        <f t="shared" si="7"/>
        <v>0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VLOOKUP(A24,'2024'!$A:$O,2,0)</f>
        <v>15923.68</v>
      </c>
      <c r="F24" s="9">
        <f>VLOOKUP($A24,'2025'!$A:$O,2,0)</f>
        <v>0</v>
      </c>
      <c r="G24" s="9">
        <v>15774.92</v>
      </c>
      <c r="H24" s="49" t="e">
        <f t="shared" si="4"/>
        <v>#DIV/0!</v>
      </c>
      <c r="I24" s="11">
        <f t="shared" si="6"/>
        <v>15774.92</v>
      </c>
      <c r="J24" s="8">
        <f>VLOOKUP(B24,'תקציב  '!$B:$S,4,0)*1</f>
        <v>15774.92</v>
      </c>
      <c r="K24" s="49">
        <f t="shared" si="5"/>
        <v>0</v>
      </c>
      <c r="L24" s="13">
        <f t="shared" si="7"/>
        <v>0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VLOOKUP(A25,'2024'!$A:$O,2,0)</f>
        <v>50777.759999999995</v>
      </c>
      <c r="F25" s="9">
        <f>VLOOKUP($A25,'2025'!$A:$O,2,0)</f>
        <v>0</v>
      </c>
      <c r="G25" s="9"/>
      <c r="H25" s="49" t="e">
        <f t="shared" si="4"/>
        <v>#DIV/0!</v>
      </c>
      <c r="I25" s="11">
        <f t="shared" si="6"/>
        <v>0</v>
      </c>
      <c r="J25" s="8">
        <f>VLOOKUP(B25,'תקציב  '!$B:$S,4,0)*1</f>
        <v>0</v>
      </c>
      <c r="K25" s="49" t="e">
        <f t="shared" si="5"/>
        <v>#DIV/0!</v>
      </c>
      <c r="L25" s="13">
        <f t="shared" si="7"/>
        <v>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VLOOKUP(A26,'2024'!$A:$O,2,0)</f>
        <v>249206.12</v>
      </c>
      <c r="F26" s="9">
        <f>VLOOKUP($A26,'2025'!$A:$O,2,0)</f>
        <v>0</v>
      </c>
      <c r="G26" s="9">
        <v>-1269.06</v>
      </c>
      <c r="H26" s="49" t="e">
        <f t="shared" si="4"/>
        <v>#DIV/0!</v>
      </c>
      <c r="I26" s="11">
        <f t="shared" si="6"/>
        <v>-1269.06</v>
      </c>
      <c r="J26" s="8">
        <f>VLOOKUP(B26,'תקציב  '!$B:$S,4,0)*1</f>
        <v>0</v>
      </c>
      <c r="K26" s="49" t="e">
        <f t="shared" si="5"/>
        <v>#DIV/0!</v>
      </c>
      <c r="L26" s="13">
        <f t="shared" si="7"/>
        <v>-1269.06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VLOOKUP(A27,'2024'!$A:$O,2,0)</f>
        <v>0</v>
      </c>
      <c r="F27" s="9">
        <f>VLOOKUP($A27,'2025'!$A:$O,2,0)</f>
        <v>0</v>
      </c>
      <c r="G27" s="9"/>
      <c r="H27" s="49" t="e">
        <f t="shared" si="4"/>
        <v>#DIV/0!</v>
      </c>
      <c r="I27" s="11">
        <f t="shared" si="6"/>
        <v>0</v>
      </c>
      <c r="J27" s="8">
        <f>VLOOKUP(B27,'תקציב  '!$B:$S,4,0)*1</f>
        <v>0</v>
      </c>
      <c r="K27" s="49" t="e">
        <f t="shared" si="5"/>
        <v>#DIV/0!</v>
      </c>
      <c r="L27" s="13">
        <f t="shared" si="7"/>
        <v>0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VLOOKUP(A28,'2024'!$A:$O,2,0)</f>
        <v>0</v>
      </c>
      <c r="F28" s="9">
        <f>VLOOKUP($A28,'2025'!$A:$O,2,0)</f>
        <v>0</v>
      </c>
      <c r="G28" s="9"/>
      <c r="H28" s="49" t="e">
        <f t="shared" si="4"/>
        <v>#DIV/0!</v>
      </c>
      <c r="I28" s="11">
        <f t="shared" si="6"/>
        <v>0</v>
      </c>
      <c r="J28" s="8">
        <f>VLOOKUP(B28,'תקציב  '!$B:$S,4,0)*1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VLOOKUP(A29,'2024'!$A:$O,2,0)</f>
        <v>0</v>
      </c>
      <c r="F29" s="9">
        <f>VLOOKUP($A29,'2025'!$A:$O,2,0)</f>
        <v>0</v>
      </c>
      <c r="G29" s="9">
        <v>27429.74</v>
      </c>
      <c r="H29" s="49" t="e">
        <f t="shared" si="4"/>
        <v>#DIV/0!</v>
      </c>
      <c r="I29" s="11">
        <f t="shared" si="6"/>
        <v>27429.74</v>
      </c>
      <c r="J29" s="8">
        <f>VLOOKUP(B29,'תקציב  '!$B:$S,4,0)*1</f>
        <v>27429.74</v>
      </c>
      <c r="K29" s="49">
        <f t="shared" si="5"/>
        <v>0</v>
      </c>
      <c r="L29" s="13">
        <f t="shared" si="7"/>
        <v>0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VLOOKUP(A30,'2024'!$A:$O,2,0)</f>
        <v>0</v>
      </c>
      <c r="F30" s="9">
        <f>VLOOKUP($A30,'2025'!$A:$O,2,0)</f>
        <v>0</v>
      </c>
      <c r="G30" s="9"/>
      <c r="H30" s="49" t="e">
        <f t="shared" si="4"/>
        <v>#DIV/0!</v>
      </c>
      <c r="I30" s="11">
        <f t="shared" si="6"/>
        <v>0</v>
      </c>
      <c r="J30" s="8">
        <f>VLOOKUP(B30,'תקציב  '!$B:$S,4,0)*1</f>
        <v>0</v>
      </c>
      <c r="K30" s="49" t="e">
        <f t="shared" si="5"/>
        <v>#DIV/0!</v>
      </c>
      <c r="L30" s="13">
        <f t="shared" si="7"/>
        <v>0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VLOOKUP(A31,'2024'!$A:$O,2,0)</f>
        <v>0</v>
      </c>
      <c r="F31" s="9">
        <f>VLOOKUP($A31,'2025'!$A:$O,2,0)</f>
        <v>19897.57</v>
      </c>
      <c r="G31" s="9"/>
      <c r="H31" s="49">
        <f t="shared" si="4"/>
        <v>-1</v>
      </c>
      <c r="I31" s="11">
        <f t="shared" si="6"/>
        <v>-19897.57</v>
      </c>
      <c r="J31" s="8">
        <f>VLOOKUP(B31,'תקציב  '!$B:$S,4,0)*1</f>
        <v>0</v>
      </c>
      <c r="K31" s="49" t="e">
        <f t="shared" si="5"/>
        <v>#DIV/0!</v>
      </c>
      <c r="L31" s="13">
        <f t="shared" si="7"/>
        <v>0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VLOOKUP(A32,'2024'!$A:$O,2,0)</f>
        <v>0</v>
      </c>
      <c r="F32" s="9">
        <f>VLOOKUP($A32,'2025'!$A:$O,2,0)</f>
        <v>0</v>
      </c>
      <c r="G32" s="9"/>
      <c r="H32" s="49" t="e">
        <f t="shared" si="4"/>
        <v>#DIV/0!</v>
      </c>
      <c r="I32" s="11">
        <f t="shared" si="6"/>
        <v>0</v>
      </c>
      <c r="J32" s="8">
        <f>VLOOKUP(B32,'תקציב  '!$B:$S,4,0)*1</f>
        <v>0</v>
      </c>
      <c r="K32" s="49" t="e">
        <f t="shared" si="5"/>
        <v>#DIV/0!</v>
      </c>
      <c r="L32" s="13">
        <f t="shared" si="7"/>
        <v>0</v>
      </c>
    </row>
    <row r="33" spans="1:12" ht="13.5" customHeight="1" x14ac:dyDescent="0.2">
      <c r="B33" s="36"/>
      <c r="C33" s="5" t="s">
        <v>11</v>
      </c>
      <c r="D33" s="3" t="s">
        <v>12</v>
      </c>
      <c r="E33" s="9"/>
      <c r="F33" s="9"/>
      <c r="G33" s="9"/>
      <c r="H33" s="49" t="e">
        <f t="shared" si="4"/>
        <v>#DIV/0!</v>
      </c>
      <c r="I33" s="11">
        <f t="shared" si="6"/>
        <v>0</v>
      </c>
      <c r="J33" s="8"/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VLOOKUP(A34,'2024'!$A:$O,2,0)</f>
        <v>20732.48</v>
      </c>
      <c r="F34" s="9">
        <f>VLOOKUP($A34,'2025'!$A:$O,2,0)</f>
        <v>19111.37</v>
      </c>
      <c r="G34" s="9">
        <v>18792.66</v>
      </c>
      <c r="H34" s="49">
        <f t="shared" si="4"/>
        <v>-1.6676460138650429E-2</v>
      </c>
      <c r="I34" s="11">
        <f t="shared" si="6"/>
        <v>-318.70999999999913</v>
      </c>
      <c r="J34" s="8">
        <f>VLOOKUP(B34,'תקציב  '!$B:$S,4,0)*1</f>
        <v>18792.66</v>
      </c>
      <c r="K34" s="49">
        <f t="shared" si="5"/>
        <v>0</v>
      </c>
      <c r="L34" s="13">
        <f t="shared" si="7"/>
        <v>0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VLOOKUP(A35,'2024'!$A:$O,2,0)</f>
        <v>0</v>
      </c>
      <c r="F35" s="9">
        <f>VLOOKUP($A35,'2025'!$A:$O,2,0)</f>
        <v>0</v>
      </c>
      <c r="G35" s="9"/>
      <c r="H35" s="49" t="e">
        <f t="shared" si="4"/>
        <v>#DIV/0!</v>
      </c>
      <c r="I35" s="11">
        <f t="shared" si="6"/>
        <v>0</v>
      </c>
      <c r="J35" s="8">
        <f>VLOOKUP(B35,'תקציב  '!$B:$S,4,0)*1</f>
        <v>0</v>
      </c>
      <c r="K35" s="49" t="e">
        <f t="shared" si="5"/>
        <v>#DIV/0!</v>
      </c>
      <c r="L35" s="13">
        <f t="shared" si="7"/>
        <v>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VLOOKUP(A36,'2024'!$A:$O,2,0)</f>
        <v>0</v>
      </c>
      <c r="F36" s="9">
        <f>VLOOKUP($A36,'2025'!$A:$O,2,0)</f>
        <v>0</v>
      </c>
      <c r="G36" s="9"/>
      <c r="H36" s="49" t="e">
        <f t="shared" si="4"/>
        <v>#DIV/0!</v>
      </c>
      <c r="I36" s="11">
        <f t="shared" si="6"/>
        <v>0</v>
      </c>
      <c r="J36" s="8"/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VLOOKUP(A37,'2024'!$A:$O,2,0)</f>
        <v>0</v>
      </c>
      <c r="F37" s="9">
        <f>VLOOKUP($A37,'2025'!$A:$O,2,0)</f>
        <v>0</v>
      </c>
      <c r="G37" s="9"/>
      <c r="H37" s="49" t="e">
        <f t="shared" si="4"/>
        <v>#DIV/0!</v>
      </c>
      <c r="I37" s="11">
        <f t="shared" si="6"/>
        <v>0</v>
      </c>
      <c r="J37" s="8"/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VLOOKUP(A38,'2024'!$A:$O,2,0)</f>
        <v>0</v>
      </c>
      <c r="F38" s="9">
        <f>VLOOKUP($A38,'2025'!$A:$O,2,0)</f>
        <v>0</v>
      </c>
      <c r="G38" s="9"/>
      <c r="H38" s="49" t="e">
        <f t="shared" si="4"/>
        <v>#DIV/0!</v>
      </c>
      <c r="I38" s="11">
        <f t="shared" si="6"/>
        <v>0</v>
      </c>
      <c r="J38" s="8"/>
      <c r="K38" s="49" t="e">
        <f t="shared" si="5"/>
        <v>#DIV/0!</v>
      </c>
      <c r="L38" s="13">
        <f t="shared" si="7"/>
        <v>0</v>
      </c>
    </row>
    <row r="39" spans="1:12" ht="13.5" customHeight="1" x14ac:dyDescent="0.2">
      <c r="B39" s="37" t="s">
        <v>91</v>
      </c>
      <c r="C39" s="5" t="s">
        <v>91</v>
      </c>
      <c r="D39" s="3"/>
      <c r="E39" s="9"/>
      <c r="F39" s="9"/>
      <c r="G39" s="9"/>
      <c r="H39" s="49" t="e">
        <f t="shared" si="4"/>
        <v>#DIV/0!</v>
      </c>
      <c r="I39" s="11">
        <f t="shared" si="6"/>
        <v>0</v>
      </c>
      <c r="J39" s="8">
        <f>VLOOKUP(B39,'תקציב  '!$B:$S,4,0)*1</f>
        <v>0</v>
      </c>
      <c r="K39" s="49" t="e">
        <f t="shared" si="5"/>
        <v>#DIV/0!</v>
      </c>
      <c r="L39" s="13">
        <f t="shared" si="7"/>
        <v>0</v>
      </c>
    </row>
    <row r="40" spans="1:12" ht="15" x14ac:dyDescent="0.25">
      <c r="B40" s="268" t="s">
        <v>42</v>
      </c>
      <c r="C40" s="269"/>
      <c r="D40" s="269"/>
      <c r="E40" s="10">
        <f>SUM(E20:E39)</f>
        <v>846127.86</v>
      </c>
      <c r="F40" s="10">
        <f>SUM(F20:F39)</f>
        <v>244922.19</v>
      </c>
      <c r="G40" s="10">
        <f>SUM(G20:G39)</f>
        <v>430809.28999999992</v>
      </c>
      <c r="H40" s="43">
        <f t="shared" si="4"/>
        <v>0.75896389788120011</v>
      </c>
      <c r="I40" s="10">
        <f>SUM(I20:I39)</f>
        <v>185887.09999999998</v>
      </c>
      <c r="J40" s="10">
        <f>SUM(J20:J39)</f>
        <v>526326.77011249994</v>
      </c>
      <c r="K40" s="43">
        <f t="shared" si="5"/>
        <v>-0.1814794259696948</v>
      </c>
      <c r="L40" s="10">
        <f>SUM(L20:L39)</f>
        <v>-95517.480112499965</v>
      </c>
    </row>
    <row r="41" spans="1:12" ht="16.5" thickBot="1" x14ac:dyDescent="0.3">
      <c r="B41" s="270" t="s">
        <v>69</v>
      </c>
      <c r="C41" s="271"/>
      <c r="D41" s="271"/>
      <c r="E41" s="25">
        <f>E40+E19</f>
        <v>2177659.9539999999</v>
      </c>
      <c r="F41" s="25">
        <f>F40+F19</f>
        <v>1755643.3100000022</v>
      </c>
      <c r="G41" s="25">
        <f>G40+G19</f>
        <v>1897303.439999999</v>
      </c>
      <c r="H41" s="44">
        <f t="shared" si="4"/>
        <v>8.0688445764075301E-2</v>
      </c>
      <c r="I41" s="25">
        <f>I40+I19</f>
        <v>141660.12999999695</v>
      </c>
      <c r="J41" s="25">
        <f>J40+J19</f>
        <v>2378890.5346040251</v>
      </c>
      <c r="K41" s="44">
        <f t="shared" si="5"/>
        <v>-0.20244188944330221</v>
      </c>
      <c r="L41" s="25">
        <f>L40+L19</f>
        <v>-481587.09460402624</v>
      </c>
    </row>
    <row r="42" spans="1:12" ht="15.75" thickBot="1" x14ac:dyDescent="0.3">
      <c r="B42" s="272" t="s">
        <v>43</v>
      </c>
      <c r="C42" s="273"/>
      <c r="D42" s="274"/>
      <c r="E42" s="16">
        <f>E40/E41</f>
        <v>0.38854912055750646</v>
      </c>
      <c r="F42" s="16">
        <f>F40/F41</f>
        <v>0.13950566644428458</v>
      </c>
      <c r="G42" s="16">
        <f>G40/G41</f>
        <v>0.22706399035464783</v>
      </c>
      <c r="H42" s="45"/>
      <c r="I42" s="6"/>
      <c r="J42" s="15">
        <f>J41-'תקציב  '!E41*1</f>
        <v>0</v>
      </c>
    </row>
    <row r="43" spans="1:12" x14ac:dyDescent="0.2">
      <c r="E43" s="47">
        <f>E41-'2024'!B38</f>
        <v>0</v>
      </c>
      <c r="I43" s="6"/>
    </row>
  </sheetData>
  <sortState xmlns:xlrd2="http://schemas.microsoft.com/office/spreadsheetml/2017/richdata2" ref="B25:H35">
    <sortCondition ref="B25:B35"/>
  </sortState>
  <dataConsolidate/>
  <mergeCells count="6">
    <mergeCell ref="B19:D19"/>
    <mergeCell ref="B40:D40"/>
    <mergeCell ref="B41:D41"/>
    <mergeCell ref="B42:D42"/>
    <mergeCell ref="B1:L1"/>
    <mergeCell ref="B16:D16"/>
  </mergeCells>
  <phoneticPr fontId="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E182-AF8A-4309-A9FA-FC2A43E0FEB2}">
  <dimension ref="A1:L43"/>
  <sheetViews>
    <sheetView rightToLeft="1" workbookViewId="0">
      <pane xSplit="4" ySplit="2" topLeftCell="E3" activePane="bottomRight" state="frozen"/>
      <selection activeCell="J13" sqref="J13"/>
      <selection pane="topRight" activeCell="J13" sqref="J13"/>
      <selection pane="bottomLeft" activeCell="J13" sqref="J13"/>
      <selection pane="bottomRight" sqref="A1:B1048576"/>
    </sheetView>
  </sheetViews>
  <sheetFormatPr defaultRowHeight="14.25" x14ac:dyDescent="0.2"/>
  <cols>
    <col min="1" max="1" width="8.125" hidden="1" customWidth="1"/>
    <col min="2" max="2" width="17.375" hidden="1" customWidth="1"/>
    <col min="3" max="3" width="21.375" customWidth="1"/>
    <col min="4" max="4" width="11.375" style="1" customWidth="1"/>
    <col min="5" max="7" width="11.625" customWidth="1"/>
    <col min="8" max="8" width="11.875" style="51" bestFit="1" customWidth="1"/>
    <col min="9" max="9" width="16.75" bestFit="1" customWidth="1"/>
    <col min="10" max="10" width="14.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190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>
        <v>2.2023999999999999</v>
      </c>
      <c r="F2" s="30">
        <v>2.2025000000000001</v>
      </c>
      <c r="G2" s="30">
        <v>2.2025999999999999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VLOOKUP(A3,'2024'!$A:$O,3,0)</f>
        <v>347582.74000000005</v>
      </c>
      <c r="F3" s="9">
        <f>VLOOKUP($A3,'2025'!$A:$O,3,0)</f>
        <v>233209.9</v>
      </c>
      <c r="G3" s="9">
        <v>364352.19999999995</v>
      </c>
      <c r="H3" s="49">
        <f t="shared" ref="H3:H16" si="0">G3/F3-1</f>
        <v>0.56233590426478441</v>
      </c>
      <c r="I3" s="11">
        <f t="shared" ref="I3:I15" si="1">G3-F3</f>
        <v>131142.29999999996</v>
      </c>
      <c r="J3" s="8">
        <f>VLOOKUP(B3,'תקציב  '!$B:$S,5,0)*1</f>
        <v>168253.96825396825</v>
      </c>
      <c r="K3" s="49">
        <f t="shared" ref="K3:K16" si="2">G3/J3-1</f>
        <v>1.1654894905660376</v>
      </c>
      <c r="L3" s="13">
        <f t="shared" ref="L3:L15" si="3">G3-J3</f>
        <v>196098.2317460317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VLOOKUP(B4,'2024'!$A:$O,3,0)</f>
        <v>422279.31200000003</v>
      </c>
      <c r="F4" s="9">
        <f>VLOOKUP($A4,'2025'!$A:$O,3,0)</f>
        <v>406825.34620000247</v>
      </c>
      <c r="G4" s="9">
        <v>469684.033</v>
      </c>
      <c r="H4" s="49">
        <f t="shared" si="0"/>
        <v>0.1545102520949988</v>
      </c>
      <c r="I4" s="11">
        <f t="shared" si="1"/>
        <v>62858.686799997522</v>
      </c>
      <c r="J4" s="8">
        <f>VLOOKUP(B4,'תקציב  '!$B:$S,5,0)*1</f>
        <v>532634.92063492059</v>
      </c>
      <c r="K4" s="49">
        <f t="shared" si="2"/>
        <v>-0.11818768390153767</v>
      </c>
      <c r="L4" s="13">
        <f t="shared" si="3"/>
        <v>-62950.887634920597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VLOOKUP(B5,'2024'!$A:$O,3,0)</f>
        <v>82457.192999999999</v>
      </c>
      <c r="F5" s="9">
        <f>VLOOKUP($A5,'2025'!$A:$O,3,0)</f>
        <v>65962.260000000009</v>
      </c>
      <c r="G5" s="9">
        <v>68397.329000000012</v>
      </c>
      <c r="H5" s="49">
        <f t="shared" si="0"/>
        <v>3.6916094142317224E-2</v>
      </c>
      <c r="I5" s="11">
        <f t="shared" si="1"/>
        <v>2435.0690000000031</v>
      </c>
      <c r="J5" s="8">
        <f>VLOOKUP(B5,'תקציב  '!$B:$S,5,0)*1</f>
        <v>73428.571428571435</v>
      </c>
      <c r="K5" s="49">
        <f t="shared" si="2"/>
        <v>-6.8518865758754766E-2</v>
      </c>
      <c r="L5" s="13">
        <f t="shared" si="3"/>
        <v>-5031.2424285714224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VLOOKUP(B6,'2024'!$A:$O,3,0)</f>
        <v>163451.94599999997</v>
      </c>
      <c r="F6" s="9">
        <f>VLOOKUP($A6,'2025'!$A:$O,3,0)</f>
        <v>133409.82380000324</v>
      </c>
      <c r="G6" s="9">
        <v>140722.23999999999</v>
      </c>
      <c r="H6" s="49">
        <f t="shared" si="0"/>
        <v>5.4811677219204658E-2</v>
      </c>
      <c r="I6" s="11">
        <f t="shared" si="1"/>
        <v>7312.4161999967473</v>
      </c>
      <c r="J6" s="8">
        <f>VLOOKUP(A6,'תקציב  '!$B:$S,5,0)*1</f>
        <v>156793.65079365077</v>
      </c>
      <c r="K6" s="49">
        <f t="shared" si="2"/>
        <v>-0.10250039279206313</v>
      </c>
      <c r="L6" s="13">
        <f t="shared" si="3"/>
        <v>-16071.410793650779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VLOOKUP(A7,'2024'!$A:$O,3,0)</f>
        <v>385135</v>
      </c>
      <c r="F7" s="9">
        <f>VLOOKUP($A7,'2025'!$A:$O,3,0)</f>
        <v>371734.5</v>
      </c>
      <c r="G7" s="9">
        <v>299047.34999999998</v>
      </c>
      <c r="H7" s="49">
        <f t="shared" si="0"/>
        <v>-0.19553511982342242</v>
      </c>
      <c r="I7" s="11">
        <f t="shared" si="1"/>
        <v>-72687.150000000023</v>
      </c>
      <c r="J7" s="8">
        <f>VLOOKUP(B7,'תקציב  '!$B:$S,5,0)*1</f>
        <v>365000</v>
      </c>
      <c r="K7" s="49">
        <f t="shared" si="2"/>
        <v>-0.18069219178082196</v>
      </c>
      <c r="L7" s="13">
        <f t="shared" si="3"/>
        <v>-65952.650000000023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VLOOKUP(A8,'2024'!$A:$O,3,0)</f>
        <v>91523.029999999984</v>
      </c>
      <c r="F8" s="9">
        <f>VLOOKUP($A8,'2025'!$A:$O,3,0)</f>
        <v>82146.139999999985</v>
      </c>
      <c r="G8" s="9">
        <v>59215.28</v>
      </c>
      <c r="H8" s="49">
        <f t="shared" si="0"/>
        <v>-0.27914713947606051</v>
      </c>
      <c r="I8" s="11">
        <f t="shared" si="1"/>
        <v>-22930.859999999986</v>
      </c>
      <c r="J8" s="8">
        <f>VLOOKUP(B8,'תקציב  '!$B:$S,5,0)*1</f>
        <v>109365.07936507936</v>
      </c>
      <c r="K8" s="49">
        <f t="shared" si="2"/>
        <v>-0.45855404354136431</v>
      </c>
      <c r="L8" s="13">
        <f t="shared" si="3"/>
        <v>-50149.799365079365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VLOOKUP(A9,'2024'!$A:$O,3,0)</f>
        <v>85829.200000000012</v>
      </c>
      <c r="F9" s="9">
        <f>VLOOKUP($A9,'2025'!$A:$O,3,0)</f>
        <v>46378.11</v>
      </c>
      <c r="G9" s="9">
        <v>81282.23</v>
      </c>
      <c r="H9" s="49">
        <f t="shared" si="0"/>
        <v>0.7525990170793937</v>
      </c>
      <c r="I9" s="11">
        <f t="shared" si="1"/>
        <v>34904.119999999995</v>
      </c>
      <c r="J9" s="8">
        <f>VLOOKUP(B9,'תקציב  '!$B:$S,5,0)*1</f>
        <v>155079.36507936506</v>
      </c>
      <c r="K9" s="49">
        <f t="shared" si="2"/>
        <v>-0.47586688945752298</v>
      </c>
      <c r="L9" s="13">
        <f t="shared" si="3"/>
        <v>-73797.135079365064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VLOOKUP(A10,'2024'!$A:$O,3,0)</f>
        <v>11131.68</v>
      </c>
      <c r="F10" s="9">
        <f>VLOOKUP($A10,'2025'!$A:$O,3,0)</f>
        <v>17589.940000000002</v>
      </c>
      <c r="G10" s="9">
        <v>11368.09</v>
      </c>
      <c r="H10" s="49">
        <f t="shared" si="0"/>
        <v>-0.35371638561586916</v>
      </c>
      <c r="I10" s="11">
        <f t="shared" si="1"/>
        <v>-6221.8500000000022</v>
      </c>
      <c r="J10" s="8">
        <f>VLOOKUP(B10,'תקציב  '!$B:$S,5,0)*1</f>
        <v>15079.36507936508</v>
      </c>
      <c r="K10" s="49">
        <f t="shared" si="2"/>
        <v>-0.24611613684210532</v>
      </c>
      <c r="L10" s="13">
        <f t="shared" si="3"/>
        <v>-3711.2750793650794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VLOOKUP(A11,'2024'!$A:$O,3,0)</f>
        <v>0</v>
      </c>
      <c r="F11" s="9">
        <f>VLOOKUP($A11,'2025'!$A:$O,3,0)</f>
        <v>4045.81</v>
      </c>
      <c r="G11" s="9">
        <v>3319.0400000000004</v>
      </c>
      <c r="H11" s="49">
        <f t="shared" si="0"/>
        <v>-0.17963522755641015</v>
      </c>
      <c r="I11" s="11">
        <f t="shared" si="1"/>
        <v>-726.76999999999953</v>
      </c>
      <c r="J11" s="8">
        <f>VLOOKUP(B11,'תקציב  '!$B:$S,5,0)*1</f>
        <v>7936.5079365079355</v>
      </c>
      <c r="K11" s="49">
        <f t="shared" si="2"/>
        <v>-0.58180095999999981</v>
      </c>
      <c r="L11" s="13">
        <f t="shared" si="3"/>
        <v>-4617.4679365079355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VLOOKUP(A12,'2024'!$A:$O,3,0)</f>
        <v>0</v>
      </c>
      <c r="F12" s="9">
        <f>VLOOKUP($A12,'2025'!$A:$O,3,0)</f>
        <v>569.45000000000005</v>
      </c>
      <c r="G12" s="9"/>
      <c r="H12" s="49">
        <f t="shared" si="0"/>
        <v>-1</v>
      </c>
      <c r="I12" s="11">
        <f t="shared" si="1"/>
        <v>-569.45000000000005</v>
      </c>
      <c r="J12" s="8">
        <f>VLOOKUP(B12,'תקציב  '!$B:$S,5,0)*1</f>
        <v>0</v>
      </c>
      <c r="K12" s="49"/>
      <c r="L12" s="13">
        <f t="shared" si="3"/>
        <v>0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VLOOKUP(A13,'2024'!$A:$O,3,0)</f>
        <v>0</v>
      </c>
      <c r="F13" s="9">
        <f>VLOOKUP($A13,'2025'!$A:$O,3,0)</f>
        <v>0</v>
      </c>
      <c r="G13" s="9"/>
      <c r="H13" s="49" t="e">
        <f t="shared" si="0"/>
        <v>#DIV/0!</v>
      </c>
      <c r="I13" s="11">
        <f t="shared" si="1"/>
        <v>0</v>
      </c>
      <c r="J13" s="8">
        <f>VLOOKUP(B13,'תקציב  '!$B:$S,5,0)*1</f>
        <v>0</v>
      </c>
      <c r="K13" s="49" t="e">
        <f t="shared" si="2"/>
        <v>#DIV/0!</v>
      </c>
      <c r="L13" s="13">
        <f t="shared" si="3"/>
        <v>0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VLOOKUP(A14,'2024'!$A:$O,3,0)</f>
        <v>0</v>
      </c>
      <c r="F14" s="9">
        <f>VLOOKUP($A14,'2025'!$A:$O,3,0)</f>
        <v>11067.51</v>
      </c>
      <c r="G14" s="9">
        <v>947.38</v>
      </c>
      <c r="H14" s="49">
        <f t="shared" si="0"/>
        <v>-0.91439989663438292</v>
      </c>
      <c r="I14" s="11">
        <f t="shared" si="1"/>
        <v>-10120.130000000001</v>
      </c>
      <c r="J14" s="8">
        <f>VLOOKUP(B14,'תקציב  '!$B:$S,5,0)*1</f>
        <v>0</v>
      </c>
      <c r="K14" s="49"/>
      <c r="L14" s="13">
        <f t="shared" si="3"/>
        <v>947.38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VLOOKUP(A15,'2024'!$A:$O,3,0)</f>
        <v>8592.99</v>
      </c>
      <c r="F15" s="9">
        <f>VLOOKUP($A15,'2025'!$A:$O,3,0)</f>
        <v>12501.56</v>
      </c>
      <c r="G15" s="9">
        <v>15269.72</v>
      </c>
      <c r="H15" s="49">
        <f t="shared" si="0"/>
        <v>0.22142516613926588</v>
      </c>
      <c r="I15" s="11">
        <f t="shared" si="1"/>
        <v>2768.16</v>
      </c>
      <c r="J15" s="8">
        <f>VLOOKUP(B15,'תקציב  '!$B:$S,5,0)*1</f>
        <v>15873.015873015871</v>
      </c>
      <c r="K15" s="49">
        <f t="shared" si="2"/>
        <v>-3.8007639999999898E-2</v>
      </c>
      <c r="L15" s="13">
        <f t="shared" si="3"/>
        <v>-603.29587301587162</v>
      </c>
    </row>
    <row r="16" spans="1:12" ht="15" x14ac:dyDescent="0.25">
      <c r="B16" s="277" t="s">
        <v>221</v>
      </c>
      <c r="C16" s="278"/>
      <c r="D16" s="278"/>
      <c r="E16" s="67">
        <f>SUM(E3:E15)</f>
        <v>1597983.091</v>
      </c>
      <c r="F16" s="67">
        <f>SUM(F3:F15)</f>
        <v>1385440.3500000057</v>
      </c>
      <c r="G16" s="67">
        <f>SUM(G3:G15)</f>
        <v>1513604.892</v>
      </c>
      <c r="H16" s="68">
        <f t="shared" si="0"/>
        <v>9.2508163198793625E-2</v>
      </c>
      <c r="I16" s="67">
        <f>SUM(I3:I15)</f>
        <v>128164.5419999942</v>
      </c>
      <c r="J16" s="67">
        <f>SUM(J3:J15)</f>
        <v>1599444.444444444</v>
      </c>
      <c r="K16" s="68">
        <f t="shared" si="2"/>
        <v>-5.3668355123306477E-2</v>
      </c>
      <c r="L16" s="67">
        <f>SUM(L3:L15)</f>
        <v>-85839.552444444431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VLOOKUP(A17,'2024'!$A:$O,3,0)</f>
        <v>40630.419999999947</v>
      </c>
      <c r="F17" s="9">
        <f>VLOOKUP($A17,'2025'!$A:$O,3,0)</f>
        <v>97231.17999999976</v>
      </c>
      <c r="G17" s="9">
        <v>236431.19999999864</v>
      </c>
      <c r="H17" s="49">
        <f>G17/F17-1</f>
        <v>1.4316397270916514</v>
      </c>
      <c r="I17" s="11">
        <f>G17-F17</f>
        <v>139200.01999999888</v>
      </c>
      <c r="J17" s="8">
        <f>VLOOKUP(B17,'תקציב  '!$B:$S,5,0)*1</f>
        <v>444915.25423728814</v>
      </c>
      <c r="K17" s="49">
        <f>G17/J17-1</f>
        <v>-0.46859273142857449</v>
      </c>
      <c r="L17" s="13">
        <f>G17-J17</f>
        <v>-208484.0542372895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VLOOKUP(A18,'2024'!$A:$O,3,0)</f>
        <v>2455.6600000000003</v>
      </c>
      <c r="F18" s="9">
        <f>VLOOKUP($A18,'2025'!$A:$O,3,0)</f>
        <v>3188.8200000000006</v>
      </c>
      <c r="G18" s="9">
        <v>1747</v>
      </c>
      <c r="H18" s="49">
        <f>G18/F18-1</f>
        <v>-0.45214844362491469</v>
      </c>
      <c r="I18" s="11">
        <f>G18-F18</f>
        <v>-1441.8200000000006</v>
      </c>
      <c r="J18" s="8">
        <f>VLOOKUP(B18,'תקציב  '!$B:$S,5,0)*1</f>
        <v>2536.9283333333324</v>
      </c>
      <c r="K18" s="49">
        <f>G18/J18-1</f>
        <v>-0.31137195440417753</v>
      </c>
      <c r="L18" s="13">
        <f>G18-J18</f>
        <v>-789.92833333333238</v>
      </c>
    </row>
    <row r="19" spans="1:12" ht="15" x14ac:dyDescent="0.25">
      <c r="B19" s="266" t="s">
        <v>41</v>
      </c>
      <c r="C19" s="267"/>
      <c r="D19" s="267"/>
      <c r="E19" s="12">
        <f>E16+E17+E18</f>
        <v>1641069.1709999999</v>
      </c>
      <c r="F19" s="12">
        <f>F16+F17+F18</f>
        <v>1485860.3500000054</v>
      </c>
      <c r="G19" s="12">
        <f>G16+G17+G18</f>
        <v>1751783.0919999985</v>
      </c>
      <c r="H19" s="50">
        <f t="shared" ref="H19:H41" si="4">G19/F19-1</f>
        <v>0.17896886608488627</v>
      </c>
      <c r="I19" s="12">
        <f>I16+I17+I18</f>
        <v>265922.74199999304</v>
      </c>
      <c r="J19" s="12">
        <f>J16+J17+J18</f>
        <v>2046896.6270150654</v>
      </c>
      <c r="K19" s="50">
        <f t="shared" ref="K19:K41" si="5">G19/J19-1</f>
        <v>-0.1441760815471288</v>
      </c>
      <c r="L19" s="12">
        <f>L16+L17+L18</f>
        <v>-295113.53501506726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VLOOKUP(A20,'2024'!$A:$O,3,0)</f>
        <v>377981.61</v>
      </c>
      <c r="F20" s="9">
        <f>VLOOKUP($A20,'2025'!$A:$O,3,0)</f>
        <v>188313.47</v>
      </c>
      <c r="G20" s="9">
        <v>194189.2</v>
      </c>
      <c r="H20" s="49">
        <f t="shared" si="4"/>
        <v>3.1201857201186955E-2</v>
      </c>
      <c r="I20" s="11">
        <f t="shared" ref="I20:I39" si="6">G20-F20</f>
        <v>5875.7300000000105</v>
      </c>
      <c r="J20" s="8">
        <f>VLOOKUP(B20,'תקציב  '!$B:$S,5,0)*1</f>
        <v>312309.92429999996</v>
      </c>
      <c r="K20" s="49">
        <f t="shared" si="5"/>
        <v>-0.3782163649290089</v>
      </c>
      <c r="L20" s="13">
        <f t="shared" ref="L20:L39" si="7">G20-J20</f>
        <v>-118120.72429999994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VLOOKUP(A21,'2024'!$A:$O,3,0)</f>
        <v>255841.44</v>
      </c>
      <c r="F21" s="9">
        <f>VLOOKUP($A21,'2025'!$A:$O,3,0)</f>
        <v>213082.56</v>
      </c>
      <c r="G21" s="87">
        <v>137198.20000000001</v>
      </c>
      <c r="H21" s="49">
        <f t="shared" si="4"/>
        <v>-0.35612656427630673</v>
      </c>
      <c r="I21" s="11">
        <f t="shared" si="6"/>
        <v>-75884.359999999986</v>
      </c>
      <c r="J21" s="8">
        <f>VLOOKUP(B21,'תקציב  '!$B:$S,5,0)*1</f>
        <v>235200</v>
      </c>
      <c r="K21" s="49">
        <f t="shared" si="5"/>
        <v>-0.41667431972789115</v>
      </c>
      <c r="L21" s="13">
        <f t="shared" si="7"/>
        <v>-98001.799999999988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VLOOKUP(A22,'2024'!$A:$O,3,0)</f>
        <v>73976.740000000005</v>
      </c>
      <c r="F22" s="9">
        <f>VLOOKUP($A22,'2025'!$A:$O,3,0)</f>
        <v>35605.910000000003</v>
      </c>
      <c r="G22" s="87">
        <v>17835.419999999998</v>
      </c>
      <c r="H22" s="49">
        <f t="shared" si="4"/>
        <v>-0.49908821316461238</v>
      </c>
      <c r="I22" s="11">
        <f t="shared" si="6"/>
        <v>-17770.490000000005</v>
      </c>
      <c r="J22" s="8">
        <f>VLOOKUP(B22,'תקציב  '!$B:$S,5,0)*1</f>
        <v>11714.9</v>
      </c>
      <c r="K22" s="49">
        <f t="shared" si="5"/>
        <v>0.52245601755029902</v>
      </c>
      <c r="L22" s="13">
        <f t="shared" si="7"/>
        <v>6120.5199999999986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VLOOKUP(A23,'2024'!$A:$O,3,0)</f>
        <v>0</v>
      </c>
      <c r="F23" s="9">
        <f>VLOOKUP($A23,'2025'!$A:$O,3,0)</f>
        <v>85563.25</v>
      </c>
      <c r="G23" s="86"/>
      <c r="H23" s="49">
        <f t="shared" si="4"/>
        <v>-1</v>
      </c>
      <c r="I23" s="11">
        <f t="shared" si="6"/>
        <v>-85563.25</v>
      </c>
      <c r="J23" s="8">
        <f>VLOOKUP(B23,'תקציב  '!$B:$S,5,0)*1</f>
        <v>0</v>
      </c>
      <c r="K23" s="49" t="e">
        <f t="shared" si="5"/>
        <v>#DIV/0!</v>
      </c>
      <c r="L23" s="13">
        <f t="shared" si="7"/>
        <v>0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VLOOKUP(A24,'2024'!$A:$O,3,0)</f>
        <v>0</v>
      </c>
      <c r="F24" s="9">
        <f>VLOOKUP($A24,'2025'!$A:$O,3,0)</f>
        <v>16335.18</v>
      </c>
      <c r="G24" s="86"/>
      <c r="H24" s="49">
        <f t="shared" si="4"/>
        <v>-1</v>
      </c>
      <c r="I24" s="11">
        <f t="shared" si="6"/>
        <v>-16335.18</v>
      </c>
      <c r="J24" s="8">
        <f>VLOOKUP(B24,'תקציב  '!$B:$S,5,0)*1</f>
        <v>0</v>
      </c>
      <c r="K24" s="49" t="e">
        <f t="shared" si="5"/>
        <v>#DIV/0!</v>
      </c>
      <c r="L24" s="13">
        <f t="shared" si="7"/>
        <v>0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VLOOKUP(A25,'2024'!$A:$O,3,0)</f>
        <v>0</v>
      </c>
      <c r="F25" s="9">
        <f>VLOOKUP($A25,'2025'!$A:$O,3,0)</f>
        <v>0</v>
      </c>
      <c r="G25" s="86"/>
      <c r="H25" s="49" t="e">
        <f t="shared" si="4"/>
        <v>#DIV/0!</v>
      </c>
      <c r="I25" s="11">
        <f t="shared" si="6"/>
        <v>0</v>
      </c>
      <c r="J25" s="8">
        <f>VLOOKUP(B25,'תקציב  '!$B:$S,5,0)*1</f>
        <v>0</v>
      </c>
      <c r="K25" s="49" t="e">
        <f t="shared" si="5"/>
        <v>#DIV/0!</v>
      </c>
      <c r="L25" s="13">
        <f t="shared" si="7"/>
        <v>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VLOOKUP(A26,'2024'!$A:$O,3,0)</f>
        <v>0</v>
      </c>
      <c r="F26" s="9">
        <f>VLOOKUP($A26,'2025'!$A:$O,3,0)</f>
        <v>0</v>
      </c>
      <c r="G26" s="86"/>
      <c r="H26" s="49" t="e">
        <f t="shared" si="4"/>
        <v>#DIV/0!</v>
      </c>
      <c r="I26" s="11">
        <f t="shared" si="6"/>
        <v>0</v>
      </c>
      <c r="J26" s="8">
        <f>VLOOKUP(B26,'תקציב  '!$B:$S,5,0)*1</f>
        <v>0</v>
      </c>
      <c r="K26" s="49" t="e">
        <f t="shared" si="5"/>
        <v>#DIV/0!</v>
      </c>
      <c r="L26" s="13">
        <f t="shared" si="7"/>
        <v>0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VLOOKUP(A27,'2024'!$A:$O,3,0)</f>
        <v>23907.35</v>
      </c>
      <c r="F27" s="9">
        <f>VLOOKUP($A27,'2025'!$A:$O,3,0)</f>
        <v>0</v>
      </c>
      <c r="G27" s="87">
        <v>42152.31</v>
      </c>
      <c r="H27" s="49" t="e">
        <f t="shared" si="4"/>
        <v>#DIV/0!</v>
      </c>
      <c r="I27" s="11">
        <f t="shared" si="6"/>
        <v>42152.31</v>
      </c>
      <c r="J27" s="8">
        <f>VLOOKUP(B27,'תקציב  '!$B:$S,5,0)*1</f>
        <v>40000</v>
      </c>
      <c r="K27" s="49">
        <f t="shared" si="5"/>
        <v>5.3807750000000043E-2</v>
      </c>
      <c r="L27" s="13">
        <f t="shared" si="7"/>
        <v>2152.3099999999977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VLOOKUP(A28,'2024'!$A:$O,3,0)</f>
        <v>0</v>
      </c>
      <c r="F28" s="9">
        <f>VLOOKUP($A28,'2025'!$A:$O,3,0)</f>
        <v>0</v>
      </c>
      <c r="G28" s="86"/>
      <c r="H28" s="49" t="e">
        <f t="shared" si="4"/>
        <v>#DIV/0!</v>
      </c>
      <c r="I28" s="11">
        <f t="shared" si="6"/>
        <v>0</v>
      </c>
      <c r="J28" s="8">
        <f>VLOOKUP(B28,'תקציב  '!$B:$S,5,0)*1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VLOOKUP(A29,'2024'!$A:$O,3,0)</f>
        <v>49906.61</v>
      </c>
      <c r="F29" s="9">
        <f>VLOOKUP($A29,'2025'!$A:$O,3,0)</f>
        <v>49474.45</v>
      </c>
      <c r="G29" s="87">
        <v>24695.01</v>
      </c>
      <c r="H29" s="49">
        <f t="shared" si="4"/>
        <v>-0.50085326870738323</v>
      </c>
      <c r="I29" s="11">
        <f t="shared" si="6"/>
        <v>-24779.439999999999</v>
      </c>
      <c r="J29" s="8">
        <f>VLOOKUP(B29,'תקציב  '!$B:$S,5,0)*1</f>
        <v>24919.5</v>
      </c>
      <c r="K29" s="49">
        <f t="shared" si="5"/>
        <v>-9.0086077168483047E-3</v>
      </c>
      <c r="L29" s="13">
        <f t="shared" si="7"/>
        <v>-224.4900000000016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VLOOKUP(A30,'2024'!$A:$O,3,0)</f>
        <v>0</v>
      </c>
      <c r="F30" s="9">
        <f>VLOOKUP($A30,'2025'!$A:$O,3,0)</f>
        <v>0</v>
      </c>
      <c r="G30" s="86"/>
      <c r="H30" s="49" t="e">
        <f t="shared" si="4"/>
        <v>#DIV/0!</v>
      </c>
      <c r="I30" s="11">
        <f t="shared" si="6"/>
        <v>0</v>
      </c>
      <c r="J30" s="8">
        <f>VLOOKUP(B30,'תקציב  '!$B:$S,5,0)*1</f>
        <v>0</v>
      </c>
      <c r="K30" s="49" t="e">
        <f t="shared" si="5"/>
        <v>#DIV/0!</v>
      </c>
      <c r="L30" s="13">
        <f t="shared" si="7"/>
        <v>0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VLOOKUP(A31,'2024'!$A:$O,3,0)</f>
        <v>0</v>
      </c>
      <c r="F31" s="9">
        <f>VLOOKUP($A31,'2025'!$A:$O,3,0)</f>
        <v>0</v>
      </c>
      <c r="G31" s="9"/>
      <c r="H31" s="49" t="e">
        <f t="shared" si="4"/>
        <v>#DIV/0!</v>
      </c>
      <c r="I31" s="11">
        <f t="shared" si="6"/>
        <v>0</v>
      </c>
      <c r="J31" s="8">
        <f>VLOOKUP(B31,'תקציב  '!$B:$S,5,0)*1</f>
        <v>0</v>
      </c>
      <c r="K31" s="49" t="e">
        <f t="shared" si="5"/>
        <v>#DIV/0!</v>
      </c>
      <c r="L31" s="13">
        <f t="shared" si="7"/>
        <v>0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VLOOKUP(A32,'2024'!$A:$O,3,0)</f>
        <v>0</v>
      </c>
      <c r="F32" s="9">
        <f>VLOOKUP($A32,'2025'!$A:$O,3,0)</f>
        <v>0</v>
      </c>
      <c r="G32" s="9"/>
      <c r="H32" s="49" t="e">
        <f t="shared" si="4"/>
        <v>#DIV/0!</v>
      </c>
      <c r="I32" s="11">
        <f t="shared" si="6"/>
        <v>0</v>
      </c>
      <c r="J32" s="8">
        <f>VLOOKUP(B32,'תקציב  '!$B:$S,5,0)*1</f>
        <v>0</v>
      </c>
      <c r="K32" s="49" t="e">
        <f t="shared" si="5"/>
        <v>#DIV/0!</v>
      </c>
      <c r="L32" s="13">
        <f t="shared" si="7"/>
        <v>0</v>
      </c>
    </row>
    <row r="33" spans="1:12" ht="13.5" customHeight="1" x14ac:dyDescent="0.2">
      <c r="B33" s="36"/>
      <c r="C33" s="5" t="s">
        <v>11</v>
      </c>
      <c r="D33" s="3" t="s">
        <v>12</v>
      </c>
      <c r="E33" s="9"/>
      <c r="F33" s="9"/>
      <c r="G33" s="9"/>
      <c r="H33" s="49" t="e">
        <f t="shared" si="4"/>
        <v>#DIV/0!</v>
      </c>
      <c r="I33" s="11">
        <f t="shared" si="6"/>
        <v>0</v>
      </c>
      <c r="J33" s="8"/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VLOOKUP(A34,'2024'!$A:$O,3,0)</f>
        <v>19941.82</v>
      </c>
      <c r="F34" s="9">
        <f>VLOOKUP($A34,'2025'!$A:$O,3,0)</f>
        <v>1584.32</v>
      </c>
      <c r="G34" s="9"/>
      <c r="H34" s="49">
        <f t="shared" si="4"/>
        <v>-1</v>
      </c>
      <c r="I34" s="11">
        <f t="shared" si="6"/>
        <v>-1584.32</v>
      </c>
      <c r="J34" s="8">
        <f>VLOOKUP(B34,'תקציב  '!$B:$S,5,0)*1</f>
        <v>0</v>
      </c>
      <c r="K34" s="49" t="e">
        <f t="shared" si="5"/>
        <v>#DIV/0!</v>
      </c>
      <c r="L34" s="13">
        <f t="shared" si="7"/>
        <v>0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VLOOKUP(A35,'2024'!$A:$O,3,0)</f>
        <v>34034.18</v>
      </c>
      <c r="F35" s="9">
        <f>VLOOKUP($A35,'2025'!$A:$O,3,0)</f>
        <v>0</v>
      </c>
      <c r="G35" s="9"/>
      <c r="H35" s="49" t="e">
        <f t="shared" si="4"/>
        <v>#DIV/0!</v>
      </c>
      <c r="I35" s="11">
        <f t="shared" si="6"/>
        <v>0</v>
      </c>
      <c r="J35" s="8">
        <f>VLOOKUP(B35,'תקציב  '!$B:$S,5,0)*1</f>
        <v>0</v>
      </c>
      <c r="K35" s="49" t="e">
        <f t="shared" si="5"/>
        <v>#DIV/0!</v>
      </c>
      <c r="L35" s="13">
        <f t="shared" si="7"/>
        <v>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VLOOKUP(A36,'2024'!$A:$O,3,0)</f>
        <v>0</v>
      </c>
      <c r="F36" s="9">
        <f>VLOOKUP($A36,'2025'!$A:$O,3,0)</f>
        <v>0</v>
      </c>
      <c r="G36" s="9"/>
      <c r="H36" s="49" t="e">
        <f t="shared" si="4"/>
        <v>#DIV/0!</v>
      </c>
      <c r="I36" s="11">
        <f t="shared" si="6"/>
        <v>0</v>
      </c>
      <c r="J36" s="8"/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VLOOKUP(A37,'2024'!$A:$O,3,0)</f>
        <v>0</v>
      </c>
      <c r="F37" s="9">
        <f>VLOOKUP($A37,'2025'!$A:$O,3,0)</f>
        <v>0</v>
      </c>
      <c r="G37" s="9"/>
      <c r="H37" s="49" t="e">
        <f t="shared" si="4"/>
        <v>#DIV/0!</v>
      </c>
      <c r="I37" s="11">
        <f t="shared" si="6"/>
        <v>0</v>
      </c>
      <c r="J37" s="8"/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VLOOKUP(A38,'2024'!$A:$O,3,0)</f>
        <v>0</v>
      </c>
      <c r="F38" s="9">
        <f>VLOOKUP($A38,'2025'!$A:$O,3,0)</f>
        <v>0</v>
      </c>
      <c r="G38" s="9"/>
      <c r="H38" s="49" t="e">
        <f t="shared" si="4"/>
        <v>#DIV/0!</v>
      </c>
      <c r="I38" s="11">
        <f t="shared" si="6"/>
        <v>0</v>
      </c>
      <c r="J38" s="8"/>
      <c r="K38" s="49" t="e">
        <f t="shared" si="5"/>
        <v>#DIV/0!</v>
      </c>
      <c r="L38" s="13">
        <f t="shared" si="7"/>
        <v>0</v>
      </c>
    </row>
    <row r="39" spans="1:12" ht="13.5" customHeight="1" x14ac:dyDescent="0.2">
      <c r="B39" s="37" t="s">
        <v>91</v>
      </c>
      <c r="C39" s="5" t="s">
        <v>91</v>
      </c>
      <c r="D39" s="3"/>
      <c r="E39" s="9"/>
      <c r="F39" s="9"/>
      <c r="G39" s="9"/>
      <c r="H39" s="49" t="e">
        <f t="shared" si="4"/>
        <v>#DIV/0!</v>
      </c>
      <c r="I39" s="11">
        <f t="shared" si="6"/>
        <v>0</v>
      </c>
      <c r="J39" s="8">
        <f>VLOOKUP(B39,'תקציב  '!$B:$S,5,0)*1</f>
        <v>0</v>
      </c>
      <c r="K39" s="49" t="e">
        <f t="shared" si="5"/>
        <v>#DIV/0!</v>
      </c>
      <c r="L39" s="13">
        <f t="shared" si="7"/>
        <v>0</v>
      </c>
    </row>
    <row r="40" spans="1:12" ht="15" x14ac:dyDescent="0.25">
      <c r="B40" s="268" t="s">
        <v>42</v>
      </c>
      <c r="C40" s="269"/>
      <c r="D40" s="269"/>
      <c r="E40" s="10">
        <f>SUM(E20:E39)</f>
        <v>835589.75</v>
      </c>
      <c r="F40" s="10">
        <f>SUM(F20:F39)</f>
        <v>589959.14</v>
      </c>
      <c r="G40" s="10">
        <f>SUM(G20:G39)</f>
        <v>416070.14</v>
      </c>
      <c r="H40" s="43">
        <f t="shared" si="4"/>
        <v>-0.29474753115953078</v>
      </c>
      <c r="I40" s="10">
        <f>SUM(I20:I39)</f>
        <v>-173889</v>
      </c>
      <c r="J40" s="10">
        <f>SUM(J20:J39)</f>
        <v>624144.32429999998</v>
      </c>
      <c r="K40" s="43">
        <f t="shared" si="5"/>
        <v>-0.33337511245233631</v>
      </c>
      <c r="L40" s="10">
        <f>SUM(L20:L39)</f>
        <v>-208074.18429999994</v>
      </c>
    </row>
    <row r="41" spans="1:12" ht="16.5" thickBot="1" x14ac:dyDescent="0.3">
      <c r="B41" s="270" t="s">
        <v>69</v>
      </c>
      <c r="C41" s="271"/>
      <c r="D41" s="271"/>
      <c r="E41" s="25">
        <f>E40+E19</f>
        <v>2476658.9210000001</v>
      </c>
      <c r="F41" s="25">
        <f>F40+F19</f>
        <v>2075819.4900000053</v>
      </c>
      <c r="G41" s="25">
        <f>G40+G19</f>
        <v>2167853.2319999984</v>
      </c>
      <c r="H41" s="44">
        <f t="shared" si="4"/>
        <v>4.4336100727136341E-2</v>
      </c>
      <c r="I41" s="25">
        <f>I40+I19</f>
        <v>92033.741999993043</v>
      </c>
      <c r="J41" s="25">
        <f>J40+J19</f>
        <v>2671040.9513150654</v>
      </c>
      <c r="K41" s="44">
        <f t="shared" si="5"/>
        <v>-0.18838637388443125</v>
      </c>
      <c r="L41" s="25">
        <f>L40+L19</f>
        <v>-503187.71931506717</v>
      </c>
    </row>
    <row r="42" spans="1:12" ht="15.75" thickBot="1" x14ac:dyDescent="0.3">
      <c r="B42" s="272" t="s">
        <v>43</v>
      </c>
      <c r="C42" s="273"/>
      <c r="D42" s="274"/>
      <c r="E42" s="16">
        <f>E40/E41</f>
        <v>0.33738588019322985</v>
      </c>
      <c r="F42" s="16">
        <f>F40/F41</f>
        <v>0.28420541518280018</v>
      </c>
      <c r="G42" s="16">
        <f>G40/G41</f>
        <v>0.19192726419774542</v>
      </c>
      <c r="H42" s="45"/>
      <c r="I42" s="6"/>
      <c r="J42" s="15">
        <f>J41-'תקציב  '!F41*1</f>
        <v>0</v>
      </c>
    </row>
    <row r="43" spans="1:12" x14ac:dyDescent="0.2">
      <c r="E43" s="47">
        <f>E41-'2024'!C38</f>
        <v>0</v>
      </c>
      <c r="I43" s="6"/>
    </row>
  </sheetData>
  <dataConsolidate/>
  <mergeCells count="6">
    <mergeCell ref="B1:L1"/>
    <mergeCell ref="B19:D19"/>
    <mergeCell ref="B40:D40"/>
    <mergeCell ref="B41:D41"/>
    <mergeCell ref="B42:D42"/>
    <mergeCell ref="B16:D16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673B-7BE9-4562-99FE-2C598D1EBC79}">
  <dimension ref="A1:L43"/>
  <sheetViews>
    <sheetView rightToLeft="1" workbookViewId="0">
      <pane xSplit="4" ySplit="2" topLeftCell="E3" activePane="bottomRight" state="frozen"/>
      <selection activeCell="J13" sqref="J13"/>
      <selection pane="topRight" activeCell="J13" sqref="J13"/>
      <selection pane="bottomLeft" activeCell="J13" sqref="J13"/>
      <selection pane="bottomRight" activeCell="E3" sqref="E3"/>
    </sheetView>
  </sheetViews>
  <sheetFormatPr defaultRowHeight="14.25" x14ac:dyDescent="0.2"/>
  <cols>
    <col min="1" max="1" width="18.125" hidden="1" customWidth="1"/>
    <col min="2" max="2" width="17.375" customWidth="1"/>
    <col min="3" max="3" width="21.375" customWidth="1"/>
    <col min="4" max="4" width="11.375" style="1" customWidth="1"/>
    <col min="5" max="7" width="11.625" customWidth="1"/>
    <col min="8" max="8" width="11.875" style="51" bestFit="1" customWidth="1"/>
    <col min="9" max="9" width="16.75" bestFit="1" customWidth="1"/>
    <col min="10" max="10" width="14.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189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 t="s">
        <v>137</v>
      </c>
      <c r="F2" s="30" t="s">
        <v>206</v>
      </c>
      <c r="G2" s="30" t="s">
        <v>220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ינואר!E3+פברואר!E3</f>
        <v>346988.66000000003</v>
      </c>
      <c r="F3" s="9">
        <f>ינואר!F3+פברואר!F3</f>
        <v>291637.7</v>
      </c>
      <c r="G3" s="9">
        <f>ינואר!G3+פברואר!G3</f>
        <v>427456.19999999995</v>
      </c>
      <c r="H3" s="49">
        <f t="shared" ref="H3:H16" si="0">G3/F3-1</f>
        <v>0.46570968019566727</v>
      </c>
      <c r="I3" s="11">
        <f t="shared" ref="I3:I15" si="1">G3-F3</f>
        <v>135818.49999999994</v>
      </c>
      <c r="J3" s="9">
        <f>ינואר!J3+פברואר!J3</f>
        <v>344920.63492063491</v>
      </c>
      <c r="K3" s="49">
        <f t="shared" ref="K3:K16" si="2">G3/J3-1</f>
        <v>0.23928856879889548</v>
      </c>
      <c r="L3" s="13">
        <f t="shared" ref="L3:L15" si="3">G3-J3</f>
        <v>82535.565079365042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ינואר!E4+פברואר!E4</f>
        <v>874720.39199999999</v>
      </c>
      <c r="F4" s="9">
        <f>ינואר!F4+פברואר!F4</f>
        <v>1077707.5459000072</v>
      </c>
      <c r="G4" s="9">
        <f>ינואר!G4+פברואר!G4</f>
        <v>893640.29300000006</v>
      </c>
      <c r="H4" s="49">
        <f t="shared" si="0"/>
        <v>-0.17079517871083505</v>
      </c>
      <c r="I4" s="11">
        <f t="shared" si="1"/>
        <v>-184067.25290000718</v>
      </c>
      <c r="J4" s="9">
        <f>ינואר!J4+פברואר!J4</f>
        <v>1069301.5873015872</v>
      </c>
      <c r="K4" s="49">
        <f t="shared" si="2"/>
        <v>-0.16427666094172122</v>
      </c>
      <c r="L4" s="13">
        <f t="shared" si="3"/>
        <v>-175661.29430158716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ינואר!E5+פברואר!E5</f>
        <v>145758.61300000001</v>
      </c>
      <c r="F5" s="9">
        <f>ינואר!F5+פברואר!F5</f>
        <v>120452.15000000001</v>
      </c>
      <c r="G5" s="9">
        <f>ינואר!G5+פברואר!G5</f>
        <v>136033.07900000003</v>
      </c>
      <c r="H5" s="49">
        <f t="shared" si="0"/>
        <v>0.12935368110905454</v>
      </c>
      <c r="I5" s="11">
        <f t="shared" si="1"/>
        <v>15580.929000000018</v>
      </c>
      <c r="J5" s="9">
        <f>ינואר!J5+פברואר!J5</f>
        <v>146428.57142857142</v>
      </c>
      <c r="K5" s="49">
        <f t="shared" si="2"/>
        <v>-7.099360682926803E-2</v>
      </c>
      <c r="L5" s="13">
        <f t="shared" si="3"/>
        <v>-10395.492428571393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ינואר!E6+פברואר!E6</f>
        <v>328166.52999999997</v>
      </c>
      <c r="F6" s="9">
        <f>ינואר!F6+פברואר!F6</f>
        <v>269570.20410000102</v>
      </c>
      <c r="G6" s="9">
        <f>ינואר!G6+פברואר!G6</f>
        <v>332892.03000000003</v>
      </c>
      <c r="H6" s="49">
        <f t="shared" si="0"/>
        <v>0.23489920227425753</v>
      </c>
      <c r="I6" s="11">
        <f t="shared" si="1"/>
        <v>63321.825899999007</v>
      </c>
      <c r="J6" s="9">
        <f>ינואר!J6+פברואר!J6</f>
        <v>309126.98412698408</v>
      </c>
      <c r="K6" s="49">
        <f t="shared" si="2"/>
        <v>7.6877940436457237E-2</v>
      </c>
      <c r="L6" s="13">
        <f t="shared" si="3"/>
        <v>23765.045873015944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ינואר!E7+פברואר!E7</f>
        <v>800096</v>
      </c>
      <c r="F7" s="9">
        <f>ינואר!F7+פברואר!F7</f>
        <v>698202</v>
      </c>
      <c r="G7" s="9">
        <f>ינואר!G7+פברואר!G7</f>
        <v>619233.55000000005</v>
      </c>
      <c r="H7" s="49">
        <f t="shared" si="0"/>
        <v>-0.11310258349302915</v>
      </c>
      <c r="I7" s="11">
        <f t="shared" si="1"/>
        <v>-78968.449999999953</v>
      </c>
      <c r="J7" s="9">
        <f>ינואר!J7+פברואר!J7</f>
        <v>730000</v>
      </c>
      <c r="K7" s="49">
        <f t="shared" si="2"/>
        <v>-0.15173486301369854</v>
      </c>
      <c r="L7" s="13">
        <f t="shared" si="3"/>
        <v>-110766.44999999995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ינואר!E8+פברואר!E8</f>
        <v>166341</v>
      </c>
      <c r="F8" s="9">
        <f>ינואר!F8+פברואר!F8</f>
        <v>139980.78</v>
      </c>
      <c r="G8" s="9">
        <f>ינואר!G8+פברואר!G8</f>
        <v>119640.42000000001</v>
      </c>
      <c r="H8" s="49">
        <f t="shared" si="0"/>
        <v>-0.14530823445904495</v>
      </c>
      <c r="I8" s="11">
        <f t="shared" si="1"/>
        <v>-20340.359999999986</v>
      </c>
      <c r="J8" s="9">
        <f>ינואר!J8+פברואר!J8</f>
        <v>192698.41269841269</v>
      </c>
      <c r="K8" s="49">
        <f t="shared" si="2"/>
        <v>-0.37913126359143323</v>
      </c>
      <c r="L8" s="13">
        <f t="shared" si="3"/>
        <v>-73057.99269841268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ינואר!E9+פברואר!E9</f>
        <v>177719.30000000002</v>
      </c>
      <c r="F9" s="9">
        <f>ינואר!F9+פברואר!F9</f>
        <v>119011.41000000003</v>
      </c>
      <c r="G9" s="9">
        <f>ינואר!G9+פברואר!G9</f>
        <v>167900.26</v>
      </c>
      <c r="H9" s="49">
        <f t="shared" si="0"/>
        <v>0.41079128463396875</v>
      </c>
      <c r="I9" s="11">
        <f t="shared" si="1"/>
        <v>48888.849999999977</v>
      </c>
      <c r="J9" s="9">
        <f>ינואר!J9+פברואר!J9</f>
        <v>282662.6984126984</v>
      </c>
      <c r="K9" s="49">
        <f t="shared" si="2"/>
        <v>-0.4060048922519689</v>
      </c>
      <c r="L9" s="13">
        <f t="shared" si="3"/>
        <v>-114762.43841269839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ינואר!E10+פברואר!E10</f>
        <v>27010.61</v>
      </c>
      <c r="F10" s="9">
        <f>ינואר!F10+פברואר!F10</f>
        <v>33992.619999999995</v>
      </c>
      <c r="G10" s="9">
        <f>ינואר!G10+פברואר!G10</f>
        <v>29441.749999999996</v>
      </c>
      <c r="H10" s="49">
        <f t="shared" si="0"/>
        <v>-0.13387817708667349</v>
      </c>
      <c r="I10" s="11">
        <f t="shared" si="1"/>
        <v>-4550.869999999999</v>
      </c>
      <c r="J10" s="9">
        <f>ינואר!J10+פברואר!J10</f>
        <v>30912.69841269841</v>
      </c>
      <c r="K10" s="49">
        <f t="shared" si="2"/>
        <v>-4.7583953786906275E-2</v>
      </c>
      <c r="L10" s="13">
        <f t="shared" si="3"/>
        <v>-1470.9484126984134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ינואר!E11+פברואר!E11</f>
        <v>5667.68</v>
      </c>
      <c r="F11" s="9">
        <f>ינואר!F11+פברואר!F11</f>
        <v>10071.31</v>
      </c>
      <c r="G11" s="9">
        <f>ינואר!G11+פברואר!G11</f>
        <v>9213.7200000000012</v>
      </c>
      <c r="H11" s="49">
        <f t="shared" si="0"/>
        <v>-8.5151782638008156E-2</v>
      </c>
      <c r="I11" s="11">
        <f t="shared" si="1"/>
        <v>-857.58999999999833</v>
      </c>
      <c r="J11" s="9">
        <f>ינואר!J11+פברואר!J11</f>
        <v>14269.841269841269</v>
      </c>
      <c r="K11" s="49">
        <f t="shared" si="2"/>
        <v>-0.35432218020022233</v>
      </c>
      <c r="L11" s="13">
        <f t="shared" si="3"/>
        <v>-5056.1212698412673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ינואר!E12+פברואר!E12</f>
        <v>0</v>
      </c>
      <c r="F12" s="9">
        <f>ינואר!F12+פברואר!F12</f>
        <v>1732.3</v>
      </c>
      <c r="G12" s="9">
        <f>ינואר!G12+פברואר!G12</f>
        <v>810.6</v>
      </c>
      <c r="H12" s="49">
        <f t="shared" si="0"/>
        <v>-0.53206719390405821</v>
      </c>
      <c r="I12" s="11">
        <f t="shared" si="1"/>
        <v>-921.69999999999993</v>
      </c>
      <c r="J12" s="9">
        <f>ינואר!J12+פברואר!J12</f>
        <v>0</v>
      </c>
      <c r="K12" s="49"/>
      <c r="L12" s="13">
        <f t="shared" si="3"/>
        <v>810.6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ינואר!E13+פברואר!E13</f>
        <v>0</v>
      </c>
      <c r="F13" s="9">
        <f>ינואר!F13+פברואר!F13</f>
        <v>0</v>
      </c>
      <c r="G13" s="9">
        <f>ינואר!G13+פברואר!G13</f>
        <v>0</v>
      </c>
      <c r="H13" s="49" t="e">
        <f t="shared" si="0"/>
        <v>#DIV/0!</v>
      </c>
      <c r="I13" s="11">
        <f t="shared" si="1"/>
        <v>0</v>
      </c>
      <c r="J13" s="9">
        <f>ינואר!J13+פברואר!J13</f>
        <v>0</v>
      </c>
      <c r="K13" s="49" t="e">
        <f t="shared" si="2"/>
        <v>#DIV/0!</v>
      </c>
      <c r="L13" s="13">
        <f t="shared" si="3"/>
        <v>0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ינואר!E14+פברואר!E14</f>
        <v>0</v>
      </c>
      <c r="F14" s="9">
        <f>ינואר!F14+פברואר!F14</f>
        <v>11067.51</v>
      </c>
      <c r="G14" s="9">
        <f>ינואר!G14+פברואר!G14</f>
        <v>3470.98</v>
      </c>
      <c r="H14" s="49">
        <f t="shared" si="0"/>
        <v>-0.68638112818511121</v>
      </c>
      <c r="I14" s="11">
        <f t="shared" si="1"/>
        <v>-7596.5300000000007</v>
      </c>
      <c r="J14" s="9">
        <f>ינואר!J14+פברואר!J14</f>
        <v>0</v>
      </c>
      <c r="K14" s="49"/>
      <c r="L14" s="13">
        <f t="shared" si="3"/>
        <v>3470.98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ינואר!E15+פברואר!E15</f>
        <v>12728.48</v>
      </c>
      <c r="F15" s="9">
        <f>ינואר!F15+פברואר!F15</f>
        <v>27715.47</v>
      </c>
      <c r="G15" s="9">
        <f>ינואר!G15+פברואר!G15</f>
        <v>26737.64</v>
      </c>
      <c r="H15" s="49">
        <f t="shared" si="0"/>
        <v>-3.5281018146183452E-2</v>
      </c>
      <c r="I15" s="11">
        <f t="shared" si="1"/>
        <v>-977.83000000000175</v>
      </c>
      <c r="J15" s="9">
        <f>ינואר!J15+פברואר!J15</f>
        <v>32539.682539682537</v>
      </c>
      <c r="K15" s="49">
        <f t="shared" si="2"/>
        <v>-0.17830667317073168</v>
      </c>
      <c r="L15" s="13">
        <f t="shared" si="3"/>
        <v>-5802.0425396825376</v>
      </c>
    </row>
    <row r="16" spans="1:12" ht="15" x14ac:dyDescent="0.25">
      <c r="B16" s="277" t="s">
        <v>221</v>
      </c>
      <c r="C16" s="278"/>
      <c r="D16" s="278"/>
      <c r="E16" s="67">
        <f>SUM(E3:E15)</f>
        <v>2885197.2650000001</v>
      </c>
      <c r="F16" s="67">
        <f>SUM(F3:F15)</f>
        <v>2801141.0000000079</v>
      </c>
      <c r="G16" s="67">
        <f>SUM(G3:G15)</f>
        <v>2766470.5220000008</v>
      </c>
      <c r="H16" s="68">
        <f t="shared" si="0"/>
        <v>-1.2377269833973692E-2</v>
      </c>
      <c r="I16" s="67">
        <f>SUM(I3:I15)</f>
        <v>-34670.478000008181</v>
      </c>
      <c r="J16" s="67">
        <f>SUM(J3:J15)</f>
        <v>3152861.1111111105</v>
      </c>
      <c r="K16" s="68">
        <f t="shared" si="2"/>
        <v>-0.12255236608723952</v>
      </c>
      <c r="L16" s="67">
        <f>SUM(L3:L15)</f>
        <v>-386390.58911111084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ינואר!E17+פברואר!E17</f>
        <v>83293.459999999977</v>
      </c>
      <c r="F17" s="9">
        <f>ינואר!F17+פברואר!F17</f>
        <v>190219.34999999934</v>
      </c>
      <c r="G17" s="9">
        <f>ינואר!G17+פברואר!G17</f>
        <v>448785.31999999762</v>
      </c>
      <c r="H17" s="49">
        <f>G17/F17-1</f>
        <v>1.3593042453357094</v>
      </c>
      <c r="I17" s="11">
        <f>G17-F17</f>
        <v>258565.96999999828</v>
      </c>
      <c r="J17" s="9">
        <f>ינואר!J17+פברואר!J17</f>
        <v>741525.42372881365</v>
      </c>
      <c r="K17" s="49">
        <f>G17/J17-1</f>
        <v>-0.39478093988571761</v>
      </c>
      <c r="L17" s="13">
        <f>G17-J17</f>
        <v>-292740.10372881603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ינואר!E18+פברואר!E18</f>
        <v>4110.5400000000009</v>
      </c>
      <c r="F18" s="9">
        <f>ינואר!F18+פברואר!F18</f>
        <v>5221.1200000000008</v>
      </c>
      <c r="G18" s="9">
        <f>ינואר!G18+פברואר!G18</f>
        <v>3021.4</v>
      </c>
      <c r="H18" s="49">
        <f>G18/F18-1</f>
        <v>-0.42131190242706551</v>
      </c>
      <c r="I18" s="11">
        <f>G18-F18</f>
        <v>-2199.7200000000007</v>
      </c>
      <c r="J18" s="9">
        <f>ינואר!J18+פברואר!J18</f>
        <v>5073.8566666666648</v>
      </c>
      <c r="K18" s="49">
        <f>G18/J18-1</f>
        <v>-0.40451609130989752</v>
      </c>
      <c r="L18" s="13">
        <f>G18-J18</f>
        <v>-2052.4566666666647</v>
      </c>
    </row>
    <row r="19" spans="1:12" ht="15" x14ac:dyDescent="0.25">
      <c r="B19" s="266" t="s">
        <v>41</v>
      </c>
      <c r="C19" s="267"/>
      <c r="D19" s="267"/>
      <c r="E19" s="12">
        <f>E16+E17+E18</f>
        <v>2972601.2650000001</v>
      </c>
      <c r="F19" s="12">
        <f>F16+F17+F18</f>
        <v>2996581.4700000072</v>
      </c>
      <c r="G19" s="12">
        <f>G16+G17+G18</f>
        <v>3218277.2419999982</v>
      </c>
      <c r="H19" s="50">
        <f t="shared" ref="H19:H41" si="4">G19/F19-1</f>
        <v>7.3982894915248343E-2</v>
      </c>
      <c r="I19" s="12">
        <f>I16+I17+I18</f>
        <v>221695.7719999901</v>
      </c>
      <c r="J19" s="12">
        <f>J16+J17+J18</f>
        <v>3899460.3915065909</v>
      </c>
      <c r="K19" s="50">
        <f t="shared" ref="K19:K41" si="5">G19/J19-1</f>
        <v>-0.17468651585493133</v>
      </c>
      <c r="L19" s="12">
        <f>L16+L17+L18</f>
        <v>-681183.14950659347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ינואר!E20+פברואר!E20</f>
        <v>769502.56</v>
      </c>
      <c r="F20" s="9">
        <f>ינואר!F20+פברואר!F20</f>
        <v>375709.11</v>
      </c>
      <c r="G20" s="9">
        <f>ינואר!G20+פברואר!G20</f>
        <v>372215.89</v>
      </c>
      <c r="H20" s="49">
        <f t="shared" si="4"/>
        <v>-9.2976718078514597E-3</v>
      </c>
      <c r="I20" s="11">
        <f t="shared" ref="I20:I39" si="6">G20-F20</f>
        <v>-3493.2199999999721</v>
      </c>
      <c r="J20" s="9">
        <f>ינואר!J20+פברואר!J20</f>
        <v>584585.03441249998</v>
      </c>
      <c r="K20" s="49">
        <f t="shared" si="5"/>
        <v>-0.36328186989242395</v>
      </c>
      <c r="L20" s="13">
        <f t="shared" ref="L20:L39" si="7">G20-J20</f>
        <v>-212369.14441249997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ינואר!E21+פברואר!E21</f>
        <v>256045.17</v>
      </c>
      <c r="F21" s="9">
        <f>ינואר!F21+פברואר!F21</f>
        <v>213082.56</v>
      </c>
      <c r="G21" s="9">
        <f>ינואר!G21+פברואר!G21</f>
        <v>137198.20000000001</v>
      </c>
      <c r="H21" s="49">
        <f t="shared" si="4"/>
        <v>-0.35612656427630673</v>
      </c>
      <c r="I21" s="11">
        <f t="shared" si="6"/>
        <v>-75884.359999999986</v>
      </c>
      <c r="J21" s="9">
        <f>ינואר!J21+פברואר!J21</f>
        <v>235200</v>
      </c>
      <c r="K21" s="49">
        <f t="shared" si="5"/>
        <v>-0.41667431972789115</v>
      </c>
      <c r="L21" s="13">
        <f t="shared" si="7"/>
        <v>-98001.799999999988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ינואר!E22+פברואר!E22</f>
        <v>123135.33</v>
      </c>
      <c r="F22" s="9">
        <f>ינואר!F22+פברואר!F22</f>
        <v>54123.520000000004</v>
      </c>
      <c r="G22" s="9">
        <f>ינואר!G22+פברואר!G22</f>
        <v>142730.78999999998</v>
      </c>
      <c r="H22" s="49">
        <f t="shared" si="4"/>
        <v>1.6371305857416512</v>
      </c>
      <c r="I22" s="11">
        <f t="shared" si="6"/>
        <v>88607.269999999975</v>
      </c>
      <c r="J22" s="9">
        <f>ינואר!J22+פברואר!J22</f>
        <v>136610.26999999999</v>
      </c>
      <c r="K22" s="49">
        <f t="shared" si="5"/>
        <v>4.4802780932941433E-2</v>
      </c>
      <c r="L22" s="13">
        <f t="shared" si="7"/>
        <v>6120.5199999999895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ינואר!E23+פברואר!E23</f>
        <v>68604.55</v>
      </c>
      <c r="F23" s="9">
        <f>ינואר!F23+פברואר!F23</f>
        <v>85563.25</v>
      </c>
      <c r="G23" s="9">
        <f>ינואר!G23+פברואר!G23</f>
        <v>67158.969999999987</v>
      </c>
      <c r="H23" s="49">
        <f t="shared" si="4"/>
        <v>-0.21509561640073294</v>
      </c>
      <c r="I23" s="11">
        <f t="shared" si="6"/>
        <v>-18404.280000000013</v>
      </c>
      <c r="J23" s="9">
        <f>ינואר!J23+פברואר!J23</f>
        <v>67158.969999999987</v>
      </c>
      <c r="K23" s="49">
        <f t="shared" si="5"/>
        <v>0</v>
      </c>
      <c r="L23" s="13">
        <f t="shared" si="7"/>
        <v>0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ינואר!E24+פברואר!E24</f>
        <v>15923.68</v>
      </c>
      <c r="F24" s="9">
        <f>ינואר!F24+פברואר!F24</f>
        <v>16335.18</v>
      </c>
      <c r="G24" s="9">
        <f>ינואר!G24+פברואר!G24</f>
        <v>15774.92</v>
      </c>
      <c r="H24" s="49">
        <f t="shared" si="4"/>
        <v>-3.429775490689424E-2</v>
      </c>
      <c r="I24" s="11">
        <f t="shared" si="6"/>
        <v>-560.26000000000022</v>
      </c>
      <c r="J24" s="9">
        <f>ינואר!J24+פברואר!J24</f>
        <v>15774.92</v>
      </c>
      <c r="K24" s="49">
        <f t="shared" si="5"/>
        <v>0</v>
      </c>
      <c r="L24" s="13">
        <f t="shared" si="7"/>
        <v>0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ינואר!E25+פברואר!E25</f>
        <v>50777.759999999995</v>
      </c>
      <c r="F25" s="9">
        <f>ינואר!F25+פברואר!F25</f>
        <v>0</v>
      </c>
      <c r="G25" s="9">
        <f>ינואר!G25+פברואר!G25</f>
        <v>0</v>
      </c>
      <c r="H25" s="49" t="e">
        <f t="shared" si="4"/>
        <v>#DIV/0!</v>
      </c>
      <c r="I25" s="11">
        <f t="shared" si="6"/>
        <v>0</v>
      </c>
      <c r="J25" s="9">
        <f>ינואר!J25+פברואר!J25</f>
        <v>0</v>
      </c>
      <c r="K25" s="49" t="e">
        <f t="shared" si="5"/>
        <v>#DIV/0!</v>
      </c>
      <c r="L25" s="13">
        <f t="shared" si="7"/>
        <v>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ינואר!E26+פברואר!E26</f>
        <v>249206.12</v>
      </c>
      <c r="F26" s="9">
        <f>ינואר!F26+פברואר!F26</f>
        <v>0</v>
      </c>
      <c r="G26" s="9">
        <f>ינואר!G26+פברואר!G26</f>
        <v>-1269.06</v>
      </c>
      <c r="H26" s="49" t="e">
        <f t="shared" si="4"/>
        <v>#DIV/0!</v>
      </c>
      <c r="I26" s="11">
        <f t="shared" si="6"/>
        <v>-1269.06</v>
      </c>
      <c r="J26" s="9">
        <f>ינואר!J26+פברואר!J26</f>
        <v>0</v>
      </c>
      <c r="K26" s="49" t="e">
        <f t="shared" si="5"/>
        <v>#DIV/0!</v>
      </c>
      <c r="L26" s="13">
        <f t="shared" si="7"/>
        <v>-1269.06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ינואר!E27+פברואר!E27</f>
        <v>23907.35</v>
      </c>
      <c r="F27" s="9">
        <f>ינואר!F27+פברואר!F27</f>
        <v>0</v>
      </c>
      <c r="G27" s="9">
        <f>ינואר!G27+פברואר!G27</f>
        <v>42152.31</v>
      </c>
      <c r="H27" s="49" t="e">
        <f t="shared" si="4"/>
        <v>#DIV/0!</v>
      </c>
      <c r="I27" s="11">
        <f t="shared" si="6"/>
        <v>42152.31</v>
      </c>
      <c r="J27" s="9">
        <f>ינואר!J27+פברואר!J27</f>
        <v>40000</v>
      </c>
      <c r="K27" s="49">
        <f t="shared" si="5"/>
        <v>5.3807750000000043E-2</v>
      </c>
      <c r="L27" s="13">
        <f t="shared" si="7"/>
        <v>2152.3099999999977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ינואר!E28+פברואר!E28</f>
        <v>0</v>
      </c>
      <c r="F28" s="9">
        <f>ינואר!F28+פברואר!F28</f>
        <v>0</v>
      </c>
      <c r="G28" s="9">
        <f>ינואר!G28+פברואר!G28</f>
        <v>0</v>
      </c>
      <c r="H28" s="49" t="e">
        <f t="shared" si="4"/>
        <v>#DIV/0!</v>
      </c>
      <c r="I28" s="11">
        <f t="shared" si="6"/>
        <v>0</v>
      </c>
      <c r="J28" s="9">
        <f>ינואר!J28+פברואר!J28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ינואר!E29+פברואר!E29</f>
        <v>49906.61</v>
      </c>
      <c r="F29" s="9">
        <f>ינואר!F29+פברואר!F29</f>
        <v>49474.45</v>
      </c>
      <c r="G29" s="9">
        <f>ינואר!G29+פברואר!G29</f>
        <v>52124.75</v>
      </c>
      <c r="H29" s="49">
        <f t="shared" si="4"/>
        <v>5.3569064436289837E-2</v>
      </c>
      <c r="I29" s="11">
        <f t="shared" si="6"/>
        <v>2650.3000000000029</v>
      </c>
      <c r="J29" s="9">
        <f>ינואר!J29+פברואר!J29</f>
        <v>52349.240000000005</v>
      </c>
      <c r="K29" s="49">
        <f t="shared" si="5"/>
        <v>-4.2883144053286193E-3</v>
      </c>
      <c r="L29" s="13">
        <f t="shared" si="7"/>
        <v>-224.49000000000524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ינואר!E30+פברואר!E30</f>
        <v>0</v>
      </c>
      <c r="F30" s="9">
        <f>ינואר!F30+פברואר!F30</f>
        <v>0</v>
      </c>
      <c r="G30" s="9">
        <f>ינואר!G30+פברואר!G30</f>
        <v>0</v>
      </c>
      <c r="H30" s="49" t="e">
        <f t="shared" si="4"/>
        <v>#DIV/0!</v>
      </c>
      <c r="I30" s="11">
        <f t="shared" si="6"/>
        <v>0</v>
      </c>
      <c r="J30" s="9">
        <f>ינואר!J30+פברואר!J30</f>
        <v>0</v>
      </c>
      <c r="K30" s="49" t="e">
        <f t="shared" si="5"/>
        <v>#DIV/0!</v>
      </c>
      <c r="L30" s="13">
        <f t="shared" si="7"/>
        <v>0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ינואר!E31+פברואר!E31</f>
        <v>0</v>
      </c>
      <c r="F31" s="9">
        <f>ינואר!F31+פברואר!F31</f>
        <v>19897.57</v>
      </c>
      <c r="G31" s="9">
        <f>ינואר!G31+פברואר!G31</f>
        <v>0</v>
      </c>
      <c r="H31" s="49">
        <f t="shared" si="4"/>
        <v>-1</v>
      </c>
      <c r="I31" s="11">
        <f t="shared" si="6"/>
        <v>-19897.57</v>
      </c>
      <c r="J31" s="9">
        <f>ינואר!J31+פברואר!J31</f>
        <v>0</v>
      </c>
      <c r="K31" s="49" t="e">
        <f t="shared" si="5"/>
        <v>#DIV/0!</v>
      </c>
      <c r="L31" s="13">
        <f t="shared" si="7"/>
        <v>0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ינואר!E32+פברואר!E32</f>
        <v>0</v>
      </c>
      <c r="F32" s="9">
        <f>ינואר!F32+פברואר!F32</f>
        <v>0</v>
      </c>
      <c r="G32" s="9">
        <f>ינואר!G32+פברואר!G32</f>
        <v>0</v>
      </c>
      <c r="H32" s="49" t="e">
        <f t="shared" si="4"/>
        <v>#DIV/0!</v>
      </c>
      <c r="I32" s="11">
        <f t="shared" si="6"/>
        <v>0</v>
      </c>
      <c r="J32" s="9">
        <f>ינואר!J32+פברואר!J32</f>
        <v>0</v>
      </c>
      <c r="K32" s="49" t="e">
        <f t="shared" si="5"/>
        <v>#DIV/0!</v>
      </c>
      <c r="L32" s="13">
        <f t="shared" si="7"/>
        <v>0</v>
      </c>
    </row>
    <row r="33" spans="1:12" ht="13.5" customHeight="1" x14ac:dyDescent="0.2">
      <c r="B33" s="36"/>
      <c r="C33" s="5" t="s">
        <v>11</v>
      </c>
      <c r="D33" s="3" t="s">
        <v>12</v>
      </c>
      <c r="E33" s="9">
        <f>ינואר!E33+פברואר!E33</f>
        <v>0</v>
      </c>
      <c r="F33" s="9">
        <f>ינואר!F33+פברואר!F33</f>
        <v>0</v>
      </c>
      <c r="G33" s="9">
        <f>ינואר!G33+פברואר!G33</f>
        <v>0</v>
      </c>
      <c r="H33" s="49" t="e">
        <f t="shared" si="4"/>
        <v>#DIV/0!</v>
      </c>
      <c r="I33" s="11">
        <f t="shared" si="6"/>
        <v>0</v>
      </c>
      <c r="J33" s="9">
        <f>ינואר!J33+פברואר!J33</f>
        <v>0</v>
      </c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ינואר!E34+פברואר!E34</f>
        <v>40674.300000000003</v>
      </c>
      <c r="F34" s="9">
        <f>ינואר!F34+פברואר!F34</f>
        <v>20695.689999999999</v>
      </c>
      <c r="G34" s="9">
        <f>ינואר!G34+פברואר!G34</f>
        <v>18792.66</v>
      </c>
      <c r="H34" s="49">
        <f t="shared" si="4"/>
        <v>-9.1952962186812814E-2</v>
      </c>
      <c r="I34" s="11">
        <f t="shared" si="6"/>
        <v>-1903.0299999999988</v>
      </c>
      <c r="J34" s="9">
        <f>ינואר!J34+פברואר!J34</f>
        <v>18792.66</v>
      </c>
      <c r="K34" s="49">
        <f t="shared" si="5"/>
        <v>0</v>
      </c>
      <c r="L34" s="13">
        <f t="shared" si="7"/>
        <v>0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ינואר!E35+פברואר!E35</f>
        <v>34034.18</v>
      </c>
      <c r="F35" s="9">
        <f>ינואר!F35+פברואר!F35</f>
        <v>0</v>
      </c>
      <c r="G35" s="9">
        <f>ינואר!G35+פברואר!G35</f>
        <v>0</v>
      </c>
      <c r="H35" s="49" t="e">
        <f t="shared" si="4"/>
        <v>#DIV/0!</v>
      </c>
      <c r="I35" s="11">
        <f t="shared" si="6"/>
        <v>0</v>
      </c>
      <c r="J35" s="9">
        <f>ינואר!J35+פברואר!J35</f>
        <v>0</v>
      </c>
      <c r="K35" s="49" t="e">
        <f t="shared" si="5"/>
        <v>#DIV/0!</v>
      </c>
      <c r="L35" s="13">
        <f t="shared" si="7"/>
        <v>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ינואר!E36+פברואר!E36</f>
        <v>0</v>
      </c>
      <c r="F36" s="9">
        <f>ינואר!F36+פברואר!F36</f>
        <v>0</v>
      </c>
      <c r="G36" s="9">
        <f>ינואר!G36+פברואר!G36</f>
        <v>0</v>
      </c>
      <c r="H36" s="49" t="e">
        <f t="shared" si="4"/>
        <v>#DIV/0!</v>
      </c>
      <c r="I36" s="11">
        <f t="shared" si="6"/>
        <v>0</v>
      </c>
      <c r="J36" s="9">
        <f>ינואר!J36+פברואר!J36</f>
        <v>0</v>
      </c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ינואר!E37+פברואר!E37</f>
        <v>0</v>
      </c>
      <c r="F37" s="9">
        <f>ינואר!F37+פברואר!F37</f>
        <v>0</v>
      </c>
      <c r="G37" s="9">
        <f>ינואר!G37+פברואר!G37</f>
        <v>0</v>
      </c>
      <c r="H37" s="49" t="e">
        <f t="shared" si="4"/>
        <v>#DIV/0!</v>
      </c>
      <c r="I37" s="11">
        <f t="shared" si="6"/>
        <v>0</v>
      </c>
      <c r="J37" s="9">
        <f>ינואר!J37+פברואר!J37</f>
        <v>0</v>
      </c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ינואר!E38+פברואר!E38</f>
        <v>0</v>
      </c>
      <c r="F38" s="9">
        <f>ינואר!F38+פברואר!F38</f>
        <v>0</v>
      </c>
      <c r="G38" s="9">
        <f>ינואר!G38+פברואר!G38</f>
        <v>0</v>
      </c>
      <c r="H38" s="49" t="e">
        <f t="shared" si="4"/>
        <v>#DIV/0!</v>
      </c>
      <c r="I38" s="11">
        <f t="shared" si="6"/>
        <v>0</v>
      </c>
      <c r="J38" s="9">
        <f>ינואר!J38+פברואר!J38</f>
        <v>0</v>
      </c>
      <c r="K38" s="49" t="e">
        <f t="shared" si="5"/>
        <v>#DIV/0!</v>
      </c>
      <c r="L38" s="13">
        <f t="shared" si="7"/>
        <v>0</v>
      </c>
    </row>
    <row r="39" spans="1:12" ht="13.5" customHeight="1" x14ac:dyDescent="0.2">
      <c r="B39" s="37" t="s">
        <v>91</v>
      </c>
      <c r="C39" s="5" t="s">
        <v>91</v>
      </c>
      <c r="D39" s="3"/>
      <c r="E39" s="9">
        <f>ינואר!E39+פברואר!E39</f>
        <v>0</v>
      </c>
      <c r="F39" s="9">
        <f>ינואר!F39+פברואר!F39</f>
        <v>0</v>
      </c>
      <c r="G39" s="9">
        <f>ינואר!G39+פברואר!G39</f>
        <v>0</v>
      </c>
      <c r="H39" s="49" t="e">
        <f t="shared" si="4"/>
        <v>#DIV/0!</v>
      </c>
      <c r="I39" s="11">
        <f t="shared" si="6"/>
        <v>0</v>
      </c>
      <c r="J39" s="9">
        <f>ינואר!J39+פברואר!J39</f>
        <v>0</v>
      </c>
      <c r="K39" s="49" t="e">
        <f t="shared" si="5"/>
        <v>#DIV/0!</v>
      </c>
      <c r="L39" s="13">
        <f t="shared" si="7"/>
        <v>0</v>
      </c>
    </row>
    <row r="40" spans="1:12" ht="15" x14ac:dyDescent="0.25">
      <c r="B40" s="268" t="s">
        <v>42</v>
      </c>
      <c r="C40" s="269"/>
      <c r="D40" s="269"/>
      <c r="E40" s="10">
        <f>SUM(E20:E39)</f>
        <v>1681717.61</v>
      </c>
      <c r="F40" s="10">
        <f>SUM(F20:F39)</f>
        <v>834881.32999999984</v>
      </c>
      <c r="G40" s="10">
        <f>SUM(G20:G39)</f>
        <v>846879.43</v>
      </c>
      <c r="H40" s="43">
        <f t="shared" si="4"/>
        <v>1.4371024442479952E-2</v>
      </c>
      <c r="I40" s="10">
        <f>SUM(I20:I39)</f>
        <v>11998.100000000006</v>
      </c>
      <c r="J40" s="10">
        <f>SUM(J20:J39)</f>
        <v>1150471.0944125</v>
      </c>
      <c r="K40" s="43">
        <f t="shared" si="5"/>
        <v>-0.26388465202381484</v>
      </c>
      <c r="L40" s="10">
        <f>SUM(L20:L39)</f>
        <v>-303591.66441249999</v>
      </c>
    </row>
    <row r="41" spans="1:12" ht="16.5" thickBot="1" x14ac:dyDescent="0.3">
      <c r="B41" s="270" t="s">
        <v>69</v>
      </c>
      <c r="C41" s="271"/>
      <c r="D41" s="271"/>
      <c r="E41" s="25">
        <f>E40+E19</f>
        <v>4654318.875</v>
      </c>
      <c r="F41" s="25">
        <f>F40+F19</f>
        <v>3831462.8000000073</v>
      </c>
      <c r="G41" s="25">
        <f>G40+G19</f>
        <v>4065156.6719999984</v>
      </c>
      <c r="H41" s="44">
        <f t="shared" si="4"/>
        <v>6.0993381431235782E-2</v>
      </c>
      <c r="I41" s="25">
        <f>I40+I19</f>
        <v>233693.87199999011</v>
      </c>
      <c r="J41" s="25">
        <f>J40+J19</f>
        <v>5049931.4859190909</v>
      </c>
      <c r="K41" s="44">
        <f t="shared" si="5"/>
        <v>-0.19500755934312697</v>
      </c>
      <c r="L41" s="25">
        <f>L40+L19</f>
        <v>-984774.81391909346</v>
      </c>
    </row>
    <row r="42" spans="1:12" ht="15.75" thickBot="1" x14ac:dyDescent="0.3">
      <c r="B42" s="272" t="s">
        <v>43</v>
      </c>
      <c r="C42" s="273"/>
      <c r="D42" s="274"/>
      <c r="E42" s="16">
        <f>E40/E41</f>
        <v>0.36132410674161214</v>
      </c>
      <c r="F42" s="16">
        <f>F40/F41</f>
        <v>0.21790145789748977</v>
      </c>
      <c r="G42" s="16">
        <f>G40/G41</f>
        <v>0.20832639387139479</v>
      </c>
      <c r="H42" s="45"/>
      <c r="I42" s="6"/>
      <c r="J42" s="15">
        <f>J40-ינואר!J40-פברואר!J40</f>
        <v>0</v>
      </c>
    </row>
    <row r="43" spans="1:12" x14ac:dyDescent="0.2">
      <c r="E43" s="15">
        <f>E41-ינואר!E41-פברואר!E41</f>
        <v>0</v>
      </c>
      <c r="I43" s="6"/>
    </row>
  </sheetData>
  <dataConsolidate/>
  <mergeCells count="6">
    <mergeCell ref="B1:L1"/>
    <mergeCell ref="B19:D19"/>
    <mergeCell ref="B40:D40"/>
    <mergeCell ref="B41:D41"/>
    <mergeCell ref="B42:D42"/>
    <mergeCell ref="B16:D16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4EF8-5C94-4E1D-8CD6-9913401383F2}">
  <dimension ref="A1:L43"/>
  <sheetViews>
    <sheetView rightToLeft="1" zoomScale="85" zoomScaleNormal="85" workbookViewId="0">
      <pane xSplit="4" ySplit="2" topLeftCell="E8" activePane="bottomRight" state="frozen"/>
      <selection activeCell="J13" sqref="J13"/>
      <selection pane="topRight" activeCell="J13" sqref="J13"/>
      <selection pane="bottomLeft" activeCell="J13" sqref="J13"/>
      <selection pane="bottomRight" activeCell="L6" sqref="L6"/>
    </sheetView>
  </sheetViews>
  <sheetFormatPr defaultRowHeight="14.25" x14ac:dyDescent="0.2"/>
  <cols>
    <col min="1" max="1" width="18.125" hidden="1" customWidth="1"/>
    <col min="2" max="2" width="17.375" customWidth="1"/>
    <col min="3" max="3" width="21.375" customWidth="1"/>
    <col min="4" max="4" width="11.375" style="1" customWidth="1"/>
    <col min="5" max="7" width="11.625" customWidth="1"/>
    <col min="8" max="8" width="11.875" style="51" bestFit="1" customWidth="1"/>
    <col min="9" max="9" width="16.75" bestFit="1" customWidth="1"/>
    <col min="10" max="10" width="14.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188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>
        <v>3.2023999999999999</v>
      </c>
      <c r="F2" s="30">
        <v>3.2025000000000001</v>
      </c>
      <c r="G2" s="30">
        <v>3.2025999999999999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VLOOKUP(A3,'2024'!$A:$O,4,0)</f>
        <v>0</v>
      </c>
      <c r="F3" s="9">
        <f>VLOOKUP($A3,'2025'!$A:$O,4,0)</f>
        <v>66608.100000000006</v>
      </c>
      <c r="G3" s="9">
        <v>123280.14</v>
      </c>
      <c r="H3" s="49">
        <f t="shared" ref="H3:H16" si="0">G3/F3-1</f>
        <v>0.85082805244407189</v>
      </c>
      <c r="I3" s="11">
        <f t="shared" ref="I3:I15" si="1">G3-F3</f>
        <v>56672.039999999994</v>
      </c>
      <c r="J3" s="8">
        <f>VLOOKUP(B3,'תקציב  '!$B:$S,6,0)*1</f>
        <v>193492.06349206349</v>
      </c>
      <c r="K3" s="49">
        <f t="shared" ref="K3:K16" si="2">G3/J3-1</f>
        <v>-0.3628672009844135</v>
      </c>
      <c r="L3" s="13">
        <f t="shared" ref="L3:L15" si="3">G3-J3</f>
        <v>-70211.923492063492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VLOOKUP(B4,'2024'!$A:$O,4,0)</f>
        <v>442108.94</v>
      </c>
      <c r="F4" s="9">
        <f>VLOOKUP($A4,'2025'!$A:$O,4,0)</f>
        <v>437918.57200000179</v>
      </c>
      <c r="G4" s="9">
        <v>418342.47000000003</v>
      </c>
      <c r="H4" s="49">
        <f t="shared" si="0"/>
        <v>-4.4702607406204464E-2</v>
      </c>
      <c r="I4" s="11">
        <f t="shared" si="1"/>
        <v>-19576.10200000176</v>
      </c>
      <c r="J4" s="8">
        <f>VLOOKUP(B4,'תקציב  '!$B:$S,6,0)*1</f>
        <v>610730.1587301587</v>
      </c>
      <c r="K4" s="49">
        <f t="shared" si="2"/>
        <v>-0.3150125894063831</v>
      </c>
      <c r="L4" s="13">
        <f t="shared" si="3"/>
        <v>-192387.68873015867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VLOOKUP(B5,'2024'!$A:$O,4,0)</f>
        <v>98496.489000000001</v>
      </c>
      <c r="F5" s="9">
        <f>VLOOKUP($A5,'2025'!$A:$O,4,0)</f>
        <v>58257.29</v>
      </c>
      <c r="G5" s="9">
        <v>59847.150999999991</v>
      </c>
      <c r="H5" s="49">
        <f t="shared" si="0"/>
        <v>2.7290335681594335E-2</v>
      </c>
      <c r="I5" s="11">
        <f t="shared" si="1"/>
        <v>1589.8609999999899</v>
      </c>
      <c r="J5" s="8">
        <f>VLOOKUP(B5,'תקציב  '!$B:$S,6,0)*1</f>
        <v>82142.857142857145</v>
      </c>
      <c r="K5" s="49">
        <f t="shared" si="2"/>
        <v>-0.27142598782608707</v>
      </c>
      <c r="L5" s="13">
        <f t="shared" si="3"/>
        <v>-22295.706142857154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VLOOKUP(B6,'2024'!$A:$O,4,0)</f>
        <v>155174.617</v>
      </c>
      <c r="F6" s="9">
        <f>VLOOKUP($A6,'2025'!$A:$O,4,0)</f>
        <v>153012.03000000009</v>
      </c>
      <c r="G6" s="9">
        <v>122676.557</v>
      </c>
      <c r="H6" s="49">
        <f t="shared" si="0"/>
        <v>-0.19825547703667523</v>
      </c>
      <c r="I6" s="11">
        <f t="shared" si="1"/>
        <v>-30335.473000000085</v>
      </c>
      <c r="J6" s="8">
        <f>VLOOKUP(A6,'תקציב  '!$B:$S,6,0)*1</f>
        <v>173412.6984126984</v>
      </c>
      <c r="K6" s="49">
        <f t="shared" si="2"/>
        <v>-0.29257454544622419</v>
      </c>
      <c r="L6" s="13">
        <f t="shared" si="3"/>
        <v>-50736.141412698402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VLOOKUP(A7,'2024'!$A:$O,4,0)</f>
        <v>389673.5</v>
      </c>
      <c r="F7" s="9">
        <f>VLOOKUP($A7,'2025'!$A:$O,4,0)</f>
        <v>376182</v>
      </c>
      <c r="G7" s="9">
        <v>244180.55000000002</v>
      </c>
      <c r="H7" s="49">
        <f t="shared" si="0"/>
        <v>-0.35089783668543417</v>
      </c>
      <c r="I7" s="11">
        <f t="shared" si="1"/>
        <v>-132001.44999999998</v>
      </c>
      <c r="J7" s="8">
        <f>VLOOKUP(B7,'תקציב  '!$B:$S,6,0)*1</f>
        <v>365000</v>
      </c>
      <c r="K7" s="49">
        <f t="shared" si="2"/>
        <v>-0.33101219178082186</v>
      </c>
      <c r="L7" s="13">
        <f t="shared" si="3"/>
        <v>-120819.44999999998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VLOOKUP(A8,'2024'!$A:$O,4,0)</f>
        <v>77394.37</v>
      </c>
      <c r="F8" s="9">
        <f>VLOOKUP($A8,'2025'!$A:$O,4,0)</f>
        <v>74502.3</v>
      </c>
      <c r="G8" s="9">
        <v>55389.04</v>
      </c>
      <c r="H8" s="49">
        <f t="shared" si="0"/>
        <v>-0.25654590529419896</v>
      </c>
      <c r="I8" s="11">
        <f t="shared" si="1"/>
        <v>-19113.260000000002</v>
      </c>
      <c r="J8" s="8">
        <f>VLOOKUP(B8,'תקציב  '!$B:$S,6,0)*1</f>
        <v>111269.84126984127</v>
      </c>
      <c r="K8" s="49">
        <f t="shared" si="2"/>
        <v>-0.50220976890156921</v>
      </c>
      <c r="L8" s="13">
        <f t="shared" si="3"/>
        <v>-55880.801269841271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VLOOKUP(A9,'2024'!$A:$O,4,0)</f>
        <v>87247.959999999992</v>
      </c>
      <c r="F9" s="9">
        <f>VLOOKUP($A9,'2025'!$A:$O,4,0)</f>
        <v>65531.819999999992</v>
      </c>
      <c r="G9" s="9">
        <v>48951.140000000007</v>
      </c>
      <c r="H9" s="49">
        <f t="shared" si="0"/>
        <v>-0.25301723651197217</v>
      </c>
      <c r="I9" s="11">
        <f t="shared" si="1"/>
        <v>-16580.679999999986</v>
      </c>
      <c r="J9" s="8">
        <f>VLOOKUP(B9,'תקציב  '!$B:$S,6,0)*1</f>
        <v>160591.26984126982</v>
      </c>
      <c r="K9" s="49">
        <f t="shared" si="2"/>
        <v>-0.69518181126294198</v>
      </c>
      <c r="L9" s="13">
        <f t="shared" si="3"/>
        <v>-111640.12984126981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VLOOKUP(A10,'2024'!$A:$O,4,0)</f>
        <v>21528.06</v>
      </c>
      <c r="F10" s="9">
        <f>VLOOKUP($A10,'2025'!$A:$O,4,0)</f>
        <v>21300.790000000005</v>
      </c>
      <c r="G10" s="9">
        <v>6765.2399999999989</v>
      </c>
      <c r="H10" s="49">
        <f t="shared" si="0"/>
        <v>-0.68239487831202517</v>
      </c>
      <c r="I10" s="11">
        <f t="shared" si="1"/>
        <v>-14535.550000000007</v>
      </c>
      <c r="J10" s="8">
        <f>VLOOKUP(B10,'תקציב  '!$B:$S,6,0)*1</f>
        <v>17341.269841269841</v>
      </c>
      <c r="K10" s="49">
        <f t="shared" si="2"/>
        <v>-0.60987632036613282</v>
      </c>
      <c r="L10" s="13">
        <f t="shared" si="3"/>
        <v>-10576.029841269843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VLOOKUP(A11,'2024'!$A:$O,4,0)</f>
        <v>3573.08</v>
      </c>
      <c r="F11" s="9">
        <f>VLOOKUP($A11,'2025'!$A:$O,4,0)</f>
        <v>11352.51</v>
      </c>
      <c r="G11" s="9">
        <v>3196.2</v>
      </c>
      <c r="H11" s="49">
        <f t="shared" si="0"/>
        <v>-0.71845873731888377</v>
      </c>
      <c r="I11" s="11">
        <f t="shared" si="1"/>
        <v>-8156.31</v>
      </c>
      <c r="J11" s="8">
        <f>VLOOKUP(B11,'תקציב  '!$B:$S,6,0)*1</f>
        <v>9126.9841269841272</v>
      </c>
      <c r="K11" s="49">
        <f t="shared" si="2"/>
        <v>-0.64980765217391312</v>
      </c>
      <c r="L11" s="13">
        <f t="shared" si="3"/>
        <v>-5930.7841269841274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VLOOKUP(A12,'2024'!$A:$O,4,0)</f>
        <v>0</v>
      </c>
      <c r="F12" s="9">
        <f>VLOOKUP($A12,'2025'!$A:$O,4,0)</f>
        <v>0</v>
      </c>
      <c r="G12" s="9">
        <v>1106.56</v>
      </c>
      <c r="H12" s="49" t="e">
        <f t="shared" si="0"/>
        <v>#DIV/0!</v>
      </c>
      <c r="I12" s="11">
        <f t="shared" si="1"/>
        <v>1106.56</v>
      </c>
      <c r="J12" s="8">
        <f>VLOOKUP(B12,'תקציב  '!$B:$S,6,0)*1</f>
        <v>0</v>
      </c>
      <c r="K12" s="49"/>
      <c r="L12" s="13">
        <f t="shared" si="3"/>
        <v>1106.56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VLOOKUP(A13,'2024'!$A:$O,4,0)</f>
        <v>0</v>
      </c>
      <c r="F13" s="9">
        <f>VLOOKUP($A13,'2025'!$A:$O,4,0)</f>
        <v>0</v>
      </c>
      <c r="G13" s="9"/>
      <c r="H13" s="49" t="e">
        <f t="shared" si="0"/>
        <v>#DIV/0!</v>
      </c>
      <c r="I13" s="11">
        <f t="shared" si="1"/>
        <v>0</v>
      </c>
      <c r="J13" s="8">
        <f>VLOOKUP(B13,'תקציב  '!$B:$S,6,0)*1</f>
        <v>0</v>
      </c>
      <c r="K13" s="49" t="e">
        <f t="shared" si="2"/>
        <v>#DIV/0!</v>
      </c>
      <c r="L13" s="13">
        <f t="shared" si="3"/>
        <v>0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VLOOKUP(A14,'2024'!$A:$O,4,0)</f>
        <v>1275.21</v>
      </c>
      <c r="F14" s="9">
        <f>VLOOKUP($A14,'2025'!$A:$O,4,0)</f>
        <v>0</v>
      </c>
      <c r="G14" s="9"/>
      <c r="H14" s="49" t="e">
        <f t="shared" si="0"/>
        <v>#DIV/0!</v>
      </c>
      <c r="I14" s="11">
        <f t="shared" si="1"/>
        <v>0</v>
      </c>
      <c r="J14" s="8">
        <f>VLOOKUP(B14,'תקציב  '!$B:$S,6,0)*1</f>
        <v>0</v>
      </c>
      <c r="K14" s="49"/>
      <c r="L14" s="13">
        <f t="shared" si="3"/>
        <v>0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VLOOKUP(A15,'2024'!$A:$O,4,0)</f>
        <v>7451.5</v>
      </c>
      <c r="F15" s="9">
        <f>VLOOKUP($A15,'2025'!$A:$O,4,0)</f>
        <v>2138.4299999999998</v>
      </c>
      <c r="G15" s="9">
        <v>6672.87</v>
      </c>
      <c r="H15" s="49">
        <f t="shared" si="0"/>
        <v>2.1204528555996691</v>
      </c>
      <c r="I15" s="11">
        <f t="shared" si="1"/>
        <v>4534.4400000000005</v>
      </c>
      <c r="J15" s="8">
        <f>VLOOKUP(B15,'תקציב  '!$B:$S,6,0)*1</f>
        <v>18253.968253968254</v>
      </c>
      <c r="K15" s="49">
        <f t="shared" si="2"/>
        <v>-0.63444277391304349</v>
      </c>
      <c r="L15" s="13">
        <f t="shared" si="3"/>
        <v>-11581.098253968255</v>
      </c>
    </row>
    <row r="16" spans="1:12" ht="15" x14ac:dyDescent="0.25">
      <c r="B16" s="277" t="s">
        <v>221</v>
      </c>
      <c r="C16" s="278"/>
      <c r="D16" s="278"/>
      <c r="E16" s="67">
        <f>SUM(E3:E15)</f>
        <v>1283923.7260000003</v>
      </c>
      <c r="F16" s="67">
        <f>SUM(F3:F15)</f>
        <v>1266803.842000002</v>
      </c>
      <c r="G16" s="67">
        <f>SUM(G3:G15)</f>
        <v>1090407.9180000001</v>
      </c>
      <c r="H16" s="68">
        <f t="shared" si="0"/>
        <v>-0.13924486029463878</v>
      </c>
      <c r="I16" s="67">
        <f>SUM(I3:I15)</f>
        <v>-176395.92400000186</v>
      </c>
      <c r="J16" s="67">
        <f>SUM(J3:J15)</f>
        <v>1741361.111111111</v>
      </c>
      <c r="K16" s="68">
        <f t="shared" si="2"/>
        <v>-0.3738186117500677</v>
      </c>
      <c r="L16" s="67">
        <f>SUM(L3:L15)</f>
        <v>-650953.19311111083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VLOOKUP(A17,'2024'!$A:$O,4,0)</f>
        <v>45122.889999999956</v>
      </c>
      <c r="F17" s="9">
        <f>VLOOKUP($A17,'2025'!$A:$O,4,0)</f>
        <v>98819.240000000034</v>
      </c>
      <c r="G17" s="9">
        <v>409497.07000001281</v>
      </c>
      <c r="H17" s="49">
        <f>G17/F17-1</f>
        <v>3.1439002161928453</v>
      </c>
      <c r="I17" s="11">
        <f>G17-F17</f>
        <v>310677.83000001276</v>
      </c>
      <c r="J17" s="8">
        <f>VLOOKUP(B17,'תקציב  '!$B:$S,6,0)*1</f>
        <v>489406.77966101695</v>
      </c>
      <c r="K17" s="49">
        <f>G17/J17-1</f>
        <v>-0.16327871411252792</v>
      </c>
      <c r="L17" s="13">
        <f>G17-J17</f>
        <v>-79909.709661004134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VLOOKUP(A18,'2024'!$A:$O,4,0)</f>
        <v>2233.5200000000009</v>
      </c>
      <c r="F18" s="9">
        <f>VLOOKUP($A18,'2025'!$A:$O,4,0)</f>
        <v>3577.559999999999</v>
      </c>
      <c r="G18" s="9">
        <v>2065.63</v>
      </c>
      <c r="H18" s="49">
        <f>G18/F18-1</f>
        <v>-0.42261485481724959</v>
      </c>
      <c r="I18" s="11">
        <f>G18-F18</f>
        <v>-1511.9299999999989</v>
      </c>
      <c r="J18" s="8">
        <f>VLOOKUP(B18,'תקציב  '!$B:$S,6,0)*1</f>
        <v>2536.9283333333324</v>
      </c>
      <c r="K18" s="49">
        <f>G18/J18-1</f>
        <v>-0.18577518613388733</v>
      </c>
      <c r="L18" s="13">
        <f>G18-J18</f>
        <v>-471.29833333333227</v>
      </c>
    </row>
    <row r="19" spans="1:12" ht="15" x14ac:dyDescent="0.25">
      <c r="B19" s="266" t="s">
        <v>41</v>
      </c>
      <c r="C19" s="267"/>
      <c r="D19" s="267"/>
      <c r="E19" s="12">
        <f>E16+E17+E18</f>
        <v>1331280.1360000002</v>
      </c>
      <c r="F19" s="12">
        <f>F16+F17+F18</f>
        <v>1369200.6420000021</v>
      </c>
      <c r="G19" s="12">
        <f>G16+G17+G18</f>
        <v>1501970.6180000128</v>
      </c>
      <c r="H19" s="50">
        <f t="shared" ref="H19:H41" si="4">G19/F19-1</f>
        <v>9.6968970016017897E-2</v>
      </c>
      <c r="I19" s="12">
        <f>I16+I17+I18</f>
        <v>132769.97600001091</v>
      </c>
      <c r="J19" s="12">
        <f>J16+J17+J18</f>
        <v>2233304.8191054612</v>
      </c>
      <c r="K19" s="50">
        <f t="shared" ref="K19:K41" si="5">G19/J19-1</f>
        <v>-0.32746725608122784</v>
      </c>
      <c r="L19" s="12">
        <f>L16+L17+L18</f>
        <v>-731334.2011054483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VLOOKUP(A20,'2024'!$A:$O,4,0)</f>
        <v>334336.03999999998</v>
      </c>
      <c r="F20" s="9">
        <f>VLOOKUP($A20,'2025'!$A:$O,4,0)</f>
        <v>239973.2</v>
      </c>
      <c r="G20" s="9">
        <v>213959.66</v>
      </c>
      <c r="H20" s="49">
        <f t="shared" si="4"/>
        <v>-0.10840185487379428</v>
      </c>
      <c r="I20" s="11">
        <f t="shared" ref="I20:I39" si="6">G20-F20</f>
        <v>-26013.540000000008</v>
      </c>
      <c r="J20" s="8">
        <f>VLOOKUP(B20,'תקציב  '!$B:$S,6,0)*1</f>
        <v>332824.44442499999</v>
      </c>
      <c r="K20" s="49">
        <f t="shared" si="5"/>
        <v>-0.35713958639773369</v>
      </c>
      <c r="L20" s="13">
        <f t="shared" ref="L20:L39" si="7">G20-J20</f>
        <v>-118864.78442499999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VLOOKUP(A21,'2024'!$A:$O,4,0)</f>
        <v>0</v>
      </c>
      <c r="F21" s="9">
        <f>VLOOKUP($A21,'2025'!$A:$O,4,0)</f>
        <v>0</v>
      </c>
      <c r="G21" s="9"/>
      <c r="H21" s="49" t="e">
        <f t="shared" si="4"/>
        <v>#DIV/0!</v>
      </c>
      <c r="I21" s="11">
        <f t="shared" si="6"/>
        <v>0</v>
      </c>
      <c r="J21" s="8">
        <f>VLOOKUP(B21,'תקציב  '!$B:$S,6,0)*1</f>
        <v>0</v>
      </c>
      <c r="K21" s="49" t="e">
        <f t="shared" si="5"/>
        <v>#DIV/0!</v>
      </c>
      <c r="L21" s="13">
        <f t="shared" si="7"/>
        <v>0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VLOOKUP(A22,'2024'!$A:$O,4,0)</f>
        <v>11470.17</v>
      </c>
      <c r="F22" s="9">
        <f>VLOOKUP($A22,'2025'!$A:$O,4,0)</f>
        <v>26449.51</v>
      </c>
      <c r="G22" s="9">
        <v>6418.64</v>
      </c>
      <c r="H22" s="49">
        <f t="shared" si="4"/>
        <v>-0.75732480488296372</v>
      </c>
      <c r="I22" s="11">
        <f t="shared" si="6"/>
        <v>-20030.87</v>
      </c>
      <c r="J22" s="8">
        <f>VLOOKUP(B22,'תקציב  '!$B:$S,6,0)*1</f>
        <v>15000</v>
      </c>
      <c r="K22" s="49">
        <f t="shared" si="5"/>
        <v>-0.57209066666666664</v>
      </c>
      <c r="L22" s="13">
        <f t="shared" si="7"/>
        <v>-8581.36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VLOOKUP(A23,'2024'!$A:$O,4,0)</f>
        <v>84607.510000000009</v>
      </c>
      <c r="F23" s="9">
        <f>VLOOKUP($A23,'2025'!$A:$O,4,0)</f>
        <v>0</v>
      </c>
      <c r="G23" s="86"/>
      <c r="H23" s="49" t="e">
        <f t="shared" si="4"/>
        <v>#DIV/0!</v>
      </c>
      <c r="I23" s="11">
        <f t="shared" si="6"/>
        <v>0</v>
      </c>
      <c r="J23" s="8">
        <f>VLOOKUP(B23,'תקציב  '!$B:$S,6,0)*1</f>
        <v>95000</v>
      </c>
      <c r="K23" s="49">
        <f t="shared" si="5"/>
        <v>-1</v>
      </c>
      <c r="L23" s="13">
        <f t="shared" si="7"/>
        <v>-95000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VLOOKUP(A24,'2024'!$A:$O,4,0)</f>
        <v>16377.13</v>
      </c>
      <c r="F24" s="9">
        <f>VLOOKUP($A24,'2025'!$A:$O,4,0)</f>
        <v>13664.6</v>
      </c>
      <c r="G24" s="86">
        <v>29021.19</v>
      </c>
      <c r="H24" s="49">
        <f t="shared" si="4"/>
        <v>1.1238228707755806</v>
      </c>
      <c r="I24" s="11">
        <f t="shared" si="6"/>
        <v>15356.589999999998</v>
      </c>
      <c r="J24" s="8">
        <f>VLOOKUP(B24,'תקציב  '!$B:$S,6,0)*1</f>
        <v>17000</v>
      </c>
      <c r="K24" s="49">
        <f t="shared" si="5"/>
        <v>0.70712882352941175</v>
      </c>
      <c r="L24" s="13">
        <f t="shared" si="7"/>
        <v>12021.189999999999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VLOOKUP(A25,'2024'!$A:$O,4,0)</f>
        <v>0</v>
      </c>
      <c r="F25" s="9">
        <f>VLOOKUP($A25,'2025'!$A:$O,4,0)</f>
        <v>42132.93</v>
      </c>
      <c r="G25" s="9"/>
      <c r="H25" s="49">
        <f t="shared" si="4"/>
        <v>-1</v>
      </c>
      <c r="I25" s="11">
        <f t="shared" si="6"/>
        <v>-42132.93</v>
      </c>
      <c r="J25" s="8">
        <f>VLOOKUP(B25,'תקציב  '!$B:$S,6,0)*1</f>
        <v>5000</v>
      </c>
      <c r="K25" s="49">
        <f t="shared" si="5"/>
        <v>-1</v>
      </c>
      <c r="L25" s="13">
        <f t="shared" si="7"/>
        <v>-5000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VLOOKUP(A26,'2024'!$A:$O,4,0)</f>
        <v>0</v>
      </c>
      <c r="F26" s="9">
        <f>VLOOKUP($A26,'2025'!$A:$O,4,0)</f>
        <v>0</v>
      </c>
      <c r="G26" s="9"/>
      <c r="H26" s="49" t="e">
        <f t="shared" si="4"/>
        <v>#DIV/0!</v>
      </c>
      <c r="I26" s="11">
        <f t="shared" si="6"/>
        <v>0</v>
      </c>
      <c r="J26" s="8">
        <f>VLOOKUP(B26,'תקציב  '!$B:$S,6,0)*1</f>
        <v>0</v>
      </c>
      <c r="K26" s="49" t="e">
        <f t="shared" si="5"/>
        <v>#DIV/0!</v>
      </c>
      <c r="L26" s="13">
        <f t="shared" si="7"/>
        <v>0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VLOOKUP(A27,'2024'!$A:$O,4,0)</f>
        <v>38588.129999999997</v>
      </c>
      <c r="F27" s="9">
        <f>VLOOKUP($A27,'2025'!$A:$O,4,0)</f>
        <v>0</v>
      </c>
      <c r="G27" s="9"/>
      <c r="H27" s="49" t="e">
        <f t="shared" si="4"/>
        <v>#DIV/0!</v>
      </c>
      <c r="I27" s="11">
        <f t="shared" si="6"/>
        <v>0</v>
      </c>
      <c r="J27" s="8">
        <f>VLOOKUP(B27,'תקציב  '!$B:$S,6,0)*1</f>
        <v>0</v>
      </c>
      <c r="K27" s="49" t="e">
        <f t="shared" si="5"/>
        <v>#DIV/0!</v>
      </c>
      <c r="L27" s="13">
        <f t="shared" si="7"/>
        <v>0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VLOOKUP(A28,'2024'!$A:$O,4,0)</f>
        <v>171813.81000000003</v>
      </c>
      <c r="F28" s="9">
        <f>VLOOKUP($A28,'2025'!$A:$O,4,0)</f>
        <v>0.22</v>
      </c>
      <c r="G28" s="9"/>
      <c r="H28" s="49">
        <f t="shared" si="4"/>
        <v>-1</v>
      </c>
      <c r="I28" s="11">
        <f t="shared" si="6"/>
        <v>-0.22</v>
      </c>
      <c r="J28" s="8">
        <f>VLOOKUP(B28,'תקציב  '!$B:$S,6,0)*1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VLOOKUP(A29,'2024'!$A:$O,4,0)</f>
        <v>25514.68</v>
      </c>
      <c r="F29" s="9">
        <f>VLOOKUP($A29,'2025'!$A:$O,4,0)</f>
        <v>43871.72</v>
      </c>
      <c r="G29" s="86"/>
      <c r="H29" s="49">
        <f t="shared" si="4"/>
        <v>-1</v>
      </c>
      <c r="I29" s="11">
        <f t="shared" si="6"/>
        <v>-43871.72</v>
      </c>
      <c r="J29" s="8">
        <f>VLOOKUP(B29,'תקציב  '!$B:$S,6,0)*1</f>
        <v>39765.076000000001</v>
      </c>
      <c r="K29" s="49">
        <f t="shared" si="5"/>
        <v>-1</v>
      </c>
      <c r="L29" s="13">
        <f t="shared" si="7"/>
        <v>-39765.076000000001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VLOOKUP(A30,'2024'!$A:$O,4,0)</f>
        <v>0</v>
      </c>
      <c r="F30" s="9">
        <f>VLOOKUP($A30,'2025'!$A:$O,4,0)</f>
        <v>32010.18</v>
      </c>
      <c r="G30" s="9"/>
      <c r="H30" s="49">
        <f t="shared" si="4"/>
        <v>-1</v>
      </c>
      <c r="I30" s="11">
        <f t="shared" si="6"/>
        <v>-32010.18</v>
      </c>
      <c r="J30" s="8">
        <f>VLOOKUP(B30,'תקציב  '!$B:$S,6,0)*1</f>
        <v>0</v>
      </c>
      <c r="K30" s="49" t="e">
        <f t="shared" si="5"/>
        <v>#DIV/0!</v>
      </c>
      <c r="L30" s="13">
        <f t="shared" si="7"/>
        <v>0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VLOOKUP(A31,'2024'!$A:$O,4,0)</f>
        <v>0</v>
      </c>
      <c r="F31" s="9">
        <f>VLOOKUP($A31,'2025'!$A:$O,4,0)</f>
        <v>0</v>
      </c>
      <c r="G31" s="86"/>
      <c r="H31" s="49" t="e">
        <f t="shared" si="4"/>
        <v>#DIV/0!</v>
      </c>
      <c r="I31" s="11">
        <f t="shared" si="6"/>
        <v>0</v>
      </c>
      <c r="J31" s="8">
        <f>VLOOKUP(B31,'תקציב  '!$B:$S,6,0)*1</f>
        <v>20000</v>
      </c>
      <c r="K31" s="49">
        <f t="shared" si="5"/>
        <v>-1</v>
      </c>
      <c r="L31" s="13">
        <f t="shared" si="7"/>
        <v>-20000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VLOOKUP(A32,'2024'!$A:$O,4,0)</f>
        <v>0</v>
      </c>
      <c r="F32" s="9">
        <f>VLOOKUP($A32,'2025'!$A:$O,4,0)</f>
        <v>16024.5</v>
      </c>
      <c r="G32" s="9"/>
      <c r="H32" s="49">
        <f t="shared" si="4"/>
        <v>-1</v>
      </c>
      <c r="I32" s="11">
        <f t="shared" si="6"/>
        <v>-16024.5</v>
      </c>
      <c r="J32" s="8">
        <f>VLOOKUP(B32,'תקציב  '!$B:$S,6,0)*1</f>
        <v>18000</v>
      </c>
      <c r="K32" s="49">
        <f t="shared" si="5"/>
        <v>-1</v>
      </c>
      <c r="L32" s="13">
        <f t="shared" si="7"/>
        <v>-18000</v>
      </c>
    </row>
    <row r="33" spans="1:12" ht="13.5" customHeight="1" x14ac:dyDescent="0.2">
      <c r="B33" s="36"/>
      <c r="C33" s="5" t="s">
        <v>11</v>
      </c>
      <c r="D33" s="3" t="s">
        <v>12</v>
      </c>
      <c r="E33" s="9"/>
      <c r="F33" s="9"/>
      <c r="G33" s="9"/>
      <c r="H33" s="49" t="e">
        <f t="shared" si="4"/>
        <v>#DIV/0!</v>
      </c>
      <c r="I33" s="11">
        <f t="shared" si="6"/>
        <v>0</v>
      </c>
      <c r="J33" s="8"/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VLOOKUP(A34,'2024'!$A:$O,4,0)</f>
        <v>-20732.48</v>
      </c>
      <c r="F34" s="9">
        <f>VLOOKUP($A34,'2025'!$A:$O,4,0)</f>
        <v>0</v>
      </c>
      <c r="G34" s="9"/>
      <c r="H34" s="49" t="e">
        <f t="shared" si="4"/>
        <v>#DIV/0!</v>
      </c>
      <c r="I34" s="11">
        <f t="shared" si="6"/>
        <v>0</v>
      </c>
      <c r="J34" s="8">
        <f>VLOOKUP(B34,'תקציב  '!$B:$S,6,0)*1</f>
        <v>0</v>
      </c>
      <c r="K34" s="49" t="e">
        <f t="shared" si="5"/>
        <v>#DIV/0!</v>
      </c>
      <c r="L34" s="13">
        <f t="shared" si="7"/>
        <v>0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VLOOKUP(A35,'2024'!$A:$O,4,0)</f>
        <v>0</v>
      </c>
      <c r="F35" s="9">
        <f>VLOOKUP($A35,'2025'!$A:$O,4,0)</f>
        <v>0</v>
      </c>
      <c r="G35" s="9"/>
      <c r="H35" s="49" t="e">
        <f t="shared" si="4"/>
        <v>#DIV/0!</v>
      </c>
      <c r="I35" s="11">
        <f t="shared" si="6"/>
        <v>0</v>
      </c>
      <c r="J35" s="8">
        <f>VLOOKUP(B35,'תקציב  '!$B:$S,6,0)*1</f>
        <v>0</v>
      </c>
      <c r="K35" s="49" t="e">
        <f t="shared" si="5"/>
        <v>#DIV/0!</v>
      </c>
      <c r="L35" s="13">
        <f t="shared" si="7"/>
        <v>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VLOOKUP(A36,'2024'!$A:$O,4,0)</f>
        <v>0</v>
      </c>
      <c r="F36" s="9">
        <f>VLOOKUP($A36,'2025'!$A:$O,4,0)</f>
        <v>0</v>
      </c>
      <c r="G36" s="9"/>
      <c r="H36" s="49" t="e">
        <f t="shared" si="4"/>
        <v>#DIV/0!</v>
      </c>
      <c r="I36" s="11">
        <f t="shared" si="6"/>
        <v>0</v>
      </c>
      <c r="J36" s="8"/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VLOOKUP(A37,'2024'!$A:$O,4,0)</f>
        <v>0</v>
      </c>
      <c r="F37" s="9">
        <f>VLOOKUP($A37,'2025'!$A:$O,4,0)</f>
        <v>0</v>
      </c>
      <c r="G37" s="9"/>
      <c r="H37" s="49" t="e">
        <f t="shared" si="4"/>
        <v>#DIV/0!</v>
      </c>
      <c r="I37" s="11">
        <f t="shared" si="6"/>
        <v>0</v>
      </c>
      <c r="J37" s="8"/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VLOOKUP(A38,'2024'!$A:$O,4,0)</f>
        <v>0</v>
      </c>
      <c r="F38" s="9">
        <f>VLOOKUP($A38,'2025'!$A:$O,4,0)</f>
        <v>0</v>
      </c>
      <c r="G38" s="9"/>
      <c r="H38" s="49" t="e">
        <f t="shared" si="4"/>
        <v>#DIV/0!</v>
      </c>
      <c r="I38" s="11">
        <f t="shared" si="6"/>
        <v>0</v>
      </c>
      <c r="J38" s="8"/>
      <c r="K38" s="49" t="e">
        <f t="shared" si="5"/>
        <v>#DIV/0!</v>
      </c>
      <c r="L38" s="13">
        <f t="shared" si="7"/>
        <v>0</v>
      </c>
    </row>
    <row r="39" spans="1:12" ht="13.5" customHeight="1" x14ac:dyDescent="0.2">
      <c r="B39" s="37" t="s">
        <v>91</v>
      </c>
      <c r="C39" s="5" t="s">
        <v>91</v>
      </c>
      <c r="D39" s="3"/>
      <c r="E39" s="9"/>
      <c r="F39" s="9"/>
      <c r="G39" s="9"/>
      <c r="H39" s="49" t="e">
        <f t="shared" si="4"/>
        <v>#DIV/0!</v>
      </c>
      <c r="I39" s="11">
        <f t="shared" si="6"/>
        <v>0</v>
      </c>
      <c r="J39" s="8">
        <f>VLOOKUP(B39,'תקציב  '!$B:$S,6,0)*1</f>
        <v>0</v>
      </c>
      <c r="K39" s="49" t="e">
        <f t="shared" si="5"/>
        <v>#DIV/0!</v>
      </c>
      <c r="L39" s="13">
        <f t="shared" si="7"/>
        <v>0</v>
      </c>
    </row>
    <row r="40" spans="1:12" ht="15" x14ac:dyDescent="0.25">
      <c r="B40" s="268" t="s">
        <v>42</v>
      </c>
      <c r="C40" s="269"/>
      <c r="D40" s="269"/>
      <c r="E40" s="10">
        <f>SUM(E20:E39)</f>
        <v>661974.99000000011</v>
      </c>
      <c r="F40" s="10">
        <f>SUM(F20:F39)</f>
        <v>414126.85999999993</v>
      </c>
      <c r="G40" s="10">
        <f>SUM(G20:G39)</f>
        <v>249399.49000000002</v>
      </c>
      <c r="H40" s="43">
        <f t="shared" si="4"/>
        <v>-0.39777031125196738</v>
      </c>
      <c r="I40" s="10">
        <f>SUM(I20:I39)</f>
        <v>-164727.37</v>
      </c>
      <c r="J40" s="10">
        <f>SUM(J20:J39)</f>
        <v>542589.520425</v>
      </c>
      <c r="K40" s="43">
        <f t="shared" si="5"/>
        <v>-0.54035328621044842</v>
      </c>
      <c r="L40" s="10">
        <f>SUM(L20:L39)</f>
        <v>-293190.030425</v>
      </c>
    </row>
    <row r="41" spans="1:12" ht="16.5" thickBot="1" x14ac:dyDescent="0.3">
      <c r="B41" s="270" t="s">
        <v>69</v>
      </c>
      <c r="C41" s="271"/>
      <c r="D41" s="271"/>
      <c r="E41" s="25">
        <f>E40+E19</f>
        <v>1993255.1260000002</v>
      </c>
      <c r="F41" s="25">
        <f>F40+F19</f>
        <v>1783327.502000002</v>
      </c>
      <c r="G41" s="25">
        <f>G40+G19</f>
        <v>1751370.1080000128</v>
      </c>
      <c r="H41" s="44">
        <f t="shared" si="4"/>
        <v>-1.792009261571359E-2</v>
      </c>
      <c r="I41" s="25">
        <f>I40+I19</f>
        <v>-31957.393999989086</v>
      </c>
      <c r="J41" s="25">
        <f>J40+J19</f>
        <v>2775894.3395304615</v>
      </c>
      <c r="K41" s="44">
        <f t="shared" si="5"/>
        <v>-0.36907897283429936</v>
      </c>
      <c r="L41" s="25">
        <f>L40+L19</f>
        <v>-1024524.2315304483</v>
      </c>
    </row>
    <row r="42" spans="1:12" ht="15.75" thickBot="1" x14ac:dyDescent="0.3">
      <c r="B42" s="272" t="s">
        <v>43</v>
      </c>
      <c r="C42" s="273"/>
      <c r="D42" s="274"/>
      <c r="E42" s="16">
        <f>E40/E41</f>
        <v>0.3321075066433819</v>
      </c>
      <c r="F42" s="16">
        <f>F40/F41</f>
        <v>0.23222142850124647</v>
      </c>
      <c r="G42" s="16">
        <f>G40/G41</f>
        <v>0.14240250467949531</v>
      </c>
      <c r="H42" s="45"/>
      <c r="I42" s="6"/>
      <c r="J42" s="15">
        <f>J41-'תקציב  '!G41*1</f>
        <v>0</v>
      </c>
    </row>
    <row r="43" spans="1:12" x14ac:dyDescent="0.2">
      <c r="E43" s="47">
        <f>E41-'2024'!D38</f>
        <v>0</v>
      </c>
      <c r="I43" s="6"/>
    </row>
  </sheetData>
  <dataConsolidate/>
  <mergeCells count="6">
    <mergeCell ref="B1:L1"/>
    <mergeCell ref="B19:D19"/>
    <mergeCell ref="B40:D40"/>
    <mergeCell ref="B41:D41"/>
    <mergeCell ref="B42:D42"/>
    <mergeCell ref="B16:D16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8885-EA91-42FA-A5F5-26CA39BEC37D}">
  <sheetPr>
    <tabColor rgb="FFFFC000"/>
  </sheetPr>
  <dimension ref="A1:L43"/>
  <sheetViews>
    <sheetView rightToLeft="1" workbookViewId="0">
      <pane xSplit="4" ySplit="2" topLeftCell="E3" activePane="bottomRight" state="frozen"/>
      <selection activeCell="J13" sqref="J13"/>
      <selection pane="topRight" activeCell="J13" sqref="J13"/>
      <selection pane="bottomLeft" activeCell="J13" sqref="J13"/>
      <selection pane="bottomRight" activeCell="F36" sqref="F36"/>
    </sheetView>
  </sheetViews>
  <sheetFormatPr defaultRowHeight="14.25" x14ac:dyDescent="0.2"/>
  <cols>
    <col min="1" max="1" width="18.125" hidden="1" customWidth="1"/>
    <col min="2" max="2" width="17.375" customWidth="1"/>
    <col min="3" max="3" width="21.375" customWidth="1"/>
    <col min="4" max="4" width="11.375" style="1" customWidth="1"/>
    <col min="5" max="7" width="11.625" customWidth="1"/>
    <col min="8" max="8" width="11.875" style="51" bestFit="1" customWidth="1"/>
    <col min="9" max="9" width="16.75" bestFit="1" customWidth="1"/>
    <col min="10" max="10" width="14.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186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 t="s">
        <v>138</v>
      </c>
      <c r="F2" s="30" t="s">
        <v>205</v>
      </c>
      <c r="G2" s="30" t="s">
        <v>219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ינואר!E3+פברואר!E3+מרץ!E3</f>
        <v>346988.66000000003</v>
      </c>
      <c r="F3" s="9">
        <f>ינואר!F3+פברואר!F3+מרץ!F3</f>
        <v>358245.80000000005</v>
      </c>
      <c r="G3" s="9">
        <f>ינואר!G3+פברואר!G3+מרץ!G3</f>
        <v>550736.34</v>
      </c>
      <c r="H3" s="49">
        <f t="shared" ref="H3:H16" si="0">G3/F3-1</f>
        <v>0.53731415692800844</v>
      </c>
      <c r="I3" s="11">
        <f t="shared" ref="I3:I15" si="1">G3-F3</f>
        <v>192490.53999999992</v>
      </c>
      <c r="J3" s="9">
        <f>ינואר!J3+פברואר!J3+מרץ!J3</f>
        <v>538412.69841269846</v>
      </c>
      <c r="K3" s="49">
        <f t="shared" ref="K3:K16" si="2">G3/J3-1</f>
        <v>2.2888839033018638E-2</v>
      </c>
      <c r="L3" s="13">
        <f t="shared" ref="L3:L15" si="3">G3-J3</f>
        <v>12323.641587301507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ינואר!E4+פברואר!E4+מרץ!E4</f>
        <v>1316829.3319999999</v>
      </c>
      <c r="F4" s="9">
        <f>ינואר!F4+פברואר!F4+מרץ!F4</f>
        <v>1515626.117900009</v>
      </c>
      <c r="G4" s="9">
        <f>ינואר!G4+פברואר!G4+מרץ!G4</f>
        <v>1311982.763</v>
      </c>
      <c r="H4" s="49">
        <f t="shared" si="0"/>
        <v>-0.13436252680982375</v>
      </c>
      <c r="I4" s="11">
        <f t="shared" si="1"/>
        <v>-203643.354900009</v>
      </c>
      <c r="J4" s="9">
        <f>ינואר!J4+פברואר!J4+מרץ!J4</f>
        <v>1680031.7460317458</v>
      </c>
      <c r="K4" s="49">
        <f t="shared" si="2"/>
        <v>-0.21907263591957815</v>
      </c>
      <c r="L4" s="13">
        <f t="shared" si="3"/>
        <v>-368048.98303174577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ינואר!E5+פברואר!E5+מרץ!E5</f>
        <v>244255.10200000001</v>
      </c>
      <c r="F5" s="9">
        <f>ינואר!F5+פברואר!F5+מרץ!F5</f>
        <v>178709.44</v>
      </c>
      <c r="G5" s="9">
        <f>ינואר!G5+פברואר!G5+מרץ!G5</f>
        <v>195880.23</v>
      </c>
      <c r="H5" s="49">
        <f t="shared" si="0"/>
        <v>9.6082165553202037E-2</v>
      </c>
      <c r="I5" s="11">
        <f t="shared" si="1"/>
        <v>17170.790000000008</v>
      </c>
      <c r="J5" s="9">
        <f>ינואר!J5+פברואר!J5+מרץ!J5</f>
        <v>228571.42857142858</v>
      </c>
      <c r="K5" s="49">
        <f t="shared" si="2"/>
        <v>-0.14302399374999997</v>
      </c>
      <c r="L5" s="13">
        <f t="shared" si="3"/>
        <v>-32691.198571428569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ינואר!E6+פברואר!E6+מרץ!E6</f>
        <v>483341.147</v>
      </c>
      <c r="F6" s="9">
        <f>ינואר!F6+פברואר!F6+מרץ!F6</f>
        <v>422582.23410000111</v>
      </c>
      <c r="G6" s="9">
        <f>ינואר!G6+פברואר!G6+מרץ!G6</f>
        <v>455568.58700000006</v>
      </c>
      <c r="H6" s="49">
        <f t="shared" si="0"/>
        <v>7.8059014880859756E-2</v>
      </c>
      <c r="I6" s="11">
        <f t="shared" si="1"/>
        <v>32986.35289999895</v>
      </c>
      <c r="J6" s="9">
        <f>ינואר!J6+פברואר!J6+מרץ!J6</f>
        <v>482539.68253968249</v>
      </c>
      <c r="K6" s="49">
        <f t="shared" si="2"/>
        <v>-5.5894046677631315E-2</v>
      </c>
      <c r="L6" s="13">
        <f t="shared" si="3"/>
        <v>-26971.095539682428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ינואר!E7+פברואר!E7+מרץ!E7</f>
        <v>1189769.5</v>
      </c>
      <c r="F7" s="9">
        <f>ינואר!F7+פברואר!F7+מרץ!F7</f>
        <v>1074384</v>
      </c>
      <c r="G7" s="9">
        <f>ינואר!G7+פברואר!G7+מרץ!G7</f>
        <v>863414.10000000009</v>
      </c>
      <c r="H7" s="49">
        <f t="shared" si="0"/>
        <v>-0.19636359067149167</v>
      </c>
      <c r="I7" s="11">
        <f t="shared" si="1"/>
        <v>-210969.89999999991</v>
      </c>
      <c r="J7" s="9">
        <f>ינואר!J7+פברואר!J7+מרץ!J7</f>
        <v>1095000</v>
      </c>
      <c r="K7" s="49">
        <f t="shared" si="2"/>
        <v>-0.21149397260273961</v>
      </c>
      <c r="L7" s="13">
        <f t="shared" si="3"/>
        <v>-231585.89999999991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ינואר!E8+פברואר!E8+מרץ!E8</f>
        <v>243735.37</v>
      </c>
      <c r="F8" s="9">
        <f>ינואר!F8+פברואר!F8+מרץ!F8</f>
        <v>214483.08000000002</v>
      </c>
      <c r="G8" s="9">
        <f>ינואר!G8+פברואר!G8+מרץ!G8</f>
        <v>175029.46000000002</v>
      </c>
      <c r="H8" s="49">
        <f t="shared" si="0"/>
        <v>-0.18394747035523729</v>
      </c>
      <c r="I8" s="11">
        <f t="shared" si="1"/>
        <v>-39453.619999999995</v>
      </c>
      <c r="J8" s="9">
        <f>ינואר!J8+פברואר!J8+מרץ!J8</f>
        <v>303968.25396825396</v>
      </c>
      <c r="K8" s="49">
        <f t="shared" si="2"/>
        <v>-0.42418506631853781</v>
      </c>
      <c r="L8" s="13">
        <f t="shared" si="3"/>
        <v>-128938.79396825394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ינואר!E9+פברואר!E9+מרץ!E9</f>
        <v>264967.26</v>
      </c>
      <c r="F9" s="9">
        <f>ינואר!F9+פברואר!F9+מרץ!F9</f>
        <v>184543.23000000004</v>
      </c>
      <c r="G9" s="9">
        <f>ינואר!G9+פברואר!G9+מרץ!G9</f>
        <v>216851.40000000002</v>
      </c>
      <c r="H9" s="49">
        <f t="shared" si="0"/>
        <v>0.1750710118165808</v>
      </c>
      <c r="I9" s="11">
        <f t="shared" si="1"/>
        <v>32308.169999999984</v>
      </c>
      <c r="J9" s="9">
        <f>ינואר!J9+פברואר!J9+מרץ!J9</f>
        <v>443253.96825396823</v>
      </c>
      <c r="K9" s="49">
        <f t="shared" si="2"/>
        <v>-0.51077392300805724</v>
      </c>
      <c r="L9" s="13">
        <f t="shared" si="3"/>
        <v>-226402.5682539682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ינואר!E10+פברואר!E10+מרץ!E10</f>
        <v>48538.67</v>
      </c>
      <c r="F10" s="9">
        <f>ינואר!F10+פברואר!F10+מרץ!F10</f>
        <v>55293.41</v>
      </c>
      <c r="G10" s="9">
        <f>ינואר!G10+פברואר!G10+מרץ!G10</f>
        <v>36206.99</v>
      </c>
      <c r="H10" s="49">
        <f t="shared" si="0"/>
        <v>-0.3451843537955066</v>
      </c>
      <c r="I10" s="11">
        <f t="shared" si="1"/>
        <v>-19086.420000000006</v>
      </c>
      <c r="J10" s="9">
        <f>ינואר!J10+פברואר!J10+מרץ!J10</f>
        <v>48253.968253968254</v>
      </c>
      <c r="K10" s="49">
        <f t="shared" si="2"/>
        <v>-0.24965777302631587</v>
      </c>
      <c r="L10" s="13">
        <f t="shared" si="3"/>
        <v>-12046.978253968256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ינואר!E11+פברואר!E11+מרץ!E11</f>
        <v>9240.76</v>
      </c>
      <c r="F11" s="9">
        <f>ינואר!F11+פברואר!F11+מרץ!F11</f>
        <v>21423.82</v>
      </c>
      <c r="G11" s="9">
        <f>ינואר!G11+פברואר!G11+מרץ!G11</f>
        <v>12409.920000000002</v>
      </c>
      <c r="H11" s="49">
        <f t="shared" si="0"/>
        <v>-0.42074195918374957</v>
      </c>
      <c r="I11" s="11">
        <f t="shared" si="1"/>
        <v>-9013.8999999999978</v>
      </c>
      <c r="J11" s="9">
        <f>ינואר!J11+פברואר!J11+מרץ!J11</f>
        <v>23396.825396825396</v>
      </c>
      <c r="K11" s="49">
        <f t="shared" si="2"/>
        <v>-0.46958957937584789</v>
      </c>
      <c r="L11" s="13">
        <f t="shared" si="3"/>
        <v>-10986.905396825394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ינואר!E12+פברואר!E12+מרץ!E12</f>
        <v>0</v>
      </c>
      <c r="F12" s="9">
        <f>ינואר!F12+פברואר!F12+מרץ!F12</f>
        <v>1732.3</v>
      </c>
      <c r="G12" s="9">
        <f>ינואר!G12+פברואר!G12+מרץ!G12</f>
        <v>1917.1599999999999</v>
      </c>
      <c r="H12" s="49">
        <f t="shared" si="0"/>
        <v>0.10671361773364896</v>
      </c>
      <c r="I12" s="11">
        <f t="shared" si="1"/>
        <v>184.8599999999999</v>
      </c>
      <c r="J12" s="9">
        <f>ינואר!J12+פברואר!J12+מרץ!J12</f>
        <v>0</v>
      </c>
      <c r="K12" s="49"/>
      <c r="L12" s="13">
        <f t="shared" si="3"/>
        <v>1917.1599999999999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ינואר!E13+פברואר!E13+מרץ!E13</f>
        <v>0</v>
      </c>
      <c r="F13" s="9">
        <f>ינואר!F13+פברואר!F13+מרץ!F13</f>
        <v>0</v>
      </c>
      <c r="G13" s="9">
        <f>ינואר!G13+פברואר!G13+מרץ!G13</f>
        <v>0</v>
      </c>
      <c r="H13" s="49" t="e">
        <f t="shared" si="0"/>
        <v>#DIV/0!</v>
      </c>
      <c r="I13" s="11">
        <f t="shared" si="1"/>
        <v>0</v>
      </c>
      <c r="J13" s="9">
        <f>ינואר!J13+פברואר!J13+מרץ!J13</f>
        <v>0</v>
      </c>
      <c r="K13" s="49"/>
      <c r="L13" s="13">
        <f t="shared" si="3"/>
        <v>0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ינואר!E14+פברואר!E14+מרץ!E14</f>
        <v>1275.21</v>
      </c>
      <c r="F14" s="9">
        <f>ינואר!F14+פברואר!F14+מרץ!F14</f>
        <v>11067.51</v>
      </c>
      <c r="G14" s="9">
        <f>ינואר!G14+פברואר!G14+מרץ!G14</f>
        <v>3470.98</v>
      </c>
      <c r="H14" s="49">
        <f t="shared" si="0"/>
        <v>-0.68638112818511121</v>
      </c>
      <c r="I14" s="11">
        <f t="shared" si="1"/>
        <v>-7596.5300000000007</v>
      </c>
      <c r="J14" s="9">
        <f>ינואר!J14+פברואר!J14+מרץ!J14</f>
        <v>0</v>
      </c>
      <c r="K14" s="49"/>
      <c r="L14" s="13">
        <f t="shared" si="3"/>
        <v>3470.98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ינואר!E15+פברואר!E15+מרץ!E15</f>
        <v>20179.98</v>
      </c>
      <c r="F15" s="9">
        <f>ינואר!F15+פברואר!F15+מרץ!F15</f>
        <v>29853.9</v>
      </c>
      <c r="G15" s="9">
        <f>ינואר!G15+פברואר!G15+מרץ!G15</f>
        <v>33410.51</v>
      </c>
      <c r="H15" s="49">
        <f t="shared" si="0"/>
        <v>0.11913384850890507</v>
      </c>
      <c r="I15" s="11">
        <f t="shared" si="1"/>
        <v>3556.6100000000006</v>
      </c>
      <c r="J15" s="9">
        <f>ינואר!J15+פברואר!J15+מרץ!J15</f>
        <v>50793.650793650791</v>
      </c>
      <c r="K15" s="49">
        <f t="shared" si="2"/>
        <v>-0.34223058437499998</v>
      </c>
      <c r="L15" s="13">
        <f t="shared" si="3"/>
        <v>-17383.140793650789</v>
      </c>
    </row>
    <row r="16" spans="1:12" ht="15" x14ac:dyDescent="0.25">
      <c r="B16" s="277" t="s">
        <v>221</v>
      </c>
      <c r="C16" s="278"/>
      <c r="D16" s="278"/>
      <c r="E16" s="67">
        <f>SUM(E3:E15)</f>
        <v>4169120.9909999999</v>
      </c>
      <c r="F16" s="67">
        <f>SUM(F3:F15)</f>
        <v>4067944.8420000095</v>
      </c>
      <c r="G16" s="67">
        <f>SUM(G3:G15)</f>
        <v>3856878.44</v>
      </c>
      <c r="H16" s="68">
        <f t="shared" si="0"/>
        <v>-5.1885266442363687E-2</v>
      </c>
      <c r="I16" s="67">
        <f>SUM(I3:I15)</f>
        <v>-211066.40200001007</v>
      </c>
      <c r="J16" s="67">
        <f>SUM(J3:J15)</f>
        <v>4894222.222222222</v>
      </c>
      <c r="K16" s="68">
        <f t="shared" si="2"/>
        <v>-0.21195273428986561</v>
      </c>
      <c r="L16" s="67">
        <f>SUM(L3:L15)</f>
        <v>-1037343.7822222216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ינואר!E17+פברואר!E17+מרץ!E17</f>
        <v>128416.34999999993</v>
      </c>
      <c r="F17" s="9">
        <f>ינואר!F17+פברואר!F17+מרץ!F17</f>
        <v>289038.58999999939</v>
      </c>
      <c r="G17" s="9">
        <f>ינואר!G17+פברואר!G17+מרץ!G17</f>
        <v>858282.39000001037</v>
      </c>
      <c r="H17" s="49">
        <f>G17/F17-1</f>
        <v>1.969438752105773</v>
      </c>
      <c r="I17" s="11">
        <f>G17-F17</f>
        <v>569243.80000001099</v>
      </c>
      <c r="J17" s="9">
        <f>ינואר!J17+פברואר!J17+מרץ!J17</f>
        <v>1230932.2033898307</v>
      </c>
      <c r="K17" s="49">
        <f>G17/J17-1</f>
        <v>-0.30273788626505194</v>
      </c>
      <c r="L17" s="13">
        <f>G17-J17</f>
        <v>-372649.81338982028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ינואר!E18+פברואר!E18+מרץ!E18</f>
        <v>6344.0600000000013</v>
      </c>
      <c r="F18" s="9">
        <f>ינואר!F18+פברואר!F18+מרץ!F18</f>
        <v>8798.68</v>
      </c>
      <c r="G18" s="9">
        <f>ינואר!G18+פברואר!G18+מרץ!G18</f>
        <v>5087.0300000000007</v>
      </c>
      <c r="H18" s="49">
        <f>G18/F18-1</f>
        <v>-0.42184168534371058</v>
      </c>
      <c r="I18" s="11">
        <f>G18-F18</f>
        <v>-3711.6499999999996</v>
      </c>
      <c r="J18" s="9">
        <f>ינואר!J18+פברואר!J18+מרץ!J18</f>
        <v>7610.7849999999971</v>
      </c>
      <c r="K18" s="49">
        <f>G18/J18-1</f>
        <v>-0.33160245625122731</v>
      </c>
      <c r="L18" s="13">
        <f>G18-J18</f>
        <v>-2523.7549999999965</v>
      </c>
    </row>
    <row r="19" spans="1:12" ht="15" x14ac:dyDescent="0.25">
      <c r="B19" s="266" t="s">
        <v>41</v>
      </c>
      <c r="C19" s="267"/>
      <c r="D19" s="267"/>
      <c r="E19" s="12">
        <f>E16+E17+E18</f>
        <v>4303881.4009999996</v>
      </c>
      <c r="F19" s="12">
        <f>F16+F17+F18</f>
        <v>4365782.112000009</v>
      </c>
      <c r="G19" s="12">
        <f>G16+G17+G18</f>
        <v>4720247.8600000106</v>
      </c>
      <c r="H19" s="50">
        <f t="shared" ref="H19:H41" si="4">G19/F19-1</f>
        <v>8.1191809143589477E-2</v>
      </c>
      <c r="I19" s="12">
        <f>I16+I17+I18</f>
        <v>354465.74800000089</v>
      </c>
      <c r="J19" s="12">
        <f>J16+J17+J18</f>
        <v>6132765.2106120531</v>
      </c>
      <c r="K19" s="50">
        <f t="shared" ref="K19:K41" si="5">G19/J19-1</f>
        <v>-0.23032307647581907</v>
      </c>
      <c r="L19" s="12">
        <f>L16+L17+L18</f>
        <v>-1412517.3506120418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ינואר!E20+פברואר!E20+מרץ!E20</f>
        <v>1103838.6000000001</v>
      </c>
      <c r="F20" s="9">
        <f>ינואר!F20+פברואר!F20+מרץ!F20</f>
        <v>615682.31000000006</v>
      </c>
      <c r="G20" s="9">
        <f>ינואר!G20+פברואר!G20+מרץ!G20</f>
        <v>586175.55000000005</v>
      </c>
      <c r="H20" s="49">
        <f t="shared" si="4"/>
        <v>-4.7925300955942718E-2</v>
      </c>
      <c r="I20" s="11">
        <f t="shared" ref="I20:I39" si="6">G20-F20</f>
        <v>-29506.760000000009</v>
      </c>
      <c r="J20" s="9">
        <f>ינואר!J20+פברואר!J20+מרץ!J20</f>
        <v>917409.47883749998</v>
      </c>
      <c r="K20" s="49">
        <f t="shared" si="5"/>
        <v>-0.36105352787200828</v>
      </c>
      <c r="L20" s="13">
        <f t="shared" ref="L20:L39" si="7">G20-J20</f>
        <v>-331233.92883749993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ינואר!E21+פברואר!E21+מרץ!E21</f>
        <v>256045.17</v>
      </c>
      <c r="F21" s="9">
        <f>ינואר!F21+פברואר!F21+מרץ!F21</f>
        <v>213082.56</v>
      </c>
      <c r="G21" s="9">
        <f>ינואר!G21+פברואר!G21+מרץ!G21</f>
        <v>137198.20000000001</v>
      </c>
      <c r="H21" s="49">
        <f t="shared" si="4"/>
        <v>-0.35612656427630673</v>
      </c>
      <c r="I21" s="11">
        <f t="shared" si="6"/>
        <v>-75884.359999999986</v>
      </c>
      <c r="J21" s="9">
        <f>ינואר!J21+פברואר!J21+מרץ!J21</f>
        <v>235200</v>
      </c>
      <c r="K21" s="49">
        <f t="shared" si="5"/>
        <v>-0.41667431972789115</v>
      </c>
      <c r="L21" s="13">
        <f t="shared" si="7"/>
        <v>-98001.799999999988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ינואר!E22+פברואר!E22+מרץ!E22</f>
        <v>134605.5</v>
      </c>
      <c r="F22" s="9">
        <f>ינואר!F22+פברואר!F22+מרץ!F22</f>
        <v>80573.03</v>
      </c>
      <c r="G22" s="9">
        <f>ינואר!G22+פברואר!G22+מרץ!G22</f>
        <v>149149.43</v>
      </c>
      <c r="H22" s="49">
        <f t="shared" si="4"/>
        <v>0.85110861537663407</v>
      </c>
      <c r="I22" s="11">
        <f t="shared" si="6"/>
        <v>68576.399999999994</v>
      </c>
      <c r="J22" s="9">
        <f>ינואר!J22+פברואר!J22+מרץ!J22</f>
        <v>151610.26999999999</v>
      </c>
      <c r="K22" s="49">
        <f t="shared" si="5"/>
        <v>-1.6231354247967511E-2</v>
      </c>
      <c r="L22" s="13">
        <f t="shared" si="7"/>
        <v>-2460.8399999999965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ינואר!E23+פברואר!E23+מרץ!E23</f>
        <v>153212.06</v>
      </c>
      <c r="F23" s="9">
        <f>ינואר!F23+פברואר!F23+מרץ!F23</f>
        <v>85563.25</v>
      </c>
      <c r="G23" s="9">
        <f>ינואר!G23+פברואר!G23+מרץ!G23</f>
        <v>67158.969999999987</v>
      </c>
      <c r="H23" s="49">
        <f t="shared" si="4"/>
        <v>-0.21509561640073294</v>
      </c>
      <c r="I23" s="11">
        <f t="shared" si="6"/>
        <v>-18404.280000000013</v>
      </c>
      <c r="J23" s="9">
        <f>ינואר!J23+פברואר!J23+מרץ!J23</f>
        <v>162158.96999999997</v>
      </c>
      <c r="K23" s="49">
        <f t="shared" si="5"/>
        <v>-0.58584486568951444</v>
      </c>
      <c r="L23" s="13">
        <f t="shared" si="7"/>
        <v>-94999.999999999985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ינואר!E24+פברואר!E24+מרץ!E24</f>
        <v>32300.809999999998</v>
      </c>
      <c r="F24" s="9">
        <f>ינואר!F24+פברואר!F24+מרץ!F24</f>
        <v>29999.78</v>
      </c>
      <c r="G24" s="9">
        <f>ינואר!G24+פברואר!G24+מרץ!G24</f>
        <v>44796.11</v>
      </c>
      <c r="H24" s="49">
        <f t="shared" si="4"/>
        <v>0.49321461690719071</v>
      </c>
      <c r="I24" s="11">
        <f t="shared" si="6"/>
        <v>14796.330000000002</v>
      </c>
      <c r="J24" s="9">
        <f>ינואר!J24+פברואר!J24+מרץ!J24</f>
        <v>32774.92</v>
      </c>
      <c r="K24" s="49">
        <f t="shared" si="5"/>
        <v>0.36678014774711887</v>
      </c>
      <c r="L24" s="13">
        <f t="shared" si="7"/>
        <v>12021.190000000002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ינואר!E25+פברואר!E25+מרץ!E25</f>
        <v>50777.759999999995</v>
      </c>
      <c r="F25" s="9">
        <f>ינואר!F25+פברואר!F25+מרץ!F25</f>
        <v>42132.93</v>
      </c>
      <c r="G25" s="9">
        <f>ינואר!G25+פברואר!G25+מרץ!G25</f>
        <v>0</v>
      </c>
      <c r="H25" s="49">
        <f t="shared" si="4"/>
        <v>-1</v>
      </c>
      <c r="I25" s="11">
        <f t="shared" si="6"/>
        <v>-42132.93</v>
      </c>
      <c r="J25" s="9">
        <f>ינואר!J25+פברואר!J25+מרץ!J25</f>
        <v>5000</v>
      </c>
      <c r="K25" s="49">
        <f t="shared" si="5"/>
        <v>-1</v>
      </c>
      <c r="L25" s="13">
        <f t="shared" si="7"/>
        <v>-5000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ינואר!E26+פברואר!E26+מרץ!E26</f>
        <v>249206.12</v>
      </c>
      <c r="F26" s="9">
        <f>ינואר!F26+פברואר!F26+מרץ!F26</f>
        <v>0</v>
      </c>
      <c r="G26" s="9">
        <f>ינואר!G26+פברואר!G26+מרץ!G26</f>
        <v>-1269.06</v>
      </c>
      <c r="H26" s="49" t="e">
        <f t="shared" si="4"/>
        <v>#DIV/0!</v>
      </c>
      <c r="I26" s="11">
        <f t="shared" si="6"/>
        <v>-1269.06</v>
      </c>
      <c r="J26" s="9">
        <f>ינואר!J26+פברואר!J26+מרץ!J26</f>
        <v>0</v>
      </c>
      <c r="K26" s="49" t="e">
        <f t="shared" si="5"/>
        <v>#DIV/0!</v>
      </c>
      <c r="L26" s="13">
        <f t="shared" si="7"/>
        <v>-1269.06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ינואר!E27+פברואר!E27+מרץ!E27</f>
        <v>62495.479999999996</v>
      </c>
      <c r="F27" s="9">
        <f>ינואר!F27+פברואר!F27+מרץ!F27</f>
        <v>0</v>
      </c>
      <c r="G27" s="9">
        <f>ינואר!G27+פברואר!G27+מרץ!G27</f>
        <v>42152.31</v>
      </c>
      <c r="H27" s="49" t="e">
        <f t="shared" si="4"/>
        <v>#DIV/0!</v>
      </c>
      <c r="I27" s="11">
        <f t="shared" si="6"/>
        <v>42152.31</v>
      </c>
      <c r="J27" s="9">
        <f>ינואר!J27+פברואר!J27+מרץ!J27</f>
        <v>40000</v>
      </c>
      <c r="K27" s="49">
        <f t="shared" si="5"/>
        <v>5.3807750000000043E-2</v>
      </c>
      <c r="L27" s="13">
        <f t="shared" si="7"/>
        <v>2152.3099999999977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ינואר!E28+פברואר!E28+מרץ!E28</f>
        <v>171813.81000000003</v>
      </c>
      <c r="F28" s="9">
        <f>ינואר!F28+פברואר!F28+מרץ!F28</f>
        <v>0.22</v>
      </c>
      <c r="G28" s="9">
        <f>ינואר!G28+פברואר!G28+מרץ!G28</f>
        <v>0</v>
      </c>
      <c r="H28" s="49">
        <f t="shared" si="4"/>
        <v>-1</v>
      </c>
      <c r="I28" s="11">
        <f t="shared" si="6"/>
        <v>-0.22</v>
      </c>
      <c r="J28" s="9">
        <f>ינואר!J28+פברואר!J28+מרץ!J28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ינואר!E29+פברואר!E29+מרץ!E29</f>
        <v>75421.290000000008</v>
      </c>
      <c r="F29" s="9">
        <f>ינואר!F29+פברואר!F29+מרץ!F29</f>
        <v>93346.17</v>
      </c>
      <c r="G29" s="9">
        <f>ינואר!G29+פברואר!G29+מרץ!G29</f>
        <v>52124.75</v>
      </c>
      <c r="H29" s="49">
        <f t="shared" si="4"/>
        <v>-0.44159733602353479</v>
      </c>
      <c r="I29" s="11">
        <f t="shared" si="6"/>
        <v>-41221.42</v>
      </c>
      <c r="J29" s="9">
        <f>ינואר!J29+פברואר!J29+מרץ!J29</f>
        <v>92114.316000000006</v>
      </c>
      <c r="K29" s="49">
        <f t="shared" si="5"/>
        <v>-0.43412976111118284</v>
      </c>
      <c r="L29" s="13">
        <f t="shared" si="7"/>
        <v>-39989.566000000006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ינואר!E30+פברואר!E30+מרץ!E30</f>
        <v>0</v>
      </c>
      <c r="F30" s="9">
        <f>ינואר!F30+פברואר!F30+מרץ!F30</f>
        <v>32010.18</v>
      </c>
      <c r="G30" s="9">
        <f>ינואר!G30+פברואר!G30+מרץ!G30</f>
        <v>0</v>
      </c>
      <c r="H30" s="49">
        <f t="shared" si="4"/>
        <v>-1</v>
      </c>
      <c r="I30" s="11">
        <f t="shared" si="6"/>
        <v>-32010.18</v>
      </c>
      <c r="J30" s="9">
        <f>ינואר!J30+פברואר!J30+מרץ!J30</f>
        <v>0</v>
      </c>
      <c r="K30" s="49" t="e">
        <f t="shared" si="5"/>
        <v>#DIV/0!</v>
      </c>
      <c r="L30" s="13">
        <f t="shared" si="7"/>
        <v>0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ינואר!E31+פברואר!E31+מרץ!E31</f>
        <v>0</v>
      </c>
      <c r="F31" s="9">
        <f>ינואר!F31+פברואר!F31+מרץ!F31</f>
        <v>19897.57</v>
      </c>
      <c r="G31" s="9">
        <f>ינואר!G31+פברואר!G31+מרץ!G31</f>
        <v>0</v>
      </c>
      <c r="H31" s="49">
        <f t="shared" si="4"/>
        <v>-1</v>
      </c>
      <c r="I31" s="11">
        <f t="shared" si="6"/>
        <v>-19897.57</v>
      </c>
      <c r="J31" s="9">
        <f>ינואר!J31+פברואר!J31+מרץ!J31</f>
        <v>20000</v>
      </c>
      <c r="K31" s="49">
        <f t="shared" si="5"/>
        <v>-1</v>
      </c>
      <c r="L31" s="13">
        <f t="shared" si="7"/>
        <v>-20000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ינואר!E32+פברואר!E32+מרץ!E32</f>
        <v>0</v>
      </c>
      <c r="F32" s="9">
        <f>ינואר!F32+פברואר!F32+מרץ!F32</f>
        <v>16024.5</v>
      </c>
      <c r="G32" s="9">
        <f>ינואר!G32+פברואר!G32+מרץ!G32</f>
        <v>0</v>
      </c>
      <c r="H32" s="49">
        <f t="shared" si="4"/>
        <v>-1</v>
      </c>
      <c r="I32" s="11">
        <f t="shared" si="6"/>
        <v>-16024.5</v>
      </c>
      <c r="J32" s="9">
        <f>ינואר!J32+פברואר!J32+מרץ!J32</f>
        <v>18000</v>
      </c>
      <c r="K32" s="49">
        <f t="shared" si="5"/>
        <v>-1</v>
      </c>
      <c r="L32" s="13">
        <f t="shared" si="7"/>
        <v>-18000</v>
      </c>
    </row>
    <row r="33" spans="1:12" ht="13.5" customHeight="1" x14ac:dyDescent="0.2">
      <c r="B33" s="36"/>
      <c r="C33" s="5" t="s">
        <v>11</v>
      </c>
      <c r="D33" s="3" t="s">
        <v>12</v>
      </c>
      <c r="E33" s="9">
        <f>ינואר!E33+פברואר!E33+מרץ!E33</f>
        <v>0</v>
      </c>
      <c r="F33" s="9">
        <f>ינואר!F33+פברואר!F33+מרץ!F33</f>
        <v>0</v>
      </c>
      <c r="G33" s="9">
        <f>ינואר!G33+פברואר!G33+מרץ!G33</f>
        <v>0</v>
      </c>
      <c r="H33" s="49" t="e">
        <f t="shared" si="4"/>
        <v>#DIV/0!</v>
      </c>
      <c r="I33" s="11">
        <f t="shared" si="6"/>
        <v>0</v>
      </c>
      <c r="J33" s="9">
        <f>ינואר!J33+פברואר!J33+מרץ!J33</f>
        <v>0</v>
      </c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ינואר!E34+פברואר!E34+מרץ!E34</f>
        <v>19941.820000000003</v>
      </c>
      <c r="F34" s="9">
        <f>ינואר!F34+פברואר!F34+מרץ!F34</f>
        <v>20695.689999999999</v>
      </c>
      <c r="G34" s="9">
        <f>ינואר!G34+פברואר!G34+מרץ!G34</f>
        <v>18792.66</v>
      </c>
      <c r="H34" s="49">
        <f t="shared" si="4"/>
        <v>-9.1952962186812814E-2</v>
      </c>
      <c r="I34" s="11">
        <f t="shared" si="6"/>
        <v>-1903.0299999999988</v>
      </c>
      <c r="J34" s="9">
        <f>ינואר!J34+פברואר!J34+מרץ!J34</f>
        <v>18792.66</v>
      </c>
      <c r="K34" s="49">
        <f t="shared" si="5"/>
        <v>0</v>
      </c>
      <c r="L34" s="13">
        <f t="shared" si="7"/>
        <v>0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ינואר!E35+פברואר!E35+מרץ!E35</f>
        <v>34034.18</v>
      </c>
      <c r="F35" s="9">
        <f>ינואר!F35+פברואר!F35+מרץ!F35</f>
        <v>0</v>
      </c>
      <c r="G35" s="9">
        <f>ינואר!G35+פברואר!G35+מרץ!G35</f>
        <v>0</v>
      </c>
      <c r="H35" s="49" t="e">
        <f t="shared" si="4"/>
        <v>#DIV/0!</v>
      </c>
      <c r="I35" s="11">
        <f t="shared" si="6"/>
        <v>0</v>
      </c>
      <c r="J35" s="9">
        <f>ינואר!J35+פברואר!J35+מרץ!J35</f>
        <v>0</v>
      </c>
      <c r="K35" s="49" t="e">
        <f t="shared" si="5"/>
        <v>#DIV/0!</v>
      </c>
      <c r="L35" s="13">
        <f t="shared" si="7"/>
        <v>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ינואר!E36+פברואר!E36+מרץ!E36</f>
        <v>0</v>
      </c>
      <c r="F36" s="9">
        <f>ינואר!F36+פברואר!F36+מרץ!F36</f>
        <v>0</v>
      </c>
      <c r="G36" s="9">
        <f>ינואר!G36+פברואר!G36+מרץ!G36</f>
        <v>0</v>
      </c>
      <c r="H36" s="49" t="e">
        <f t="shared" si="4"/>
        <v>#DIV/0!</v>
      </c>
      <c r="I36" s="11">
        <f t="shared" si="6"/>
        <v>0</v>
      </c>
      <c r="J36" s="9">
        <f>ינואר!J36+פברואר!J36+מרץ!J36</f>
        <v>0</v>
      </c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ינואר!E37+פברואר!E37+מרץ!E37</f>
        <v>0</v>
      </c>
      <c r="F37" s="9">
        <f>ינואר!F37+פברואר!F37+מרץ!F37</f>
        <v>0</v>
      </c>
      <c r="G37" s="9">
        <f>ינואר!G37+פברואר!G37+מרץ!G37</f>
        <v>0</v>
      </c>
      <c r="H37" s="49" t="e">
        <f t="shared" si="4"/>
        <v>#DIV/0!</v>
      </c>
      <c r="I37" s="11">
        <f t="shared" si="6"/>
        <v>0</v>
      </c>
      <c r="J37" s="9">
        <f>ינואר!J37+פברואר!J37+מרץ!J37</f>
        <v>0</v>
      </c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ינואר!E38+פברואר!E38+מרץ!E38</f>
        <v>0</v>
      </c>
      <c r="F38" s="9">
        <f>ינואר!F38+פברואר!F38+מרץ!F38</f>
        <v>0</v>
      </c>
      <c r="G38" s="9">
        <f>ינואר!G38+פברואר!G38+מרץ!G38</f>
        <v>0</v>
      </c>
      <c r="H38" s="49" t="e">
        <f t="shared" si="4"/>
        <v>#DIV/0!</v>
      </c>
      <c r="I38" s="11">
        <f t="shared" si="6"/>
        <v>0</v>
      </c>
      <c r="J38" s="9">
        <f>ינואר!J38+פברואר!J38+מרץ!J38</f>
        <v>0</v>
      </c>
      <c r="K38" s="49" t="e">
        <f t="shared" si="5"/>
        <v>#DIV/0!</v>
      </c>
      <c r="L38" s="13">
        <f t="shared" si="7"/>
        <v>0</v>
      </c>
    </row>
    <row r="39" spans="1:12" ht="13.5" customHeight="1" x14ac:dyDescent="0.2">
      <c r="B39" s="37" t="s">
        <v>91</v>
      </c>
      <c r="C39" s="5" t="s">
        <v>91</v>
      </c>
      <c r="D39" s="3"/>
      <c r="E39" s="9">
        <f>ינואר!E39+פברואר!E39+מרץ!E39</f>
        <v>0</v>
      </c>
      <c r="F39" s="9">
        <f>ינואר!F39+פברואר!F39+מרץ!F39</f>
        <v>0</v>
      </c>
      <c r="G39" s="9">
        <f>ינואר!G39+פברואר!G39+מרץ!G39</f>
        <v>0</v>
      </c>
      <c r="H39" s="49" t="e">
        <f t="shared" si="4"/>
        <v>#DIV/0!</v>
      </c>
      <c r="I39" s="11">
        <f t="shared" si="6"/>
        <v>0</v>
      </c>
      <c r="J39" s="9">
        <f>ינואר!J39+פברואר!J39+מרץ!J39</f>
        <v>0</v>
      </c>
      <c r="K39" s="49" t="e">
        <f t="shared" si="5"/>
        <v>#DIV/0!</v>
      </c>
      <c r="L39" s="13">
        <f t="shared" si="7"/>
        <v>0</v>
      </c>
    </row>
    <row r="40" spans="1:12" ht="15" x14ac:dyDescent="0.25">
      <c r="B40" s="268" t="s">
        <v>42</v>
      </c>
      <c r="C40" s="269"/>
      <c r="D40" s="269"/>
      <c r="E40" s="10">
        <f>SUM(E20:E39)</f>
        <v>2343692.6</v>
      </c>
      <c r="F40" s="10">
        <f>SUM(F20:F39)</f>
        <v>1249008.19</v>
      </c>
      <c r="G40" s="10">
        <f>SUM(G20:G39)</f>
        <v>1096278.9199999997</v>
      </c>
      <c r="H40" s="43">
        <f t="shared" si="4"/>
        <v>-0.12228043916989872</v>
      </c>
      <c r="I40" s="10">
        <f>SUM(I20:I39)</f>
        <v>-152729.27000000002</v>
      </c>
      <c r="J40" s="10">
        <f>SUM(J20:J39)</f>
        <v>1693060.6148374998</v>
      </c>
      <c r="K40" s="43">
        <f t="shared" si="5"/>
        <v>-0.35248690425344242</v>
      </c>
      <c r="L40" s="10">
        <f>SUM(L20:L39)</f>
        <v>-596781.69483749999</v>
      </c>
    </row>
    <row r="41" spans="1:12" ht="16.5" thickBot="1" x14ac:dyDescent="0.3">
      <c r="B41" s="270" t="s">
        <v>69</v>
      </c>
      <c r="C41" s="271"/>
      <c r="D41" s="271"/>
      <c r="E41" s="25">
        <f>E40+E19</f>
        <v>6647574.0010000002</v>
      </c>
      <c r="F41" s="25">
        <f>F40+F19</f>
        <v>5614790.3020000085</v>
      </c>
      <c r="G41" s="25">
        <f>G40+G19</f>
        <v>5816526.7800000105</v>
      </c>
      <c r="H41" s="44">
        <f t="shared" si="4"/>
        <v>3.5929476819132944E-2</v>
      </c>
      <c r="I41" s="25">
        <f>I40+I19</f>
        <v>201736.47800000088</v>
      </c>
      <c r="J41" s="25">
        <f>J40+J19</f>
        <v>7825825.8254495524</v>
      </c>
      <c r="K41" s="44">
        <f t="shared" si="5"/>
        <v>-0.25675233390900543</v>
      </c>
      <c r="L41" s="25">
        <f>L40+L19</f>
        <v>-2009299.0454495419</v>
      </c>
    </row>
    <row r="42" spans="1:12" ht="15.75" thickBot="1" x14ac:dyDescent="0.3">
      <c r="B42" s="272" t="s">
        <v>43</v>
      </c>
      <c r="C42" s="273"/>
      <c r="D42" s="274"/>
      <c r="E42" s="16">
        <f>E40/E41</f>
        <v>0.35256359683208288</v>
      </c>
      <c r="F42" s="16">
        <f>F40/F41</f>
        <v>0.22244965934971761</v>
      </c>
      <c r="G42" s="16">
        <f>G40/G41</f>
        <v>0.18847655335646846</v>
      </c>
      <c r="H42" s="45"/>
      <c r="I42" s="6"/>
      <c r="J42" s="15">
        <f>J40-ינואר!J40-פברואר!J40-מרץ!J40</f>
        <v>0</v>
      </c>
    </row>
    <row r="43" spans="1:12" x14ac:dyDescent="0.2">
      <c r="E43" s="15">
        <f>E41-ינואר!E41-פברואר!E41-מרץ!E41</f>
        <v>0</v>
      </c>
      <c r="I43" s="6"/>
    </row>
  </sheetData>
  <dataConsolidate/>
  <mergeCells count="6">
    <mergeCell ref="B1:L1"/>
    <mergeCell ref="B19:D19"/>
    <mergeCell ref="B40:D40"/>
    <mergeCell ref="B41:D41"/>
    <mergeCell ref="B42:D42"/>
    <mergeCell ref="B16:D16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427A-BECD-4716-9689-0D862CC714CA}">
  <dimension ref="A1:M43"/>
  <sheetViews>
    <sheetView showGridLines="0" rightToLeft="1" workbookViewId="0">
      <pane xSplit="5" ySplit="2" topLeftCell="F3" activePane="bottomRight" state="frozen"/>
      <selection activeCell="J13" sqref="J13"/>
      <selection pane="topRight" activeCell="J13" sqref="J13"/>
      <selection pane="bottomLeft" activeCell="J13" sqref="J13"/>
      <selection pane="bottomRight" activeCell="E50" sqref="E50"/>
    </sheetView>
  </sheetViews>
  <sheetFormatPr defaultRowHeight="14.25" x14ac:dyDescent="0.2"/>
  <cols>
    <col min="1" max="1" width="2.375" bestFit="1" customWidth="1"/>
    <col min="2" max="3" width="28" hidden="1" customWidth="1"/>
    <col min="4" max="4" width="28" bestFit="1" customWidth="1"/>
    <col min="5" max="5" width="13.375" bestFit="1" customWidth="1"/>
    <col min="6" max="8" width="10.875" bestFit="1" customWidth="1"/>
    <col min="9" max="9" width="10.75" style="51" bestFit="1" customWidth="1"/>
    <col min="10" max="11" width="10.875" bestFit="1" customWidth="1"/>
    <col min="12" max="12" width="10.75" style="51" bestFit="1" customWidth="1"/>
    <col min="13" max="13" width="10.875" bestFit="1" customWidth="1"/>
    <col min="15" max="15" width="12.625" bestFit="1" customWidth="1"/>
    <col min="16" max="16" width="10.875" bestFit="1" customWidth="1"/>
  </cols>
  <sheetData>
    <row r="1" spans="1:13" ht="15.75" x14ac:dyDescent="0.25">
      <c r="B1" s="34"/>
      <c r="C1" s="34" t="s">
        <v>180</v>
      </c>
      <c r="D1" s="34" t="s">
        <v>180</v>
      </c>
      <c r="E1" s="34"/>
      <c r="F1" s="174"/>
      <c r="G1" s="174"/>
      <c r="H1" s="174"/>
      <c r="I1" s="175"/>
      <c r="J1" s="174"/>
      <c r="K1" s="174"/>
      <c r="L1" s="175"/>
      <c r="M1" s="174"/>
    </row>
    <row r="2" spans="1:13" ht="15" x14ac:dyDescent="0.25">
      <c r="A2" s="133" t="s">
        <v>228</v>
      </c>
      <c r="B2" s="149"/>
      <c r="C2" s="149"/>
      <c r="D2" s="149"/>
      <c r="E2" s="149" t="s">
        <v>10</v>
      </c>
      <c r="F2" s="146" t="s">
        <v>141</v>
      </c>
      <c r="G2" s="146" t="s">
        <v>202</v>
      </c>
      <c r="H2" s="146" t="s">
        <v>216</v>
      </c>
      <c r="I2" s="171" t="s">
        <v>191</v>
      </c>
      <c r="J2" s="146" t="s">
        <v>192</v>
      </c>
      <c r="K2" s="146" t="s">
        <v>67</v>
      </c>
      <c r="L2" s="171" t="s">
        <v>68</v>
      </c>
      <c r="M2" s="146" t="s">
        <v>71</v>
      </c>
    </row>
    <row r="3" spans="1:13" x14ac:dyDescent="0.2">
      <c r="A3" s="140">
        <v>5</v>
      </c>
      <c r="B3" s="89" t="s">
        <v>115</v>
      </c>
      <c r="C3" s="89" t="s">
        <v>1</v>
      </c>
      <c r="D3" s="89" t="s">
        <v>1</v>
      </c>
      <c r="E3" s="89" t="s">
        <v>40</v>
      </c>
      <c r="F3" s="86">
        <f>ינואר!E3+פברואר!E3+מרץ!E3+אפריל!E3+מאי!E3+יוני!E3</f>
        <v>910277.96</v>
      </c>
      <c r="G3" s="86">
        <f>ינואר!F3+פברואר!F3+מרץ!F3+אפריל!F3+מאי!F3+יוני!F3</f>
        <v>826817.40000000014</v>
      </c>
      <c r="H3" s="86">
        <f>ינואר!G3+פברואר!G3+מרץ!G3+אפריל!G3+מאי!G3+יוני!G3</f>
        <v>740443.29999999993</v>
      </c>
      <c r="I3" s="172">
        <f t="shared" ref="I3:I16" si="0">H3/G3-1</f>
        <v>-0.10446575023699334</v>
      </c>
      <c r="J3" s="86">
        <f t="shared" ref="J3:J15" si="1">H3-G3</f>
        <v>-86374.10000000021</v>
      </c>
      <c r="K3" s="86">
        <f>ינואר!J3+פברואר!J3+מרץ!J3+אפריל!J3+מאי!J3+יוני!J3</f>
        <v>1134761.9047619049</v>
      </c>
      <c r="L3" s="172">
        <f t="shared" ref="L3:L16" si="2">H3/K3-1</f>
        <v>-0.34749016785564424</v>
      </c>
      <c r="M3" s="86">
        <f t="shared" ref="M3:M15" si="3">H3-K3</f>
        <v>-394318.60476190492</v>
      </c>
    </row>
    <row r="4" spans="1:13" x14ac:dyDescent="0.2">
      <c r="A4" s="134">
        <v>1</v>
      </c>
      <c r="B4" s="89" t="s">
        <v>0</v>
      </c>
      <c r="C4" s="89" t="s">
        <v>0</v>
      </c>
      <c r="D4" s="89" t="s">
        <v>0</v>
      </c>
      <c r="E4" s="89" t="s">
        <v>40</v>
      </c>
      <c r="F4" s="86">
        <f>ינואר!E4+פברואר!E4+מרץ!E4+אפריל!E4+מאי!E4+יוני!E4</f>
        <v>2779958.0900000003</v>
      </c>
      <c r="G4" s="86">
        <f>ינואר!F4+פברואר!F4+מרץ!F4+אפריל!F4+מאי!F4+יוני!F4</f>
        <v>3246648.622600032</v>
      </c>
      <c r="H4" s="86">
        <f>ינואר!G4+פברואר!G4+מרץ!G4+אפריל!G4+מאי!G4+יוני!G4</f>
        <v>2774937.8930000006</v>
      </c>
      <c r="I4" s="172">
        <f t="shared" si="0"/>
        <v>-0.14529158662764952</v>
      </c>
      <c r="J4" s="86">
        <f t="shared" si="1"/>
        <v>-471710.72960003139</v>
      </c>
      <c r="K4" s="86">
        <f>ינואר!J4+פברואר!J4+מרץ!J4+אפריל!J4+מאי!J4+יוני!J4</f>
        <v>3319904.7619047617</v>
      </c>
      <c r="L4" s="172">
        <f t="shared" si="2"/>
        <v>-0.16415135613471388</v>
      </c>
      <c r="M4" s="86">
        <f t="shared" si="3"/>
        <v>-544966.86890476104</v>
      </c>
    </row>
    <row r="5" spans="1:13" x14ac:dyDescent="0.2">
      <c r="A5" s="134">
        <v>7</v>
      </c>
      <c r="B5" s="89" t="s">
        <v>44</v>
      </c>
      <c r="C5" s="89" t="s">
        <v>44</v>
      </c>
      <c r="D5" s="89" t="s">
        <v>44</v>
      </c>
      <c r="E5" s="89" t="s">
        <v>40</v>
      </c>
      <c r="F5" s="86">
        <f>ינואר!E5+פברואר!E5+מרץ!E5+אפריל!E5+מאי!E5+יוני!E5</f>
        <v>543790.88400000008</v>
      </c>
      <c r="G5" s="86">
        <f>ינואר!F5+פברואר!F5+מרץ!F5+אפריל!F5+מאי!F5+יוני!F5</f>
        <v>421646.86000000004</v>
      </c>
      <c r="H5" s="86">
        <f>ינואר!G5+פברואר!G5+מרץ!G5+אפריל!G5+מאי!G5+יוני!G5</f>
        <v>437274.565</v>
      </c>
      <c r="I5" s="172">
        <f t="shared" si="0"/>
        <v>3.7063491946791594E-2</v>
      </c>
      <c r="J5" s="86">
        <f t="shared" si="1"/>
        <v>15627.704999999958</v>
      </c>
      <c r="K5" s="86">
        <f>ינואר!J5+פברואר!J5+מרץ!J5+אפריל!J5+מאי!J5+יוני!J5</f>
        <v>439285.71428571432</v>
      </c>
      <c r="L5" s="172">
        <f t="shared" si="2"/>
        <v>-4.578226016260234E-3</v>
      </c>
      <c r="M5" s="86">
        <f t="shared" si="3"/>
        <v>-2011.1492857143166</v>
      </c>
    </row>
    <row r="6" spans="1:13" x14ac:dyDescent="0.2">
      <c r="A6" s="134">
        <v>4</v>
      </c>
      <c r="B6" s="89" t="s">
        <v>3</v>
      </c>
      <c r="C6" s="89" t="s">
        <v>3</v>
      </c>
      <c r="D6" s="89" t="s">
        <v>3</v>
      </c>
      <c r="E6" s="89" t="s">
        <v>40</v>
      </c>
      <c r="F6" s="86">
        <f>ינואר!E6+פברואר!E6+מרץ!E6+אפריל!E6+מאי!E6+יוני!E6</f>
        <v>1002133.417</v>
      </c>
      <c r="G6" s="86">
        <f>ינואר!F6+פברואר!F6+מרץ!F6+אפריל!F6+מאי!F6+יוני!F6</f>
        <v>942787.37940000161</v>
      </c>
      <c r="H6" s="86">
        <f>ינואר!G6+פברואר!G6+מרץ!G6+אפריל!G6+מאי!G6+יוני!G6</f>
        <v>918523.97800000012</v>
      </c>
      <c r="I6" s="172">
        <f t="shared" si="0"/>
        <v>-2.5735814808470314E-2</v>
      </c>
      <c r="J6" s="86">
        <f t="shared" si="1"/>
        <v>-24263.401400001487</v>
      </c>
      <c r="K6" s="86">
        <f>ינואר!J6+פברואר!J6+מרץ!J6+אפריל!J6+מאי!J6+יוני!J6</f>
        <v>948380.95238095231</v>
      </c>
      <c r="L6" s="172">
        <f t="shared" si="2"/>
        <v>-3.1482047700341242E-2</v>
      </c>
      <c r="M6" s="86">
        <f t="shared" si="3"/>
        <v>-29856.97438095219</v>
      </c>
    </row>
    <row r="7" spans="1:13" x14ac:dyDescent="0.2">
      <c r="A7" s="134">
        <v>3</v>
      </c>
      <c r="B7" s="89" t="s">
        <v>112</v>
      </c>
      <c r="C7" s="89" t="s">
        <v>2</v>
      </c>
      <c r="D7" s="89" t="s">
        <v>2</v>
      </c>
      <c r="E7" s="89" t="s">
        <v>40</v>
      </c>
      <c r="F7" s="86">
        <f>ינואר!E7+פברואר!E7+מרץ!E7+אפריל!E7+מאי!E7+יוני!E7</f>
        <v>2077589</v>
      </c>
      <c r="G7" s="86">
        <f>ינואר!F7+פברואר!F7+מרץ!F7+אפריל!F7+מאי!F7+יוני!F7</f>
        <v>2008545.5</v>
      </c>
      <c r="H7" s="86">
        <f>ינואר!G7+פברואר!G7+מרץ!G7+אפריל!G7+מאי!G7+יוני!G7</f>
        <v>1742410.85</v>
      </c>
      <c r="I7" s="172">
        <f t="shared" si="0"/>
        <v>-0.13250118058067384</v>
      </c>
      <c r="J7" s="86">
        <f t="shared" si="1"/>
        <v>-266134.64999999991</v>
      </c>
      <c r="K7" s="86">
        <f>ינואר!J7+פברואר!J7+מרץ!J7+אפריל!J7+מאי!J7+יוני!J7</f>
        <v>2190000</v>
      </c>
      <c r="L7" s="172">
        <f t="shared" si="2"/>
        <v>-0.20437860730593604</v>
      </c>
      <c r="M7" s="86">
        <f t="shared" si="3"/>
        <v>-447589.14999999991</v>
      </c>
    </row>
    <row r="8" spans="1:13" x14ac:dyDescent="0.2">
      <c r="A8" s="134">
        <v>8</v>
      </c>
      <c r="B8" s="89" t="s">
        <v>113</v>
      </c>
      <c r="C8" s="89" t="s">
        <v>5</v>
      </c>
      <c r="D8" s="89" t="s">
        <v>5</v>
      </c>
      <c r="E8" s="89" t="s">
        <v>40</v>
      </c>
      <c r="F8" s="86">
        <f>ינואר!E8+פברואר!E8+מרץ!E8+אפריל!E8+מאי!E8+יוני!E8</f>
        <v>413393.5</v>
      </c>
      <c r="G8" s="86">
        <f>ינואר!F8+פברואר!F8+מרץ!F8+אפריל!F8+מאי!F8+יוני!F8</f>
        <v>427663.17</v>
      </c>
      <c r="H8" s="86">
        <f>ינואר!G8+פברואר!G8+מרץ!G8+אפריל!G8+מאי!G8+יוני!G8</f>
        <v>343097.61100000003</v>
      </c>
      <c r="I8" s="172">
        <f t="shared" si="0"/>
        <v>-0.19773869936005939</v>
      </c>
      <c r="J8" s="86">
        <f t="shared" si="1"/>
        <v>-84565.55899999995</v>
      </c>
      <c r="K8" s="86">
        <f>ינואר!J8+פברואר!J8+מרץ!J8+אפריל!J8+מאי!J8+יוני!J8</f>
        <v>608095.23809523811</v>
      </c>
      <c r="L8" s="172">
        <f t="shared" si="2"/>
        <v>-0.43578309859044628</v>
      </c>
      <c r="M8" s="86">
        <f t="shared" si="3"/>
        <v>-264997.62709523807</v>
      </c>
    </row>
    <row r="9" spans="1:13" x14ac:dyDescent="0.2">
      <c r="A9" s="134">
        <v>6</v>
      </c>
      <c r="B9" s="89" t="s">
        <v>121</v>
      </c>
      <c r="C9" s="89" t="s">
        <v>4</v>
      </c>
      <c r="D9" s="89" t="s">
        <v>4</v>
      </c>
      <c r="E9" s="89" t="s">
        <v>40</v>
      </c>
      <c r="F9" s="86">
        <f>ינואר!E9+פברואר!E9+מרץ!E9+אפריל!E9+מאי!E9+יוני!E9</f>
        <v>511413.72</v>
      </c>
      <c r="G9" s="86">
        <f>ינואר!F9+פברואר!F9+מרץ!F9+אפריל!F9+מאי!F9+יוני!F9</f>
        <v>417944.84000000008</v>
      </c>
      <c r="H9" s="86">
        <f>ינואר!G9+פברואר!G9+מרץ!G9+אפריל!G9+מאי!G9+יוני!G9</f>
        <v>475277.56999999995</v>
      </c>
      <c r="I9" s="172">
        <f t="shared" si="0"/>
        <v>0.13717774335962574</v>
      </c>
      <c r="J9" s="86">
        <f t="shared" si="1"/>
        <v>57332.729999999865</v>
      </c>
      <c r="K9" s="86">
        <f>ינואר!J9+פברואר!J9+מרץ!J9+אפריל!J9+מאי!J9+יוני!J9</f>
        <v>929988.09523809515</v>
      </c>
      <c r="L9" s="172">
        <f t="shared" si="2"/>
        <v>-0.48894230750521639</v>
      </c>
      <c r="M9" s="86">
        <f t="shared" si="3"/>
        <v>-454710.5252380952</v>
      </c>
    </row>
    <row r="10" spans="1:13" x14ac:dyDescent="0.2">
      <c r="A10" s="135">
        <v>10</v>
      </c>
      <c r="B10" s="89" t="s">
        <v>120</v>
      </c>
      <c r="C10" s="89" t="s">
        <v>6</v>
      </c>
      <c r="D10" s="89" t="s">
        <v>6</v>
      </c>
      <c r="E10" s="89" t="s">
        <v>40</v>
      </c>
      <c r="F10" s="86">
        <f>ינואר!E10+פברואר!E10+מרץ!E10+אפריל!E10+מאי!E10+יוני!E10</f>
        <v>92466.78</v>
      </c>
      <c r="G10" s="86">
        <f>ינואר!F10+פברואר!F10+מרץ!F10+אפריל!F10+מאי!F10+יוני!F10</f>
        <v>95557.930000000008</v>
      </c>
      <c r="H10" s="86">
        <f>ינואר!G10+פברואר!G10+מרץ!G10+אפריל!G10+מאי!G10+יוני!G10</f>
        <v>61235.08</v>
      </c>
      <c r="I10" s="172">
        <f t="shared" si="0"/>
        <v>-0.35918369098200431</v>
      </c>
      <c r="J10" s="86">
        <f t="shared" si="1"/>
        <v>-34322.850000000006</v>
      </c>
      <c r="K10" s="86">
        <f>ינואר!J10+פברואר!J10+מרץ!J10+אפריל!J10+מאי!J10+יוני!J10</f>
        <v>92738.095238095237</v>
      </c>
      <c r="L10" s="172">
        <f t="shared" si="2"/>
        <v>-0.33969875224646984</v>
      </c>
      <c r="M10" s="86">
        <f t="shared" si="3"/>
        <v>-31503.015238095235</v>
      </c>
    </row>
    <row r="11" spans="1:13" x14ac:dyDescent="0.2">
      <c r="A11" s="134">
        <v>11</v>
      </c>
      <c r="B11" s="89" t="s">
        <v>117</v>
      </c>
      <c r="C11" s="89" t="s">
        <v>66</v>
      </c>
      <c r="D11" s="89" t="s">
        <v>66</v>
      </c>
      <c r="E11" s="89" t="s">
        <v>40</v>
      </c>
      <c r="F11" s="86">
        <f>ינואר!E11+פברואר!E11+מרץ!E11+אפריל!E11+מאי!E11+יוני!E11</f>
        <v>33477.340000000004</v>
      </c>
      <c r="G11" s="86">
        <f>ינואר!F11+פברואר!F11+מרץ!F11+אפריל!F11+מאי!F11+יוני!F11</f>
        <v>35637.620000000003</v>
      </c>
      <c r="H11" s="86">
        <f>ינואר!G11+פברואר!G11+מרץ!G11+אפריל!G11+מאי!G11+יוני!G11</f>
        <v>34015.410000000003</v>
      </c>
      <c r="I11" s="172">
        <f t="shared" si="0"/>
        <v>-4.5519594181654077E-2</v>
      </c>
      <c r="J11" s="86">
        <f t="shared" si="1"/>
        <v>-1622.2099999999991</v>
      </c>
      <c r="K11" s="86">
        <f>ינואר!J11+פברואר!J11+מרץ!J11+אפריל!J11+מאי!J11+יוני!J11</f>
        <v>46809.523809523802</v>
      </c>
      <c r="L11" s="172">
        <f t="shared" si="2"/>
        <v>-0.27332287894201401</v>
      </c>
      <c r="M11" s="86">
        <f t="shared" si="3"/>
        <v>-12794.113809523798</v>
      </c>
    </row>
    <row r="12" spans="1:13" x14ac:dyDescent="0.2">
      <c r="A12" s="134">
        <v>14</v>
      </c>
      <c r="B12" s="89" t="s">
        <v>116</v>
      </c>
      <c r="C12" s="89" t="s">
        <v>8</v>
      </c>
      <c r="D12" s="89" t="s">
        <v>8</v>
      </c>
      <c r="E12" s="89" t="s">
        <v>40</v>
      </c>
      <c r="F12" s="86">
        <f>ינואר!E12+פברואר!E12+מרץ!E12+אפריל!E12+מאי!E12+יוני!E12</f>
        <v>850.4</v>
      </c>
      <c r="G12" s="86">
        <f>ינואר!F12+פברואר!F12+מרץ!F12+אפריל!F12+מאי!F12+יוני!F12</f>
        <v>2977.14</v>
      </c>
      <c r="H12" s="86">
        <f>ינואר!G12+פברואר!G12+מרץ!G12+אפריל!G12+מאי!G12+יוני!G12</f>
        <v>3576.15</v>
      </c>
      <c r="I12" s="172">
        <f t="shared" si="0"/>
        <v>0.20120316814123629</v>
      </c>
      <c r="J12" s="86">
        <f t="shared" si="1"/>
        <v>599.01000000000022</v>
      </c>
      <c r="K12" s="86">
        <f>ינואר!J12+פברואר!J12+מרץ!J12+אפריל!J12+מאי!J12+יוני!J12</f>
        <v>0</v>
      </c>
      <c r="L12" s="172"/>
      <c r="M12" s="86">
        <f t="shared" si="3"/>
        <v>3576.15</v>
      </c>
    </row>
    <row r="13" spans="1:13" x14ac:dyDescent="0.2">
      <c r="A13" s="134">
        <v>15</v>
      </c>
      <c r="B13" s="89" t="s">
        <v>119</v>
      </c>
      <c r="C13" s="89" t="s">
        <v>151</v>
      </c>
      <c r="D13" s="89" t="s">
        <v>151</v>
      </c>
      <c r="E13" s="89" t="s">
        <v>40</v>
      </c>
      <c r="F13" s="86">
        <f>ינואר!E13+פברואר!E13+מרץ!E13+אפריל!E13+מאי!E13+יוני!E13</f>
        <v>1597.46</v>
      </c>
      <c r="G13" s="86">
        <f>ינואר!F13+פברואר!F13+מרץ!F13+אפריל!F13+מאי!F13+יוני!F13</f>
        <v>0</v>
      </c>
      <c r="H13" s="86">
        <f>ינואר!G13+פברואר!G13+מרץ!G13+אפריל!G13+מאי!G13+יוני!G13</f>
        <v>1896.82</v>
      </c>
      <c r="I13" s="172" t="e">
        <f t="shared" si="0"/>
        <v>#DIV/0!</v>
      </c>
      <c r="J13" s="86">
        <f t="shared" si="1"/>
        <v>1896.82</v>
      </c>
      <c r="K13" s="86">
        <f>ינואר!J13+פברואר!J13+מרץ!J13+אפריל!J13+מאי!J13+יוני!J13</f>
        <v>12500</v>
      </c>
      <c r="L13" s="172">
        <f t="shared" si="2"/>
        <v>-0.84825439999999996</v>
      </c>
      <c r="M13" s="86">
        <f t="shared" si="3"/>
        <v>-10603.18</v>
      </c>
    </row>
    <row r="14" spans="1:13" x14ac:dyDescent="0.2">
      <c r="A14" s="134">
        <v>13</v>
      </c>
      <c r="B14" s="89" t="s">
        <v>114</v>
      </c>
      <c r="C14" s="89" t="s">
        <v>45</v>
      </c>
      <c r="D14" s="89" t="s">
        <v>45</v>
      </c>
      <c r="E14" s="89" t="s">
        <v>40</v>
      </c>
      <c r="F14" s="86">
        <f>ינואר!E14+פברואר!E14+מרץ!E14+אפריל!E14+מאי!E14+יוני!E14</f>
        <v>5854.85</v>
      </c>
      <c r="G14" s="86">
        <f>ינואר!F14+פברואר!F14+מרץ!F14+אפריל!F14+מאי!F14+יוני!F14</f>
        <v>11067.51</v>
      </c>
      <c r="H14" s="86">
        <f>ינואר!G14+פברואר!G14+מרץ!G14+אפריל!G14+מאי!G14+יוני!G14</f>
        <v>7748.72</v>
      </c>
      <c r="I14" s="172">
        <f t="shared" si="0"/>
        <v>-0.29986781127823692</v>
      </c>
      <c r="J14" s="86">
        <f t="shared" si="1"/>
        <v>-3318.79</v>
      </c>
      <c r="K14" s="86">
        <f>ינואר!J14+פברואר!J14+מרץ!J14+אפריל!J14+מאי!J14+יוני!J14</f>
        <v>150000</v>
      </c>
      <c r="L14" s="172">
        <f t="shared" si="2"/>
        <v>-0.94834186666666664</v>
      </c>
      <c r="M14" s="86">
        <f t="shared" si="3"/>
        <v>-142251.28</v>
      </c>
    </row>
    <row r="15" spans="1:13" x14ac:dyDescent="0.2">
      <c r="A15" s="134">
        <v>9</v>
      </c>
      <c r="B15" s="89" t="s">
        <v>118</v>
      </c>
      <c r="C15" s="89" t="s">
        <v>73</v>
      </c>
      <c r="D15" s="89" t="s">
        <v>73</v>
      </c>
      <c r="E15" s="89" t="s">
        <v>40</v>
      </c>
      <c r="F15" s="86">
        <f>ינואר!E15+פברואר!E15+מרץ!E15+אפריל!E15+מאי!E15+יוני!E15</f>
        <v>31917.379999999997</v>
      </c>
      <c r="G15" s="86">
        <f>ינואר!F15+פברואר!F15+מרץ!F15+אפריל!F15+מאי!F15+יוני!F15</f>
        <v>54157.510000000009</v>
      </c>
      <c r="H15" s="86">
        <f>ינואר!G15+פברואר!G15+מרץ!G15+אפריל!G15+מאי!G15+יוני!G15</f>
        <v>89111.1</v>
      </c>
      <c r="I15" s="172">
        <f t="shared" si="0"/>
        <v>0.64540614958110143</v>
      </c>
      <c r="J15" s="86">
        <f t="shared" si="1"/>
        <v>34953.589999999997</v>
      </c>
      <c r="K15" s="86">
        <f>ינואר!J15+פברואר!J15+מרץ!J15+אפריל!J15+מאי!J15+יוני!J15</f>
        <v>97619.047619047604</v>
      </c>
      <c r="L15" s="172">
        <f t="shared" si="2"/>
        <v>-8.715458536585341E-2</v>
      </c>
      <c r="M15" s="86">
        <f t="shared" si="3"/>
        <v>-8507.947619047598</v>
      </c>
    </row>
    <row r="16" spans="1:13" ht="15" x14ac:dyDescent="0.25">
      <c r="A16" s="136"/>
      <c r="B16" s="152"/>
      <c r="C16" s="152" t="s">
        <v>221</v>
      </c>
      <c r="D16" s="152" t="s">
        <v>221</v>
      </c>
      <c r="E16" s="152"/>
      <c r="F16" s="152">
        <f>SUM(F3:F15)</f>
        <v>8404720.7810000014</v>
      </c>
      <c r="G16" s="152">
        <f>SUM(G3:G15)</f>
        <v>8491451.4820000343</v>
      </c>
      <c r="H16" s="152">
        <f>SUM(H3:H15)</f>
        <v>7629549.0470000012</v>
      </c>
      <c r="I16" s="173">
        <f t="shared" si="0"/>
        <v>-0.10150236821432379</v>
      </c>
      <c r="J16" s="152">
        <f>SUM(J3:J15)</f>
        <v>-861902.43500003312</v>
      </c>
      <c r="K16" s="152">
        <f>SUM(K3:K15)</f>
        <v>9970083.333333334</v>
      </c>
      <c r="L16" s="173">
        <f t="shared" si="2"/>
        <v>-0.23475573955416618</v>
      </c>
      <c r="M16" s="152">
        <f>SUM(M3:M15)</f>
        <v>-2340534.2863333318</v>
      </c>
    </row>
    <row r="17" spans="1:13" x14ac:dyDescent="0.2">
      <c r="A17" s="134">
        <v>2</v>
      </c>
      <c r="B17" s="89" t="s">
        <v>111</v>
      </c>
      <c r="C17" s="89" t="s">
        <v>7</v>
      </c>
      <c r="D17" s="89" t="s">
        <v>7</v>
      </c>
      <c r="E17" s="89" t="s">
        <v>40</v>
      </c>
      <c r="F17" s="86">
        <f>ינואר!E17+פברואר!E17+מרץ!E17+אפריל!E17+מאי!E17+יוני!E17</f>
        <v>273767.01999999984</v>
      </c>
      <c r="G17" s="86">
        <f>ינואר!F17+פברואר!F17+מרץ!F17+אפריל!F17+מאי!F17+יוני!F17</f>
        <v>613681.6100000001</v>
      </c>
      <c r="H17" s="86">
        <f>ינואר!G17+פברואר!G17+מרץ!G17+אפריל!G17+מאי!G17+יוני!G17</f>
        <v>2231238.2000000309</v>
      </c>
      <c r="I17" s="172">
        <f>H17/G17-1</f>
        <v>2.6358237946873309</v>
      </c>
      <c r="J17" s="86">
        <f>H17-G17</f>
        <v>1617556.5900000308</v>
      </c>
      <c r="K17" s="86">
        <f>ינואר!J17+פברואר!J17+מרץ!J17+אפריל!J17+מאי!J17+יוני!J17</f>
        <v>3164989.8305084747</v>
      </c>
      <c r="L17" s="172">
        <f>H17/K17-1</f>
        <v>-0.29502515979914889</v>
      </c>
      <c r="M17" s="86">
        <f>H17-K17</f>
        <v>-933751.63050844381</v>
      </c>
    </row>
    <row r="18" spans="1:13" x14ac:dyDescent="0.2">
      <c r="A18" s="134">
        <v>12</v>
      </c>
      <c r="B18" s="89" t="s">
        <v>110</v>
      </c>
      <c r="C18" s="89" t="s">
        <v>65</v>
      </c>
      <c r="D18" s="89" t="s">
        <v>65</v>
      </c>
      <c r="E18" s="89" t="s">
        <v>40</v>
      </c>
      <c r="F18" s="86">
        <f>ינואר!E18+פברואר!E18+מרץ!E18+אפריל!E18+מאי!E18+יוני!E18</f>
        <v>16129.590000000004</v>
      </c>
      <c r="G18" s="86">
        <f>ינואר!F18+פברואר!F18+מרץ!F18+אפריל!F18+מאי!F18+יוני!F18</f>
        <v>17329.150000000001</v>
      </c>
      <c r="H18" s="86">
        <f>ינואר!G18+פברואר!G18+מרץ!G18+אפריל!G18+מאי!G18+יוני!G18</f>
        <v>9807.0200000000023</v>
      </c>
      <c r="I18" s="172">
        <f>H18/G18-1</f>
        <v>-0.43407380050377531</v>
      </c>
      <c r="J18" s="86">
        <f>H18-G18</f>
        <v>-7522.1299999999992</v>
      </c>
      <c r="K18" s="86">
        <f>ינואר!J18+פברואר!J18+מרץ!J18+אפריל!J18+מאי!J18+יוני!J18</f>
        <v>15221.569999999996</v>
      </c>
      <c r="L18" s="172">
        <f>H18/K18-1</f>
        <v>-0.35571560620882048</v>
      </c>
      <c r="M18" s="86">
        <f>H18-K18</f>
        <v>-5414.5499999999938</v>
      </c>
    </row>
    <row r="19" spans="1:13" ht="15" x14ac:dyDescent="0.25">
      <c r="A19" s="135"/>
      <c r="B19" s="152"/>
      <c r="C19" s="152" t="s">
        <v>41</v>
      </c>
      <c r="D19" s="152" t="s">
        <v>41</v>
      </c>
      <c r="E19" s="152"/>
      <c r="F19" s="152">
        <f>F16+F17+F18</f>
        <v>8694617.3910000008</v>
      </c>
      <c r="G19" s="152">
        <f>G16+G17+G18</f>
        <v>9122462.2420000341</v>
      </c>
      <c r="H19" s="152">
        <f>H16+H17+H18</f>
        <v>9870594.2670000307</v>
      </c>
      <c r="I19" s="173">
        <f t="shared" ref="I19:I41" si="4">H19/G19-1</f>
        <v>8.2009879038531741E-2</v>
      </c>
      <c r="J19" s="152">
        <f>J16+J17+J18</f>
        <v>748132.02499999769</v>
      </c>
      <c r="K19" s="152">
        <f>K16+K17+K18</f>
        <v>13150294.733841809</v>
      </c>
      <c r="L19" s="173">
        <f t="shared" ref="L19:L41" si="5">H19/K19-1</f>
        <v>-0.24940128972178754</v>
      </c>
      <c r="M19" s="152">
        <f>M16+M17+M18</f>
        <v>-3279700.4668417755</v>
      </c>
    </row>
    <row r="20" spans="1:13" x14ac:dyDescent="0.2">
      <c r="A20" s="135">
        <v>50</v>
      </c>
      <c r="B20" s="89" t="s">
        <v>92</v>
      </c>
      <c r="C20" s="89" t="s">
        <v>74</v>
      </c>
      <c r="D20" s="89" t="s">
        <v>47</v>
      </c>
      <c r="E20" s="89" t="s">
        <v>38</v>
      </c>
      <c r="F20" s="86">
        <f>ינואר!E20+פברואר!E20+מרץ!E20+אפריל!E20+מאי!E20+יוני!E20</f>
        <v>2057987.0700000003</v>
      </c>
      <c r="G20" s="86">
        <f>ינואר!F20+פברואר!F20+מרץ!F20+אפריל!F20+מאי!F20+יוני!F20</f>
        <v>1174982.8700000001</v>
      </c>
      <c r="H20" s="86">
        <f>ינואר!G20+פברואר!G20+מרץ!G20+אפריל!G20+מאי!G20+יוני!G20</f>
        <v>1254357.4099999999</v>
      </c>
      <c r="I20" s="172">
        <f t="shared" si="4"/>
        <v>6.7553784847943943E-2</v>
      </c>
      <c r="J20" s="86">
        <f t="shared" ref="J20:J39" si="6">H20-G20</f>
        <v>79374.539999999804</v>
      </c>
      <c r="K20" s="86">
        <f>ינואר!J20+פברואר!J20+מרץ!J20+אפריל!J20+מאי!J20+יוני!J20</f>
        <v>2111495.8932375</v>
      </c>
      <c r="L20" s="172">
        <f t="shared" si="5"/>
        <v>-0.4059389771880032</v>
      </c>
      <c r="M20" s="86">
        <f t="shared" ref="M20:M39" si="7">H20-K20</f>
        <v>-857138.48323750007</v>
      </c>
    </row>
    <row r="21" spans="1:13" x14ac:dyDescent="0.2">
      <c r="A21" s="135">
        <v>20</v>
      </c>
      <c r="B21" s="89" t="s">
        <v>93</v>
      </c>
      <c r="C21" s="89" t="s">
        <v>75</v>
      </c>
      <c r="D21" s="89" t="s">
        <v>13</v>
      </c>
      <c r="E21" s="89" t="s">
        <v>39</v>
      </c>
      <c r="F21" s="86">
        <f>ינואר!E21+פברואר!E21+מרץ!E21+אפריל!E21+מאי!E21+יוני!E21</f>
        <v>440395.64</v>
      </c>
      <c r="G21" s="86">
        <f>ינואר!F21+פברואר!F21+מרץ!F21+אפריל!F21+מאי!F21+יוני!F21</f>
        <v>430264.8</v>
      </c>
      <c r="H21" s="86">
        <f>ינואר!G21+פברואר!G21+מרץ!G21+אפריל!G21+מאי!G21+יוני!G21</f>
        <v>342081.02</v>
      </c>
      <c r="I21" s="172">
        <f t="shared" si="4"/>
        <v>-0.20495234562529863</v>
      </c>
      <c r="J21" s="86">
        <f t="shared" si="6"/>
        <v>-88183.77999999997</v>
      </c>
      <c r="K21" s="86">
        <f>ינואר!J21+פברואר!J21+מרץ!J21+אפריל!J21+מאי!J21+יוני!J21</f>
        <v>470400</v>
      </c>
      <c r="L21" s="172">
        <f t="shared" si="5"/>
        <v>-0.27278694727891151</v>
      </c>
      <c r="M21" s="86">
        <f t="shared" si="7"/>
        <v>-128318.97999999998</v>
      </c>
    </row>
    <row r="22" spans="1:13" x14ac:dyDescent="0.2">
      <c r="A22" s="135">
        <v>21</v>
      </c>
      <c r="B22" s="89" t="s">
        <v>94</v>
      </c>
      <c r="C22" s="89" t="s">
        <v>80</v>
      </c>
      <c r="D22" s="89" t="s">
        <v>18</v>
      </c>
      <c r="E22" s="89" t="s">
        <v>19</v>
      </c>
      <c r="F22" s="86">
        <f>ינואר!E22+פברואר!E22+מרץ!E22+אפריל!E22+מאי!E22+יוני!E22</f>
        <v>318922.08</v>
      </c>
      <c r="G22" s="86">
        <f>ינואר!F22+פברואר!F22+מרץ!F22+אפריל!F22+מאי!F22+יוני!F22</f>
        <v>82086.33</v>
      </c>
      <c r="H22" s="86">
        <f>ינואר!G22+פברואר!G22+מרץ!G22+אפריל!G22+מאי!G22+יוני!G22</f>
        <v>333276.52</v>
      </c>
      <c r="I22" s="172">
        <f t="shared" si="4"/>
        <v>3.0600733398606081</v>
      </c>
      <c r="J22" s="86">
        <f t="shared" si="6"/>
        <v>251190.19</v>
      </c>
      <c r="K22" s="86">
        <f>ינואר!J22+פברואר!J22+מרץ!J22+אפריל!J22+מאי!J22+יוני!J22</f>
        <v>301610.27</v>
      </c>
      <c r="L22" s="172">
        <f t="shared" si="5"/>
        <v>0.10499062250101754</v>
      </c>
      <c r="M22" s="86">
        <f t="shared" si="7"/>
        <v>31666.25</v>
      </c>
    </row>
    <row r="23" spans="1:13" x14ac:dyDescent="0.2">
      <c r="A23" s="135">
        <v>22</v>
      </c>
      <c r="B23" s="89" t="s">
        <v>95</v>
      </c>
      <c r="C23" s="89" t="s">
        <v>82</v>
      </c>
      <c r="D23" s="89" t="s">
        <v>14</v>
      </c>
      <c r="E23" s="89" t="s">
        <v>15</v>
      </c>
      <c r="F23" s="86">
        <f>ינואר!E23+פברואר!E23+מרץ!E23+אפריל!E23+מאי!E23+יוני!E23</f>
        <v>236340.62</v>
      </c>
      <c r="G23" s="86">
        <f>ינואר!F23+פברואר!F23+מרץ!F23+אפריל!F23+מאי!F23+יוני!F23</f>
        <v>174270.07</v>
      </c>
      <c r="H23" s="86">
        <f>ינואר!G23+פברואר!G23+מרץ!G23+אפריל!G23+מאי!G23+יוני!G23</f>
        <v>307053.13</v>
      </c>
      <c r="I23" s="172">
        <f t="shared" si="4"/>
        <v>0.76193840973381133</v>
      </c>
      <c r="J23" s="86">
        <f t="shared" si="6"/>
        <v>132783.06</v>
      </c>
      <c r="K23" s="86">
        <f>ינואר!J23+פברואר!J23+מרץ!J23+אפריל!J23+מאי!J23+יוני!J23</f>
        <v>247158.96999999997</v>
      </c>
      <c r="L23" s="172">
        <f t="shared" si="5"/>
        <v>0.24233051302973152</v>
      </c>
      <c r="M23" s="86">
        <f t="shared" si="7"/>
        <v>59894.160000000033</v>
      </c>
    </row>
    <row r="24" spans="1:13" x14ac:dyDescent="0.2">
      <c r="A24" s="135">
        <v>23</v>
      </c>
      <c r="B24" s="89" t="s">
        <v>96</v>
      </c>
      <c r="C24" s="89" t="s">
        <v>78</v>
      </c>
      <c r="D24" s="89" t="s">
        <v>24</v>
      </c>
      <c r="E24" s="89" t="s">
        <v>25</v>
      </c>
      <c r="F24" s="86">
        <f>ינואר!E24+פברואר!E24+מרץ!E24+אפריל!E24+מאי!E24+יוני!E24</f>
        <v>64417.17</v>
      </c>
      <c r="G24" s="86">
        <f>ינואר!F24+פברואר!F24+מרץ!F24+אפריל!F24+מאי!F24+יוני!F24</f>
        <v>41888.1</v>
      </c>
      <c r="H24" s="86">
        <f>ינואר!G24+פברואר!G24+מרץ!G24+אפריל!G24+מאי!G24+יוני!G24</f>
        <v>76678.59</v>
      </c>
      <c r="I24" s="172">
        <f t="shared" si="4"/>
        <v>0.83055784339705063</v>
      </c>
      <c r="J24" s="86">
        <f t="shared" si="6"/>
        <v>34790.49</v>
      </c>
      <c r="K24" s="86">
        <f>ינואר!J24+פברואר!J24+מרץ!J24+אפריל!J24+מאי!J24+יוני!J24</f>
        <v>69774.92</v>
      </c>
      <c r="L24" s="172">
        <f t="shared" si="5"/>
        <v>9.8941998070366743E-2</v>
      </c>
      <c r="M24" s="86">
        <f t="shared" si="7"/>
        <v>6903.6699999999983</v>
      </c>
    </row>
    <row r="25" spans="1:13" x14ac:dyDescent="0.2">
      <c r="A25" s="135">
        <v>24</v>
      </c>
      <c r="B25" s="89" t="s">
        <v>97</v>
      </c>
      <c r="C25" s="89" t="s">
        <v>79</v>
      </c>
      <c r="D25" s="89" t="s">
        <v>27</v>
      </c>
      <c r="E25" s="89" t="s">
        <v>46</v>
      </c>
      <c r="F25" s="86">
        <f>ינואר!E25+פברואר!E25+מרץ!E25+אפריל!E25+מאי!E25+יוני!E25</f>
        <v>116140.04999999999</v>
      </c>
      <c r="G25" s="86">
        <f>ינואר!F25+פברואר!F25+מרץ!F25+אפריל!F25+מאי!F25+יוני!F25</f>
        <v>52899.82</v>
      </c>
      <c r="H25" s="86">
        <f>ינואר!G25+פברואר!G25+מרץ!G25+אפריל!G25+מאי!G25+יוני!G25</f>
        <v>0</v>
      </c>
      <c r="I25" s="172">
        <f t="shared" si="4"/>
        <v>-1</v>
      </c>
      <c r="J25" s="86">
        <f t="shared" si="6"/>
        <v>-52899.82</v>
      </c>
      <c r="K25" s="86">
        <f>ינואר!J25+פברואר!J25+מרץ!J25+אפריל!J25+מאי!J25+יוני!J25</f>
        <v>20000</v>
      </c>
      <c r="L25" s="172">
        <f t="shared" si="5"/>
        <v>-1</v>
      </c>
      <c r="M25" s="86">
        <f t="shared" si="7"/>
        <v>-20000</v>
      </c>
    </row>
    <row r="26" spans="1:13" ht="13.5" customHeight="1" x14ac:dyDescent="0.2">
      <c r="A26" s="135">
        <v>25</v>
      </c>
      <c r="B26" s="89" t="s">
        <v>98</v>
      </c>
      <c r="C26" s="89" t="s">
        <v>87</v>
      </c>
      <c r="D26" s="89" t="s">
        <v>20</v>
      </c>
      <c r="E26" s="89" t="s">
        <v>21</v>
      </c>
      <c r="F26" s="86">
        <f>ינואר!E26+פברואר!E26+מרץ!E26+אפריל!E26+מאי!E26+יוני!E26</f>
        <v>249206.12</v>
      </c>
      <c r="G26" s="86">
        <f>ינואר!F26+פברואר!F26+מרץ!F26+אפריל!F26+מאי!F26+יוני!F26</f>
        <v>172805.93</v>
      </c>
      <c r="H26" s="86">
        <f>ינואר!G26+פברואר!G26+מרץ!G26+אפריל!G26+מאי!G26+יוני!G26</f>
        <v>144147.46999999997</v>
      </c>
      <c r="I26" s="172">
        <f t="shared" si="4"/>
        <v>-0.16584187822721141</v>
      </c>
      <c r="J26" s="86">
        <f t="shared" si="6"/>
        <v>-28658.460000000021</v>
      </c>
      <c r="K26" s="86">
        <f>ינואר!J26+פברואר!J26+מרץ!J26+אפריל!J26+מאי!J26+יוני!J26</f>
        <v>150000</v>
      </c>
      <c r="L26" s="172">
        <f t="shared" si="5"/>
        <v>-3.9016866666666816E-2</v>
      </c>
      <c r="M26" s="86">
        <f t="shared" si="7"/>
        <v>-5852.5300000000279</v>
      </c>
    </row>
    <row r="27" spans="1:13" x14ac:dyDescent="0.2">
      <c r="A27" s="135">
        <v>26</v>
      </c>
      <c r="B27" s="89" t="s">
        <v>99</v>
      </c>
      <c r="C27" s="89" t="s">
        <v>77</v>
      </c>
      <c r="D27" s="89" t="s">
        <v>26</v>
      </c>
      <c r="E27" s="89" t="s">
        <v>28</v>
      </c>
      <c r="F27" s="86">
        <f>ינואר!E27+פברואר!E27+מרץ!E27+אפריל!E27+מאי!E27+יוני!E27</f>
        <v>100166.79</v>
      </c>
      <c r="G27" s="86">
        <f>ינואר!F27+פברואר!F27+מרץ!F27+אפריל!F27+מאי!F27+יוני!F27</f>
        <v>35240.620000000003</v>
      </c>
      <c r="H27" s="86">
        <f>ינואר!G27+פברואר!G27+מרץ!G27+אפריל!G27+מאי!G27+יוני!G27</f>
        <v>60694.009999999995</v>
      </c>
      <c r="I27" s="172">
        <f t="shared" si="4"/>
        <v>0.72227418246330477</v>
      </c>
      <c r="J27" s="86">
        <f t="shared" si="6"/>
        <v>25453.389999999992</v>
      </c>
      <c r="K27" s="86">
        <f>ינואר!J27+פברואר!J27+מרץ!J27+אפריל!J27+מאי!J27+יוני!J27</f>
        <v>120000</v>
      </c>
      <c r="L27" s="172">
        <f t="shared" si="5"/>
        <v>-0.4942165833333334</v>
      </c>
      <c r="M27" s="86">
        <f t="shared" si="7"/>
        <v>-59305.990000000005</v>
      </c>
    </row>
    <row r="28" spans="1:13" ht="13.5" customHeight="1" x14ac:dyDescent="0.2">
      <c r="A28" s="135">
        <v>27</v>
      </c>
      <c r="B28" s="89" t="s">
        <v>100</v>
      </c>
      <c r="C28" s="89" t="s">
        <v>88</v>
      </c>
      <c r="D28" s="89" t="s">
        <v>22</v>
      </c>
      <c r="E28" s="89" t="s">
        <v>23</v>
      </c>
      <c r="F28" s="86">
        <f>ינואר!E28+פברואר!E28+מרץ!E28+אפריל!E28+מאי!E28+יוני!E28</f>
        <v>171813.81000000003</v>
      </c>
      <c r="G28" s="86">
        <f>ינואר!F28+פברואר!F28+מרץ!F28+אפריל!F28+מאי!F28+יוני!F28</f>
        <v>0.22</v>
      </c>
      <c r="H28" s="86">
        <f>ינואר!G28+פברואר!G28+מרץ!G28+אפריל!G28+מאי!G28+יוני!G28</f>
        <v>0</v>
      </c>
      <c r="I28" s="172">
        <f t="shared" si="4"/>
        <v>-1</v>
      </c>
      <c r="J28" s="86">
        <f t="shared" si="6"/>
        <v>-0.22</v>
      </c>
      <c r="K28" s="86">
        <f>ינואר!J28+פברואר!J28+מרץ!J28+אפריל!J28+מאי!J28+יוני!J28</f>
        <v>0</v>
      </c>
      <c r="L28" s="172" t="e">
        <f t="shared" si="5"/>
        <v>#DIV/0!</v>
      </c>
      <c r="M28" s="86">
        <f t="shared" si="7"/>
        <v>0</v>
      </c>
    </row>
    <row r="29" spans="1:13" ht="13.5" customHeight="1" x14ac:dyDescent="0.2">
      <c r="A29" s="135">
        <v>28</v>
      </c>
      <c r="B29" s="89" t="s">
        <v>101</v>
      </c>
      <c r="C29" s="89" t="s">
        <v>89</v>
      </c>
      <c r="D29" s="89" t="s">
        <v>16</v>
      </c>
      <c r="E29" s="89" t="s">
        <v>17</v>
      </c>
      <c r="F29" s="86">
        <f>ינואר!E29+פברואר!E29+מרץ!E29+אפריל!E29+מאי!E29+יוני!E29</f>
        <v>171840.65</v>
      </c>
      <c r="G29" s="86">
        <f>ינואר!F29+פברואר!F29+מרץ!F29+אפריל!F29+מאי!F29+יוני!F29</f>
        <v>188303.07</v>
      </c>
      <c r="H29" s="86">
        <f>ינואר!G29+פברואר!G29+מרץ!G29+אפריל!G29+מאי!G29+יוני!G29</f>
        <v>203207.09</v>
      </c>
      <c r="I29" s="172">
        <f t="shared" si="4"/>
        <v>7.914910787168794E-2</v>
      </c>
      <c r="J29" s="86">
        <f t="shared" si="6"/>
        <v>14904.01999999999</v>
      </c>
      <c r="K29" s="86">
        <f>ינואר!J29+פברואר!J29+מרץ!J29+אפריל!J29+מאי!J29+יוני!J29</f>
        <v>211409.54399999999</v>
      </c>
      <c r="L29" s="172">
        <f t="shared" si="5"/>
        <v>-3.8798882230217546E-2</v>
      </c>
      <c r="M29" s="86">
        <f t="shared" si="7"/>
        <v>-8202.4539999999979</v>
      </c>
    </row>
    <row r="30" spans="1:13" x14ac:dyDescent="0.2">
      <c r="A30" s="135">
        <v>29</v>
      </c>
      <c r="B30" s="89" t="s">
        <v>102</v>
      </c>
      <c r="C30" s="89" t="s">
        <v>81</v>
      </c>
      <c r="D30" s="89" t="s">
        <v>29</v>
      </c>
      <c r="E30" s="89" t="s">
        <v>30</v>
      </c>
      <c r="F30" s="86">
        <f>ינואר!E30+פברואר!E30+מרץ!E30+אפריל!E30+מאי!E30+יוני!E30</f>
        <v>49617.59</v>
      </c>
      <c r="G30" s="86">
        <f>ינואר!F30+פברואר!F30+מרץ!F30+אפריל!F30+מאי!F30+יוני!F30</f>
        <v>32010.18</v>
      </c>
      <c r="H30" s="86">
        <f>ינואר!G30+פברואר!G30+מרץ!G30+אפריל!G30+מאי!G30+יוני!G30</f>
        <v>43116.44</v>
      </c>
      <c r="I30" s="172">
        <f t="shared" si="4"/>
        <v>0.34696024827101879</v>
      </c>
      <c r="J30" s="86">
        <f t="shared" si="6"/>
        <v>11106.260000000002</v>
      </c>
      <c r="K30" s="86">
        <f>ינואר!J30+פברואר!J30+מרץ!J30+אפריל!J30+מאי!J30+יוני!J30</f>
        <v>35000</v>
      </c>
      <c r="L30" s="172">
        <f t="shared" si="5"/>
        <v>0.23189828571428572</v>
      </c>
      <c r="M30" s="86">
        <f t="shared" si="7"/>
        <v>8116.4400000000023</v>
      </c>
    </row>
    <row r="31" spans="1:13" x14ac:dyDescent="0.2">
      <c r="A31" s="135">
        <v>30</v>
      </c>
      <c r="B31" s="89" t="s">
        <v>103</v>
      </c>
      <c r="C31" s="89" t="s">
        <v>76</v>
      </c>
      <c r="D31" s="89" t="s">
        <v>34</v>
      </c>
      <c r="E31" s="89" t="s">
        <v>30</v>
      </c>
      <c r="F31" s="86">
        <f>ינואר!E31+פברואר!E31+מרץ!E31+אפריל!E31+מאי!E31+יוני!E31</f>
        <v>20354.79</v>
      </c>
      <c r="G31" s="86">
        <f>ינואר!F31+פברואר!F31+מרץ!F31+אפריל!F31+מאי!F31+יוני!F31</f>
        <v>38733.300000000003</v>
      </c>
      <c r="H31" s="86">
        <f>ינואר!G31+פברואר!G31+מרץ!G31+אפריל!G31+מאי!G31+יוני!G31</f>
        <v>17809.5</v>
      </c>
      <c r="I31" s="172">
        <f t="shared" si="4"/>
        <v>-0.54020184182602571</v>
      </c>
      <c r="J31" s="86">
        <f t="shared" si="6"/>
        <v>-20923.800000000003</v>
      </c>
      <c r="K31" s="86">
        <f>ינואר!J31+פברואר!J31+מרץ!J31+אפריל!J31+מאי!J31+יוני!J31</f>
        <v>20000</v>
      </c>
      <c r="L31" s="172">
        <f t="shared" si="5"/>
        <v>-0.10952499999999998</v>
      </c>
      <c r="M31" s="86">
        <f t="shared" si="7"/>
        <v>-2190.5</v>
      </c>
    </row>
    <row r="32" spans="1:13" ht="13.5" customHeight="1" x14ac:dyDescent="0.2">
      <c r="A32" s="135">
        <v>31</v>
      </c>
      <c r="B32" s="89" t="s">
        <v>85</v>
      </c>
      <c r="C32" s="89" t="s">
        <v>85</v>
      </c>
      <c r="D32" s="89" t="s">
        <v>32</v>
      </c>
      <c r="E32" s="89" t="s">
        <v>33</v>
      </c>
      <c r="F32" s="86">
        <f>ינואר!E32+פברואר!E32+מרץ!E32+אפריל!E32+מאי!E32+יוני!E32</f>
        <v>0</v>
      </c>
      <c r="G32" s="86">
        <f>ינואר!F32+פברואר!F32+מרץ!F32+אפריל!F32+מאי!F32+יוני!F32</f>
        <v>16024.5</v>
      </c>
      <c r="H32" s="86">
        <f>ינואר!G32+פברואר!G32+מרץ!G32+אפריל!G32+מאי!G32+יוני!G32</f>
        <v>0</v>
      </c>
      <c r="I32" s="172">
        <f t="shared" si="4"/>
        <v>-1</v>
      </c>
      <c r="J32" s="86">
        <f t="shared" si="6"/>
        <v>-16024.5</v>
      </c>
      <c r="K32" s="86">
        <f>ינואר!J32+פברואר!J32+מרץ!J32+אפריל!J32+מאי!J32+יוני!J32</f>
        <v>18000</v>
      </c>
      <c r="L32" s="172">
        <f t="shared" si="5"/>
        <v>-1</v>
      </c>
      <c r="M32" s="86">
        <f t="shared" si="7"/>
        <v>-18000</v>
      </c>
    </row>
    <row r="33" spans="1:13" ht="13.5" customHeight="1" x14ac:dyDescent="0.2">
      <c r="A33" s="135"/>
      <c r="B33" s="89"/>
      <c r="C33" s="89"/>
      <c r="D33" s="89" t="s">
        <v>11</v>
      </c>
      <c r="E33" s="89" t="s">
        <v>12</v>
      </c>
      <c r="F33" s="86">
        <f>ינואר!E33+פברואר!E33+מרץ!E33+אפריל!E33+מאי!E33+יוני!E33</f>
        <v>0</v>
      </c>
      <c r="G33" s="86">
        <f>ינואר!F33+פברואר!F33+מרץ!F33+אפריל!F33+מאי!F33+יוני!F33</f>
        <v>0</v>
      </c>
      <c r="H33" s="86">
        <f>ינואר!G33+פברואר!G33+מרץ!G33+אפריל!G33+מאי!G33+יוני!G33</f>
        <v>0</v>
      </c>
      <c r="I33" s="172" t="e">
        <f t="shared" si="4"/>
        <v>#DIV/0!</v>
      </c>
      <c r="J33" s="86">
        <f t="shared" si="6"/>
        <v>0</v>
      </c>
      <c r="K33" s="86">
        <f>ינואר!J33+פברואר!J33+מרץ!J33+אפריל!J33+מאי!J33+יוני!J33</f>
        <v>0</v>
      </c>
      <c r="L33" s="172" t="e">
        <f t="shared" si="5"/>
        <v>#DIV/0!</v>
      </c>
      <c r="M33" s="86">
        <f t="shared" si="7"/>
        <v>0</v>
      </c>
    </row>
    <row r="34" spans="1:13" ht="13.5" customHeight="1" x14ac:dyDescent="0.2">
      <c r="A34" s="135">
        <v>32</v>
      </c>
      <c r="B34" s="89" t="s">
        <v>104</v>
      </c>
      <c r="C34" s="89" t="s">
        <v>86</v>
      </c>
      <c r="D34" s="89" t="s">
        <v>31</v>
      </c>
      <c r="E34" s="89" t="s">
        <v>49</v>
      </c>
      <c r="F34" s="86">
        <f>ינואר!E34+פברואר!E34+מרץ!E34+אפריל!E34+מאי!E34+יוני!E34</f>
        <v>19941.820000000003</v>
      </c>
      <c r="G34" s="86">
        <f>ינואר!F34+פברואר!F34+מרץ!F34+אפריל!F34+מאי!F34+יוני!F34</f>
        <v>39713.57</v>
      </c>
      <c r="H34" s="86">
        <f>ינואר!G34+פברואר!G34+מרץ!G34+אפריל!G34+מאי!G34+יוני!G34</f>
        <v>18792.66</v>
      </c>
      <c r="I34" s="172">
        <f t="shared" si="4"/>
        <v>-0.5267949972767495</v>
      </c>
      <c r="J34" s="86">
        <f t="shared" si="6"/>
        <v>-20920.91</v>
      </c>
      <c r="K34" s="86">
        <f>ינואר!J34+פברואר!J34+מרץ!J34+אפריל!J34+מאי!J34+יוני!J34</f>
        <v>40000</v>
      </c>
      <c r="L34" s="172">
        <f t="shared" si="5"/>
        <v>-0.53018350000000003</v>
      </c>
      <c r="M34" s="86">
        <f t="shared" si="7"/>
        <v>-21207.34</v>
      </c>
    </row>
    <row r="35" spans="1:13" ht="13.5" customHeight="1" x14ac:dyDescent="0.2">
      <c r="A35" s="135">
        <v>33</v>
      </c>
      <c r="B35" s="89" t="s">
        <v>105</v>
      </c>
      <c r="C35" s="89" t="s">
        <v>83</v>
      </c>
      <c r="D35" s="89" t="s">
        <v>84</v>
      </c>
      <c r="E35" s="89" t="s">
        <v>48</v>
      </c>
      <c r="F35" s="86">
        <f>ינואר!E35+פברואר!E35+מרץ!E35+אפריל!E35+מאי!E35+יוני!E35</f>
        <v>34034.18</v>
      </c>
      <c r="G35" s="86">
        <f>ינואר!F35+פברואר!F35+מרץ!F35+אפריל!F35+מאי!F35+יוני!F35</f>
        <v>30531.53</v>
      </c>
      <c r="H35" s="86">
        <f>ינואר!G35+פברואר!G35+מרץ!G35+אפריל!G35+מאי!G35+יוני!G35</f>
        <v>0</v>
      </c>
      <c r="I35" s="172">
        <f t="shared" si="4"/>
        <v>-1</v>
      </c>
      <c r="J35" s="86">
        <f t="shared" si="6"/>
        <v>-30531.53</v>
      </c>
      <c r="K35" s="86">
        <f>ינואר!J35+פברואר!J35+מרץ!J35+אפריל!J35+מאי!J35+יוני!J35</f>
        <v>40000</v>
      </c>
      <c r="L35" s="172">
        <f t="shared" si="5"/>
        <v>-1</v>
      </c>
      <c r="M35" s="86">
        <f t="shared" si="7"/>
        <v>-40000</v>
      </c>
    </row>
    <row r="36" spans="1:13" x14ac:dyDescent="0.2">
      <c r="A36" s="135"/>
      <c r="B36" s="89" t="s">
        <v>107</v>
      </c>
      <c r="C36" s="89" t="s">
        <v>107</v>
      </c>
      <c r="D36" s="89" t="s">
        <v>37</v>
      </c>
      <c r="E36" s="89" t="s">
        <v>17</v>
      </c>
      <c r="F36" s="86">
        <f>ינואר!E36+פברואר!E36+מרץ!E36+אפריל!E36+מאי!E36+יוני!E36</f>
        <v>41531.96</v>
      </c>
      <c r="G36" s="86">
        <f>ינואר!F36+פברואר!F36+מרץ!F36+אפריל!F36+מאי!F36+יוני!F36</f>
        <v>0</v>
      </c>
      <c r="H36" s="86">
        <f>ינואר!G36+פברואר!G36+מרץ!G36+אפריל!G36+מאי!G36+יוני!G36</f>
        <v>0</v>
      </c>
      <c r="I36" s="172" t="e">
        <f t="shared" si="4"/>
        <v>#DIV/0!</v>
      </c>
      <c r="J36" s="86">
        <f t="shared" si="6"/>
        <v>0</v>
      </c>
      <c r="K36" s="86">
        <f>ינואר!J36+פברואר!J36+מרץ!J36+אפריל!J36+מאי!J36+יוני!J36</f>
        <v>0</v>
      </c>
      <c r="L36" s="172" t="e">
        <f t="shared" si="5"/>
        <v>#DIV/0!</v>
      </c>
      <c r="M36" s="86">
        <f t="shared" si="7"/>
        <v>0</v>
      </c>
    </row>
    <row r="37" spans="1:13" x14ac:dyDescent="0.2">
      <c r="A37" s="135">
        <v>34</v>
      </c>
      <c r="B37" s="89" t="s">
        <v>108</v>
      </c>
      <c r="C37" s="89" t="s">
        <v>108</v>
      </c>
      <c r="D37" s="89" t="s">
        <v>35</v>
      </c>
      <c r="E37" s="89" t="s">
        <v>36</v>
      </c>
      <c r="F37" s="86">
        <f>ינואר!E37+פברואר!E37+מרץ!E37+אפריל!E37+מאי!E37+יוני!E37</f>
        <v>22310.959999999999</v>
      </c>
      <c r="G37" s="86">
        <f>ינואר!F37+פברואר!F37+מרץ!F37+אפריל!F37+מאי!F37+יוני!F37</f>
        <v>0</v>
      </c>
      <c r="H37" s="86">
        <f>ינואר!G37+פברואר!G37+מרץ!G37+אפריל!G37+מאי!G37+יוני!G37</f>
        <v>0</v>
      </c>
      <c r="I37" s="172" t="e">
        <f t="shared" si="4"/>
        <v>#DIV/0!</v>
      </c>
      <c r="J37" s="86">
        <f t="shared" si="6"/>
        <v>0</v>
      </c>
      <c r="K37" s="86">
        <f>ינואר!J37+פברואר!J37+מרץ!J37+אפריל!J37+מאי!J37+יוני!J37</f>
        <v>0</v>
      </c>
      <c r="L37" s="172" t="e">
        <f t="shared" si="5"/>
        <v>#DIV/0!</v>
      </c>
      <c r="M37" s="86">
        <f t="shared" si="7"/>
        <v>0</v>
      </c>
    </row>
    <row r="38" spans="1:13" ht="13.5" customHeight="1" x14ac:dyDescent="0.2">
      <c r="A38" s="135">
        <v>35</v>
      </c>
      <c r="B38" s="89" t="s">
        <v>109</v>
      </c>
      <c r="C38" s="89" t="s">
        <v>109</v>
      </c>
      <c r="D38" s="89" t="s">
        <v>70</v>
      </c>
      <c r="E38" s="89" t="s">
        <v>38</v>
      </c>
      <c r="F38" s="86">
        <f>ינואר!E38+פברואר!E38+מרץ!E38+אפריל!E38+מאי!E38+יוני!E38</f>
        <v>0</v>
      </c>
      <c r="G38" s="86">
        <f>ינואר!F38+פברואר!F38+מרץ!F38+אפריל!F38+מאי!F38+יוני!F38</f>
        <v>248.59</v>
      </c>
      <c r="H38" s="86">
        <f>ינואר!G38+פברואר!G38+מרץ!G38+אפריל!G38+מאי!G38+יוני!G38</f>
        <v>0</v>
      </c>
      <c r="I38" s="172">
        <f t="shared" si="4"/>
        <v>-1</v>
      </c>
      <c r="J38" s="86">
        <f t="shared" si="6"/>
        <v>-248.59</v>
      </c>
      <c r="K38" s="86">
        <f>ינואר!J38+פברואר!J38+מרץ!J38+אפריל!J38+מאי!J38+יוני!J38</f>
        <v>200000</v>
      </c>
      <c r="L38" s="172">
        <f t="shared" si="5"/>
        <v>-1</v>
      </c>
      <c r="M38" s="86">
        <f t="shared" si="7"/>
        <v>-200000</v>
      </c>
    </row>
    <row r="39" spans="1:13" ht="13.5" customHeight="1" x14ac:dyDescent="0.2">
      <c r="A39" s="135">
        <v>36</v>
      </c>
      <c r="B39" s="89"/>
      <c r="C39" s="89" t="s">
        <v>91</v>
      </c>
      <c r="D39" s="89" t="s">
        <v>91</v>
      </c>
      <c r="E39" s="89"/>
      <c r="F39" s="86">
        <f>ינואר!E39+פברואר!E39+מרץ!E39+אפריל!E39+מאי!E39+יוני!E39</f>
        <v>0</v>
      </c>
      <c r="G39" s="86">
        <f>ינואר!F39+פברואר!F39+מרץ!F39+אפריל!F39+מאי!F39+יוני!F39</f>
        <v>0</v>
      </c>
      <c r="H39" s="86">
        <f>ינואר!G39+פברואר!G39+מרץ!G39+אפריל!G39+מאי!G39+יוני!G39</f>
        <v>0</v>
      </c>
      <c r="I39" s="172" t="e">
        <f t="shared" si="4"/>
        <v>#DIV/0!</v>
      </c>
      <c r="J39" s="86">
        <f t="shared" si="6"/>
        <v>0</v>
      </c>
      <c r="K39" s="86">
        <f>ינואר!J39+פברואר!J39+מרץ!J39+אפריל!J39+מאי!J39+יוני!J39</f>
        <v>200000</v>
      </c>
      <c r="L39" s="172">
        <f t="shared" si="5"/>
        <v>-1</v>
      </c>
      <c r="M39" s="86">
        <f t="shared" si="7"/>
        <v>-200000</v>
      </c>
    </row>
    <row r="40" spans="1:13" ht="15" x14ac:dyDescent="0.25">
      <c r="A40" s="135"/>
      <c r="B40" s="157"/>
      <c r="C40" s="157" t="s">
        <v>42</v>
      </c>
      <c r="D40" s="157" t="s">
        <v>42</v>
      </c>
      <c r="E40" s="157"/>
      <c r="F40" s="157">
        <f>SUM(F20:F39)</f>
        <v>4115021.3000000003</v>
      </c>
      <c r="G40" s="157">
        <f>SUM(G20:G39)</f>
        <v>2510003.5</v>
      </c>
      <c r="H40" s="157">
        <f>SUM(H20:H39)</f>
        <v>2801213.8399999994</v>
      </c>
      <c r="I40" s="97">
        <f t="shared" si="4"/>
        <v>0.11601989399616341</v>
      </c>
      <c r="J40" s="157">
        <f>SUM(J20:J39)</f>
        <v>291210.33999999979</v>
      </c>
      <c r="K40" s="157">
        <f>SUM(K20:K39)</f>
        <v>4254849.5972374994</v>
      </c>
      <c r="L40" s="97">
        <f t="shared" si="5"/>
        <v>-0.34164210132863138</v>
      </c>
      <c r="M40" s="157">
        <f>SUM(M20:M39)</f>
        <v>-1453635.7572375</v>
      </c>
    </row>
    <row r="41" spans="1:13" ht="15" x14ac:dyDescent="0.25">
      <c r="A41" s="135"/>
      <c r="B41" s="159"/>
      <c r="C41" s="159" t="s">
        <v>69</v>
      </c>
      <c r="D41" s="159" t="s">
        <v>69</v>
      </c>
      <c r="E41" s="159"/>
      <c r="F41" s="159">
        <f>F40+F19</f>
        <v>12809638.691000002</v>
      </c>
      <c r="G41" s="159">
        <f>G40+G19</f>
        <v>11632465.742000034</v>
      </c>
      <c r="H41" s="159">
        <f>H40+H19</f>
        <v>12671808.107000031</v>
      </c>
      <c r="I41" s="50">
        <f t="shared" si="4"/>
        <v>8.9348414003693089E-2</v>
      </c>
      <c r="J41" s="159">
        <f>J40+J19</f>
        <v>1039342.3649999974</v>
      </c>
      <c r="K41" s="159">
        <f>K40+K19</f>
        <v>17405144.331079308</v>
      </c>
      <c r="L41" s="50">
        <f t="shared" si="5"/>
        <v>-0.27195041500616846</v>
      </c>
      <c r="M41" s="159">
        <f>M40+M19</f>
        <v>-4733336.2240792755</v>
      </c>
    </row>
    <row r="42" spans="1:13" ht="15" x14ac:dyDescent="0.25">
      <c r="B42" s="177"/>
      <c r="C42" s="177" t="s">
        <v>43</v>
      </c>
      <c r="D42" s="177" t="s">
        <v>43</v>
      </c>
      <c r="E42" s="177"/>
      <c r="F42" s="179">
        <f>F40/F41</f>
        <v>0.32124413492561638</v>
      </c>
      <c r="G42" s="179">
        <f>G40/G41</f>
        <v>0.21577570531219473</v>
      </c>
      <c r="H42" s="179">
        <f>H40/H41</f>
        <v>0.22105873260916739</v>
      </c>
      <c r="I42" s="179"/>
      <c r="J42" s="179"/>
      <c r="K42" s="179">
        <f>K40-ינואר!J40-פברואר!J40-מרץ!J40-אפריל!J40-מאי!J40-יוני!J40</f>
        <v>-9.3132257461547852E-10</v>
      </c>
      <c r="L42" s="179"/>
      <c r="M42" s="179"/>
    </row>
    <row r="43" spans="1:13" x14ac:dyDescent="0.2">
      <c r="F43">
        <f>F41-ינואר!E41-פברואר!E41-מרץ!E41-אפריל!E41-מאי!E41-יוני!E41</f>
        <v>2.5611370801925659E-9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D461-E942-4CD6-ACB8-9411CAE51CF2}">
  <dimension ref="A1:L43"/>
  <sheetViews>
    <sheetView rightToLeft="1" workbookViewId="0">
      <pane xSplit="4" ySplit="2" topLeftCell="E28" activePane="bottomRight" state="frozen"/>
      <selection activeCell="J13" sqref="J13"/>
      <selection pane="topRight" activeCell="J13" sqref="J13"/>
      <selection pane="bottomLeft" activeCell="J13" sqref="J13"/>
      <selection pane="bottomRight" activeCell="G37" sqref="G37"/>
    </sheetView>
  </sheetViews>
  <sheetFormatPr defaultRowHeight="14.25" x14ac:dyDescent="0.2"/>
  <cols>
    <col min="1" max="1" width="18.125" hidden="1" customWidth="1"/>
    <col min="2" max="2" width="17.375" customWidth="1"/>
    <col min="3" max="3" width="21.375" customWidth="1"/>
    <col min="4" max="4" width="11.375" style="1" customWidth="1"/>
    <col min="5" max="7" width="11.625" customWidth="1"/>
    <col min="8" max="8" width="11.875" style="51" bestFit="1" customWidth="1"/>
    <col min="9" max="9" width="16.75" bestFit="1" customWidth="1"/>
    <col min="10" max="10" width="14.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187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 t="s">
        <v>138</v>
      </c>
      <c r="F2" s="30" t="s">
        <v>205</v>
      </c>
      <c r="G2" s="30" t="s">
        <v>219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ינואר!E3+פברואר!E3+מרץ!E3</f>
        <v>346988.66000000003</v>
      </c>
      <c r="F3" s="9">
        <f>ינואר!F3+פברואר!F3+מרץ!F3</f>
        <v>358245.80000000005</v>
      </c>
      <c r="G3" s="9">
        <f>ינואר!G3+פברואר!G3+מרץ!G3</f>
        <v>550736.34</v>
      </c>
      <c r="H3" s="49">
        <f t="shared" ref="H3:H16" si="0">G3/F3-1</f>
        <v>0.53731415692800844</v>
      </c>
      <c r="I3" s="11">
        <f t="shared" ref="I3:I15" si="1">G3-F3</f>
        <v>192490.53999999992</v>
      </c>
      <c r="J3" s="9">
        <f>ינואר!J3+פברואר!J3+מרץ!J3</f>
        <v>538412.69841269846</v>
      </c>
      <c r="K3" s="49">
        <f t="shared" ref="K3:K16" si="2">G3/J3-1</f>
        <v>2.2888839033018638E-2</v>
      </c>
      <c r="L3" s="13">
        <f t="shared" ref="L3:L15" si="3">G3-J3</f>
        <v>12323.641587301507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ינואר!E4+פברואר!E4+מרץ!E4</f>
        <v>1316829.3319999999</v>
      </c>
      <c r="F4" s="9">
        <f>ינואר!F4+פברואר!F4+מרץ!F4</f>
        <v>1515626.117900009</v>
      </c>
      <c r="G4" s="9">
        <f>ינואר!G4+פברואר!G4+מרץ!G4</f>
        <v>1311982.763</v>
      </c>
      <c r="H4" s="49">
        <f t="shared" si="0"/>
        <v>-0.13436252680982375</v>
      </c>
      <c r="I4" s="11">
        <f t="shared" si="1"/>
        <v>-203643.354900009</v>
      </c>
      <c r="J4" s="9">
        <f>ינואר!J4+פברואר!J4+מרץ!J4</f>
        <v>1680031.7460317458</v>
      </c>
      <c r="K4" s="49">
        <f t="shared" si="2"/>
        <v>-0.21907263591957815</v>
      </c>
      <c r="L4" s="13">
        <f t="shared" si="3"/>
        <v>-368048.98303174577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ינואר!E5+פברואר!E5+מרץ!E5</f>
        <v>244255.10200000001</v>
      </c>
      <c r="F5" s="9">
        <f>ינואר!F5+פברואר!F5+מרץ!F5</f>
        <v>178709.44</v>
      </c>
      <c r="G5" s="9">
        <f>ינואר!G5+פברואר!G5+מרץ!G5</f>
        <v>195880.23</v>
      </c>
      <c r="H5" s="49">
        <f t="shared" si="0"/>
        <v>9.6082165553202037E-2</v>
      </c>
      <c r="I5" s="11">
        <f t="shared" si="1"/>
        <v>17170.790000000008</v>
      </c>
      <c r="J5" s="9">
        <f>ינואר!J5+פברואר!J5+מרץ!J5</f>
        <v>228571.42857142858</v>
      </c>
      <c r="K5" s="49">
        <f t="shared" si="2"/>
        <v>-0.14302399374999997</v>
      </c>
      <c r="L5" s="13">
        <f t="shared" si="3"/>
        <v>-32691.198571428569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ינואר!E6+פברואר!E6+מרץ!E6</f>
        <v>483341.147</v>
      </c>
      <c r="F6" s="9">
        <f>ינואר!F6+פברואר!F6+מרץ!F6</f>
        <v>422582.23410000111</v>
      </c>
      <c r="G6" s="9">
        <f>ינואר!G6+פברואר!G6+מרץ!G6</f>
        <v>455568.58700000006</v>
      </c>
      <c r="H6" s="49">
        <f t="shared" si="0"/>
        <v>7.8059014880859756E-2</v>
      </c>
      <c r="I6" s="11">
        <f t="shared" si="1"/>
        <v>32986.35289999895</v>
      </c>
      <c r="J6" s="9">
        <f>ינואר!J6+פברואר!J6+מרץ!J6</f>
        <v>482539.68253968249</v>
      </c>
      <c r="K6" s="49">
        <f t="shared" si="2"/>
        <v>-5.5894046677631315E-2</v>
      </c>
      <c r="L6" s="13">
        <f t="shared" si="3"/>
        <v>-26971.095539682428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ינואר!E7+פברואר!E7+מרץ!E7</f>
        <v>1189769.5</v>
      </c>
      <c r="F7" s="9">
        <f>ינואר!F7+פברואר!F7+מרץ!F7</f>
        <v>1074384</v>
      </c>
      <c r="G7" s="9">
        <f>ינואר!G7+פברואר!G7+מרץ!G7</f>
        <v>863414.10000000009</v>
      </c>
      <c r="H7" s="49">
        <f t="shared" si="0"/>
        <v>-0.19636359067149167</v>
      </c>
      <c r="I7" s="11">
        <f t="shared" si="1"/>
        <v>-210969.89999999991</v>
      </c>
      <c r="J7" s="9">
        <f>ינואר!J7+פברואר!J7+מרץ!J7</f>
        <v>1095000</v>
      </c>
      <c r="K7" s="49">
        <f t="shared" si="2"/>
        <v>-0.21149397260273961</v>
      </c>
      <c r="L7" s="13">
        <f t="shared" si="3"/>
        <v>-231585.89999999991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ינואר!E8+פברואר!E8+מרץ!E8</f>
        <v>243735.37</v>
      </c>
      <c r="F8" s="9">
        <f>ינואר!F8+פברואר!F8+מרץ!F8</f>
        <v>214483.08000000002</v>
      </c>
      <c r="G8" s="9">
        <f>ינואר!G8+פברואר!G8+מרץ!G8</f>
        <v>175029.46000000002</v>
      </c>
      <c r="H8" s="49">
        <f t="shared" si="0"/>
        <v>-0.18394747035523729</v>
      </c>
      <c r="I8" s="11">
        <f t="shared" si="1"/>
        <v>-39453.619999999995</v>
      </c>
      <c r="J8" s="9">
        <f>ינואר!J8+פברואר!J8+מרץ!J8</f>
        <v>303968.25396825396</v>
      </c>
      <c r="K8" s="49">
        <f t="shared" si="2"/>
        <v>-0.42418506631853781</v>
      </c>
      <c r="L8" s="13">
        <f t="shared" si="3"/>
        <v>-128938.79396825394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ינואר!E9+פברואר!E9+מרץ!E9</f>
        <v>264967.26</v>
      </c>
      <c r="F9" s="9">
        <f>ינואר!F9+פברואר!F9+מרץ!F9</f>
        <v>184543.23000000004</v>
      </c>
      <c r="G9" s="9">
        <f>ינואר!G9+פברואר!G9+מרץ!G9</f>
        <v>216851.40000000002</v>
      </c>
      <c r="H9" s="49">
        <f t="shared" si="0"/>
        <v>0.1750710118165808</v>
      </c>
      <c r="I9" s="11">
        <f t="shared" si="1"/>
        <v>32308.169999999984</v>
      </c>
      <c r="J9" s="9">
        <f>ינואר!J9+פברואר!J9+מרץ!J9</f>
        <v>443253.96825396823</v>
      </c>
      <c r="K9" s="49">
        <f t="shared" si="2"/>
        <v>-0.51077392300805724</v>
      </c>
      <c r="L9" s="13">
        <f t="shared" si="3"/>
        <v>-226402.5682539682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ינואר!E10+פברואר!E10+מרץ!E10</f>
        <v>48538.67</v>
      </c>
      <c r="F10" s="9">
        <f>ינואר!F10+פברואר!F10+מרץ!F10</f>
        <v>55293.41</v>
      </c>
      <c r="G10" s="9">
        <f>ינואר!G10+פברואר!G10+מרץ!G10</f>
        <v>36206.99</v>
      </c>
      <c r="H10" s="49">
        <f t="shared" si="0"/>
        <v>-0.3451843537955066</v>
      </c>
      <c r="I10" s="11">
        <f t="shared" si="1"/>
        <v>-19086.420000000006</v>
      </c>
      <c r="J10" s="9">
        <f>ינואר!J10+פברואר!J10+מרץ!J10</f>
        <v>48253.968253968254</v>
      </c>
      <c r="K10" s="49">
        <f t="shared" si="2"/>
        <v>-0.24965777302631587</v>
      </c>
      <c r="L10" s="13">
        <f t="shared" si="3"/>
        <v>-12046.978253968256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ינואר!E11+פברואר!E11+מרץ!E11</f>
        <v>9240.76</v>
      </c>
      <c r="F11" s="9">
        <f>ינואר!F11+פברואר!F11+מרץ!F11</f>
        <v>21423.82</v>
      </c>
      <c r="G11" s="9">
        <f>ינואר!G11+פברואר!G11+מרץ!G11</f>
        <v>12409.920000000002</v>
      </c>
      <c r="H11" s="49">
        <f t="shared" si="0"/>
        <v>-0.42074195918374957</v>
      </c>
      <c r="I11" s="11">
        <f t="shared" si="1"/>
        <v>-9013.8999999999978</v>
      </c>
      <c r="J11" s="9">
        <f>ינואר!J11+פברואר!J11+מרץ!J11</f>
        <v>23396.825396825396</v>
      </c>
      <c r="K11" s="49">
        <f t="shared" si="2"/>
        <v>-0.46958957937584789</v>
      </c>
      <c r="L11" s="13">
        <f t="shared" si="3"/>
        <v>-10986.905396825394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ינואר!E12+פברואר!E12+מרץ!E12</f>
        <v>0</v>
      </c>
      <c r="F12" s="9">
        <f>ינואר!F12+פברואר!F12+מרץ!F12</f>
        <v>1732.3</v>
      </c>
      <c r="G12" s="9">
        <f>ינואר!G12+פברואר!G12+מרץ!G12</f>
        <v>1917.1599999999999</v>
      </c>
      <c r="H12" s="49">
        <f t="shared" si="0"/>
        <v>0.10671361773364896</v>
      </c>
      <c r="I12" s="11">
        <f t="shared" si="1"/>
        <v>184.8599999999999</v>
      </c>
      <c r="J12" s="9">
        <f>ינואר!J12+פברואר!J12+מרץ!J12</f>
        <v>0</v>
      </c>
      <c r="K12" s="49"/>
      <c r="L12" s="13">
        <f t="shared" si="3"/>
        <v>1917.1599999999999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ינואר!E13+פברואר!E13+מרץ!E13</f>
        <v>0</v>
      </c>
      <c r="F13" s="9">
        <f>ינואר!F13+פברואר!F13+מרץ!F13</f>
        <v>0</v>
      </c>
      <c r="G13" s="9">
        <f>ינואר!G13+פברואר!G13+מרץ!G13</f>
        <v>0</v>
      </c>
      <c r="H13" s="49" t="e">
        <f t="shared" si="0"/>
        <v>#DIV/0!</v>
      </c>
      <c r="I13" s="11">
        <f t="shared" si="1"/>
        <v>0</v>
      </c>
      <c r="J13" s="9">
        <f>ינואר!J13+פברואר!J13+מרץ!J13</f>
        <v>0</v>
      </c>
      <c r="K13" s="49"/>
      <c r="L13" s="13">
        <f t="shared" si="3"/>
        <v>0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ינואר!E14+פברואר!E14+מרץ!E14</f>
        <v>1275.21</v>
      </c>
      <c r="F14" s="9">
        <f>ינואר!F14+פברואר!F14+מרץ!F14</f>
        <v>11067.51</v>
      </c>
      <c r="G14" s="9">
        <f>ינואר!G14+פברואר!G14+מרץ!G14</f>
        <v>3470.98</v>
      </c>
      <c r="H14" s="49">
        <f t="shared" si="0"/>
        <v>-0.68638112818511121</v>
      </c>
      <c r="I14" s="11">
        <f t="shared" si="1"/>
        <v>-7596.5300000000007</v>
      </c>
      <c r="J14" s="9">
        <f>ינואר!J14+פברואר!J14+מרץ!J14</f>
        <v>0</v>
      </c>
      <c r="K14" s="49"/>
      <c r="L14" s="13">
        <f t="shared" si="3"/>
        <v>3470.98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ינואר!E15+פברואר!E15+מרץ!E15</f>
        <v>20179.98</v>
      </c>
      <c r="F15" s="9">
        <f>ינואר!F15+פברואר!F15+מרץ!F15</f>
        <v>29853.9</v>
      </c>
      <c r="G15" s="9">
        <f>ינואר!G15+פברואר!G15+מרץ!G15</f>
        <v>33410.51</v>
      </c>
      <c r="H15" s="49">
        <f t="shared" si="0"/>
        <v>0.11913384850890507</v>
      </c>
      <c r="I15" s="11">
        <f t="shared" si="1"/>
        <v>3556.6100000000006</v>
      </c>
      <c r="J15" s="9">
        <f>ינואר!J15+פברואר!J15+מרץ!J15</f>
        <v>50793.650793650791</v>
      </c>
      <c r="K15" s="49">
        <f t="shared" si="2"/>
        <v>-0.34223058437499998</v>
      </c>
      <c r="L15" s="13">
        <f t="shared" si="3"/>
        <v>-17383.140793650789</v>
      </c>
    </row>
    <row r="16" spans="1:12" ht="15" x14ac:dyDescent="0.25">
      <c r="B16" s="277" t="s">
        <v>221</v>
      </c>
      <c r="C16" s="278"/>
      <c r="D16" s="278"/>
      <c r="E16" s="67">
        <f>SUM(E3:E15)</f>
        <v>4169120.9909999999</v>
      </c>
      <c r="F16" s="67">
        <f>SUM(F3:F15)</f>
        <v>4067944.8420000095</v>
      </c>
      <c r="G16" s="67">
        <f>SUM(G3:G15)</f>
        <v>3856878.44</v>
      </c>
      <c r="H16" s="68">
        <f t="shared" si="0"/>
        <v>-5.1885266442363687E-2</v>
      </c>
      <c r="I16" s="67">
        <f>SUM(I3:I15)</f>
        <v>-211066.40200001007</v>
      </c>
      <c r="J16" s="67">
        <f>SUM(J3:J15)</f>
        <v>4894222.222222222</v>
      </c>
      <c r="K16" s="68">
        <f t="shared" si="2"/>
        <v>-0.21195273428986561</v>
      </c>
      <c r="L16" s="67">
        <f>SUM(L3:L15)</f>
        <v>-1037343.7822222216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ינואר!E17+פברואר!E17+מרץ!E17</f>
        <v>128416.34999999993</v>
      </c>
      <c r="F17" s="9">
        <f>ינואר!F17+פברואר!F17+מרץ!F17</f>
        <v>289038.58999999939</v>
      </c>
      <c r="G17" s="9">
        <f>ינואר!G17+פברואר!G17+מרץ!G17</f>
        <v>858282.39000001037</v>
      </c>
      <c r="H17" s="49">
        <f>G17/F17-1</f>
        <v>1.969438752105773</v>
      </c>
      <c r="I17" s="11">
        <f>G17-F17</f>
        <v>569243.80000001099</v>
      </c>
      <c r="J17" s="9">
        <f>ינואר!J17+פברואר!J17+מרץ!J17</f>
        <v>1230932.2033898307</v>
      </c>
      <c r="K17" s="49">
        <f>G17/J17-1</f>
        <v>-0.30273788626505194</v>
      </c>
      <c r="L17" s="13">
        <f>G17-J17</f>
        <v>-372649.81338982028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ינואר!E18+פברואר!E18+מרץ!E18</f>
        <v>6344.0600000000013</v>
      </c>
      <c r="F18" s="9">
        <f>ינואר!F18+פברואר!F18+מרץ!F18</f>
        <v>8798.68</v>
      </c>
      <c r="G18" s="9">
        <f>ינואר!G18+פברואר!G18+מרץ!G18</f>
        <v>5087.0300000000007</v>
      </c>
      <c r="H18" s="49">
        <f>G18/F18-1</f>
        <v>-0.42184168534371058</v>
      </c>
      <c r="I18" s="11">
        <f>G18-F18</f>
        <v>-3711.6499999999996</v>
      </c>
      <c r="J18" s="9">
        <f>ינואר!J18+פברואר!J18+מרץ!J18</f>
        <v>7610.7849999999971</v>
      </c>
      <c r="K18" s="49">
        <f>G18/J18-1</f>
        <v>-0.33160245625122731</v>
      </c>
      <c r="L18" s="13">
        <f>G18-J18</f>
        <v>-2523.7549999999965</v>
      </c>
    </row>
    <row r="19" spans="1:12" ht="15" x14ac:dyDescent="0.25">
      <c r="B19" s="266" t="s">
        <v>41</v>
      </c>
      <c r="C19" s="267"/>
      <c r="D19" s="267"/>
      <c r="E19" s="12">
        <f>E16+E17+E18</f>
        <v>4303881.4009999996</v>
      </c>
      <c r="F19" s="12">
        <f>F16+F17+F18</f>
        <v>4365782.112000009</v>
      </c>
      <c r="G19" s="12">
        <f>G16+G17+G18</f>
        <v>4720247.8600000106</v>
      </c>
      <c r="H19" s="50">
        <f t="shared" ref="H19:H41" si="4">G19/F19-1</f>
        <v>8.1191809143589477E-2</v>
      </c>
      <c r="I19" s="12">
        <f>I16+I17+I18</f>
        <v>354465.74800000089</v>
      </c>
      <c r="J19" s="12">
        <f>J16+J17+J18</f>
        <v>6132765.2106120531</v>
      </c>
      <c r="K19" s="50">
        <f t="shared" ref="K19:K41" si="5">G19/J19-1</f>
        <v>-0.23032307647581907</v>
      </c>
      <c r="L19" s="12">
        <f>L16+L17+L18</f>
        <v>-1412517.3506120418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ינואר!E20+פברואר!E20+מרץ!E20</f>
        <v>1103838.6000000001</v>
      </c>
      <c r="F20" s="9">
        <f>ינואר!F20+פברואר!F20+מרץ!F20</f>
        <v>615682.31000000006</v>
      </c>
      <c r="G20" s="9">
        <f>ינואר!G20+פברואר!G20+מרץ!G20</f>
        <v>586175.55000000005</v>
      </c>
      <c r="H20" s="49">
        <f t="shared" si="4"/>
        <v>-4.7925300955942718E-2</v>
      </c>
      <c r="I20" s="11">
        <f t="shared" ref="I20:I39" si="6">G20-F20</f>
        <v>-29506.760000000009</v>
      </c>
      <c r="J20" s="9">
        <f>ינואר!J20+פברואר!J20+מרץ!J20</f>
        <v>917409.47883749998</v>
      </c>
      <c r="K20" s="49">
        <f t="shared" si="5"/>
        <v>-0.36105352787200828</v>
      </c>
      <c r="L20" s="13">
        <f t="shared" ref="L20:L39" si="7">G20-J20</f>
        <v>-331233.92883749993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ינואר!E21+פברואר!E21+מרץ!E21</f>
        <v>256045.17</v>
      </c>
      <c r="F21" s="9">
        <f>ינואר!F21+פברואר!F21+מרץ!F21</f>
        <v>213082.56</v>
      </c>
      <c r="G21" s="9">
        <f>ינואר!G21+פברואר!G21+מרץ!G21</f>
        <v>137198.20000000001</v>
      </c>
      <c r="H21" s="49">
        <f t="shared" si="4"/>
        <v>-0.35612656427630673</v>
      </c>
      <c r="I21" s="11">
        <f t="shared" si="6"/>
        <v>-75884.359999999986</v>
      </c>
      <c r="J21" s="9">
        <f>ינואר!J21+פברואר!J21+מרץ!J21</f>
        <v>235200</v>
      </c>
      <c r="K21" s="49">
        <f t="shared" si="5"/>
        <v>-0.41667431972789115</v>
      </c>
      <c r="L21" s="13">
        <f t="shared" si="7"/>
        <v>-98001.799999999988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ינואר!E22+פברואר!E22+מרץ!E22</f>
        <v>134605.5</v>
      </c>
      <c r="F22" s="9">
        <f>ינואר!F22+פברואר!F22+מרץ!F22</f>
        <v>80573.03</v>
      </c>
      <c r="G22" s="9">
        <f>ינואר!G22+פברואר!G22+מרץ!G22</f>
        <v>149149.43</v>
      </c>
      <c r="H22" s="49">
        <f t="shared" si="4"/>
        <v>0.85110861537663407</v>
      </c>
      <c r="I22" s="11">
        <f t="shared" si="6"/>
        <v>68576.399999999994</v>
      </c>
      <c r="J22" s="9">
        <f>ינואר!J22+פברואר!J22+מרץ!J22</f>
        <v>151610.26999999999</v>
      </c>
      <c r="K22" s="49">
        <f t="shared" si="5"/>
        <v>-1.6231354247967511E-2</v>
      </c>
      <c r="L22" s="13">
        <f t="shared" si="7"/>
        <v>-2460.8399999999965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ינואר!E23+פברואר!E23+מרץ!E23</f>
        <v>153212.06</v>
      </c>
      <c r="F23" s="9">
        <f>ינואר!F23+פברואר!F23+מרץ!F23</f>
        <v>85563.25</v>
      </c>
      <c r="G23" s="9">
        <f>ינואר!G23+פברואר!G23+מרץ!G23</f>
        <v>67158.969999999987</v>
      </c>
      <c r="H23" s="49">
        <f t="shared" si="4"/>
        <v>-0.21509561640073294</v>
      </c>
      <c r="I23" s="11">
        <f t="shared" si="6"/>
        <v>-18404.280000000013</v>
      </c>
      <c r="J23" s="9">
        <f>ינואר!J23+פברואר!J23+מרץ!J23</f>
        <v>162158.96999999997</v>
      </c>
      <c r="K23" s="49">
        <f t="shared" si="5"/>
        <v>-0.58584486568951444</v>
      </c>
      <c r="L23" s="13">
        <f t="shared" si="7"/>
        <v>-94999.999999999985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ינואר!E24+פברואר!E24+מרץ!E24</f>
        <v>32300.809999999998</v>
      </c>
      <c r="F24" s="9">
        <f>ינואר!F24+פברואר!F24+מרץ!F24</f>
        <v>29999.78</v>
      </c>
      <c r="G24" s="9">
        <f>ינואר!G24+פברואר!G24+מרץ!G24</f>
        <v>44796.11</v>
      </c>
      <c r="H24" s="49">
        <f t="shared" si="4"/>
        <v>0.49321461690719071</v>
      </c>
      <c r="I24" s="11">
        <f t="shared" si="6"/>
        <v>14796.330000000002</v>
      </c>
      <c r="J24" s="9">
        <f>ינואר!J24+פברואר!J24+מרץ!J24</f>
        <v>32774.92</v>
      </c>
      <c r="K24" s="49">
        <f t="shared" si="5"/>
        <v>0.36678014774711887</v>
      </c>
      <c r="L24" s="13">
        <f t="shared" si="7"/>
        <v>12021.190000000002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ינואר!E25+פברואר!E25+מרץ!E25</f>
        <v>50777.759999999995</v>
      </c>
      <c r="F25" s="9">
        <f>ינואר!F25+פברואר!F25+מרץ!F25</f>
        <v>42132.93</v>
      </c>
      <c r="G25" s="9">
        <f>ינואר!G25+פברואר!G25+מרץ!G25</f>
        <v>0</v>
      </c>
      <c r="H25" s="49">
        <f t="shared" si="4"/>
        <v>-1</v>
      </c>
      <c r="I25" s="11">
        <f t="shared" si="6"/>
        <v>-42132.93</v>
      </c>
      <c r="J25" s="9">
        <f>ינואר!J25+פברואר!J25+מרץ!J25</f>
        <v>5000</v>
      </c>
      <c r="K25" s="49">
        <f t="shared" si="5"/>
        <v>-1</v>
      </c>
      <c r="L25" s="13">
        <f t="shared" si="7"/>
        <v>-5000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ינואר!E26+פברואר!E26+מרץ!E26</f>
        <v>249206.12</v>
      </c>
      <c r="F26" s="9">
        <f>ינואר!F26+פברואר!F26+מרץ!F26</f>
        <v>0</v>
      </c>
      <c r="G26" s="9">
        <f>ינואר!G26+פברואר!G26+מרץ!G26</f>
        <v>-1269.06</v>
      </c>
      <c r="H26" s="49" t="e">
        <f t="shared" si="4"/>
        <v>#DIV/0!</v>
      </c>
      <c r="I26" s="11">
        <f t="shared" si="6"/>
        <v>-1269.06</v>
      </c>
      <c r="J26" s="9">
        <f>ינואר!J26+פברואר!J26+מרץ!J26</f>
        <v>0</v>
      </c>
      <c r="K26" s="49" t="e">
        <f t="shared" si="5"/>
        <v>#DIV/0!</v>
      </c>
      <c r="L26" s="13">
        <f t="shared" si="7"/>
        <v>-1269.06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ינואר!E27+פברואר!E27+מרץ!E27</f>
        <v>62495.479999999996</v>
      </c>
      <c r="F27" s="9">
        <f>ינואר!F27+פברואר!F27+מרץ!F27</f>
        <v>0</v>
      </c>
      <c r="G27" s="9">
        <f>ינואר!G27+פברואר!G27+מרץ!G27</f>
        <v>42152.31</v>
      </c>
      <c r="H27" s="49" t="e">
        <f t="shared" si="4"/>
        <v>#DIV/0!</v>
      </c>
      <c r="I27" s="11">
        <f t="shared" si="6"/>
        <v>42152.31</v>
      </c>
      <c r="J27" s="9">
        <f>ינואר!J27+פברואר!J27+מרץ!J27</f>
        <v>40000</v>
      </c>
      <c r="K27" s="49">
        <f t="shared" si="5"/>
        <v>5.3807750000000043E-2</v>
      </c>
      <c r="L27" s="13">
        <f t="shared" si="7"/>
        <v>2152.3099999999977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ינואר!E28+פברואר!E28+מרץ!E28</f>
        <v>171813.81000000003</v>
      </c>
      <c r="F28" s="9">
        <f>ינואר!F28+פברואר!F28+מרץ!F28</f>
        <v>0.22</v>
      </c>
      <c r="G28" s="9">
        <f>ינואר!G28+פברואר!G28+מרץ!G28</f>
        <v>0</v>
      </c>
      <c r="H28" s="49">
        <f t="shared" si="4"/>
        <v>-1</v>
      </c>
      <c r="I28" s="11">
        <f t="shared" si="6"/>
        <v>-0.22</v>
      </c>
      <c r="J28" s="9">
        <f>ינואר!J28+פברואר!J28+מרץ!J28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ינואר!E29+פברואר!E29+מרץ!E29</f>
        <v>75421.290000000008</v>
      </c>
      <c r="F29" s="9">
        <f>ינואר!F29+פברואר!F29+מרץ!F29</f>
        <v>93346.17</v>
      </c>
      <c r="G29" s="9">
        <f>ינואר!G29+פברואר!G29+מרץ!G29</f>
        <v>52124.75</v>
      </c>
      <c r="H29" s="49">
        <f t="shared" si="4"/>
        <v>-0.44159733602353479</v>
      </c>
      <c r="I29" s="11">
        <f t="shared" si="6"/>
        <v>-41221.42</v>
      </c>
      <c r="J29" s="9">
        <f>ינואר!J29+פברואר!J29+מרץ!J29</f>
        <v>92114.316000000006</v>
      </c>
      <c r="K29" s="49">
        <f t="shared" si="5"/>
        <v>-0.43412976111118284</v>
      </c>
      <c r="L29" s="13">
        <f t="shared" si="7"/>
        <v>-39989.566000000006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ינואר!E30+פברואר!E30+מרץ!E30</f>
        <v>0</v>
      </c>
      <c r="F30" s="9">
        <f>ינואר!F30+פברואר!F30+מרץ!F30</f>
        <v>32010.18</v>
      </c>
      <c r="G30" s="9">
        <f>ינואר!G30+פברואר!G30+מרץ!G30</f>
        <v>0</v>
      </c>
      <c r="H30" s="49">
        <f t="shared" si="4"/>
        <v>-1</v>
      </c>
      <c r="I30" s="11">
        <f t="shared" si="6"/>
        <v>-32010.18</v>
      </c>
      <c r="J30" s="9">
        <f>ינואר!J30+פברואר!J30+מרץ!J30</f>
        <v>0</v>
      </c>
      <c r="K30" s="49" t="e">
        <f t="shared" si="5"/>
        <v>#DIV/0!</v>
      </c>
      <c r="L30" s="13">
        <f t="shared" si="7"/>
        <v>0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ינואר!E31+פברואר!E31+מרץ!E31</f>
        <v>0</v>
      </c>
      <c r="F31" s="9">
        <f>ינואר!F31+פברואר!F31+מרץ!F31</f>
        <v>19897.57</v>
      </c>
      <c r="G31" s="9">
        <f>ינואר!G31+פברואר!G31+מרץ!G31</f>
        <v>0</v>
      </c>
      <c r="H31" s="49">
        <f t="shared" si="4"/>
        <v>-1</v>
      </c>
      <c r="I31" s="11">
        <f t="shared" si="6"/>
        <v>-19897.57</v>
      </c>
      <c r="J31" s="9">
        <f>ינואר!J31+פברואר!J31+מרץ!J31</f>
        <v>20000</v>
      </c>
      <c r="K31" s="49">
        <f t="shared" si="5"/>
        <v>-1</v>
      </c>
      <c r="L31" s="13">
        <f t="shared" si="7"/>
        <v>-20000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ינואר!E32+פברואר!E32+מרץ!E32</f>
        <v>0</v>
      </c>
      <c r="F32" s="9">
        <f>ינואר!F32+פברואר!F32+מרץ!F32</f>
        <v>16024.5</v>
      </c>
      <c r="G32" s="9">
        <f>ינואר!G32+פברואר!G32+מרץ!G32</f>
        <v>0</v>
      </c>
      <c r="H32" s="49">
        <f t="shared" si="4"/>
        <v>-1</v>
      </c>
      <c r="I32" s="11">
        <f t="shared" si="6"/>
        <v>-16024.5</v>
      </c>
      <c r="J32" s="9">
        <f>ינואר!J32+פברואר!J32+מרץ!J32</f>
        <v>18000</v>
      </c>
      <c r="K32" s="49">
        <f t="shared" si="5"/>
        <v>-1</v>
      </c>
      <c r="L32" s="13">
        <f t="shared" si="7"/>
        <v>-18000</v>
      </c>
    </row>
    <row r="33" spans="1:12" ht="13.5" customHeight="1" x14ac:dyDescent="0.2">
      <c r="B33" s="36"/>
      <c r="C33" s="5" t="s">
        <v>11</v>
      </c>
      <c r="D33" s="3" t="s">
        <v>12</v>
      </c>
      <c r="E33" s="9">
        <f>ינואר!E33+פברואר!E33+מרץ!E33</f>
        <v>0</v>
      </c>
      <c r="F33" s="9">
        <f>ינואר!F33+פברואר!F33+מרץ!F33</f>
        <v>0</v>
      </c>
      <c r="G33" s="9">
        <f>ינואר!G33+פברואר!G33+מרץ!G33</f>
        <v>0</v>
      </c>
      <c r="H33" s="49" t="e">
        <f t="shared" si="4"/>
        <v>#DIV/0!</v>
      </c>
      <c r="I33" s="11">
        <f t="shared" si="6"/>
        <v>0</v>
      </c>
      <c r="J33" s="9">
        <f>ינואר!J33+פברואר!J33+מרץ!J33</f>
        <v>0</v>
      </c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ינואר!E34+פברואר!E34+מרץ!E34</f>
        <v>19941.820000000003</v>
      </c>
      <c r="F34" s="9">
        <f>ינואר!F34+פברואר!F34+מרץ!F34</f>
        <v>20695.689999999999</v>
      </c>
      <c r="G34" s="9">
        <f>ינואר!G34+פברואר!G34+מרץ!G34</f>
        <v>18792.66</v>
      </c>
      <c r="H34" s="49">
        <f t="shared" si="4"/>
        <v>-9.1952962186812814E-2</v>
      </c>
      <c r="I34" s="11">
        <f t="shared" si="6"/>
        <v>-1903.0299999999988</v>
      </c>
      <c r="J34" s="9">
        <f>ינואר!J34+פברואר!J34+מרץ!J34</f>
        <v>18792.66</v>
      </c>
      <c r="K34" s="49">
        <f t="shared" si="5"/>
        <v>0</v>
      </c>
      <c r="L34" s="13">
        <f t="shared" si="7"/>
        <v>0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ינואר!E35+פברואר!E35+מרץ!E35</f>
        <v>34034.18</v>
      </c>
      <c r="F35" s="9">
        <f>ינואר!F35+פברואר!F35+מרץ!F35</f>
        <v>0</v>
      </c>
      <c r="G35" s="9">
        <f>ינואר!G35+פברואר!G35+מרץ!G35</f>
        <v>0</v>
      </c>
      <c r="H35" s="49" t="e">
        <f t="shared" si="4"/>
        <v>#DIV/0!</v>
      </c>
      <c r="I35" s="11">
        <f t="shared" si="6"/>
        <v>0</v>
      </c>
      <c r="J35" s="9">
        <f>ינואר!J35+פברואר!J35+מרץ!J35</f>
        <v>0</v>
      </c>
      <c r="K35" s="49" t="e">
        <f t="shared" si="5"/>
        <v>#DIV/0!</v>
      </c>
      <c r="L35" s="13">
        <f t="shared" si="7"/>
        <v>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ינואר!E36+פברואר!E36+מרץ!E36</f>
        <v>0</v>
      </c>
      <c r="F36" s="9">
        <f>ינואר!F36+פברואר!F36+מרץ!F36</f>
        <v>0</v>
      </c>
      <c r="G36" s="9">
        <f>ינואר!G36+פברואר!G36+מרץ!G36</f>
        <v>0</v>
      </c>
      <c r="H36" s="49" t="e">
        <f t="shared" si="4"/>
        <v>#DIV/0!</v>
      </c>
      <c r="I36" s="11">
        <f t="shared" si="6"/>
        <v>0</v>
      </c>
      <c r="J36" s="9">
        <f>ינואר!J36+פברואר!J36+מרץ!J36</f>
        <v>0</v>
      </c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ינואר!E37+פברואר!E37+מרץ!E37</f>
        <v>0</v>
      </c>
      <c r="F37" s="9">
        <f>ינואר!F37+פברואר!F37+מרץ!F37</f>
        <v>0</v>
      </c>
      <c r="G37" s="9">
        <f>ינואר!G37+פברואר!G37+מרץ!G37</f>
        <v>0</v>
      </c>
      <c r="H37" s="49" t="e">
        <f t="shared" si="4"/>
        <v>#DIV/0!</v>
      </c>
      <c r="I37" s="11">
        <f t="shared" si="6"/>
        <v>0</v>
      </c>
      <c r="J37" s="9">
        <f>ינואר!J37+פברואר!J37+מרץ!J37</f>
        <v>0</v>
      </c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ינואר!E38+פברואר!E38+מרץ!E38</f>
        <v>0</v>
      </c>
      <c r="F38" s="9">
        <f>ינואר!F38+פברואר!F38+מרץ!F38</f>
        <v>0</v>
      </c>
      <c r="G38" s="9">
        <f>ינואר!G38+פברואר!G38+מרץ!G38</f>
        <v>0</v>
      </c>
      <c r="H38" s="49" t="e">
        <f t="shared" si="4"/>
        <v>#DIV/0!</v>
      </c>
      <c r="I38" s="11">
        <f t="shared" si="6"/>
        <v>0</v>
      </c>
      <c r="J38" s="9">
        <f>ינואר!J38+פברואר!J38+מרץ!J38</f>
        <v>0</v>
      </c>
      <c r="K38" s="49" t="e">
        <f t="shared" si="5"/>
        <v>#DIV/0!</v>
      </c>
      <c r="L38" s="13">
        <f t="shared" si="7"/>
        <v>0</v>
      </c>
    </row>
    <row r="39" spans="1:12" ht="13.5" customHeight="1" x14ac:dyDescent="0.2">
      <c r="B39" s="37" t="s">
        <v>91</v>
      </c>
      <c r="C39" s="5" t="s">
        <v>91</v>
      </c>
      <c r="D39" s="3"/>
      <c r="E39" s="9">
        <f>ינואר!E39+פברואר!E39+מרץ!E39</f>
        <v>0</v>
      </c>
      <c r="F39" s="9">
        <f>ינואר!F39+פברואר!F39+מרץ!F39</f>
        <v>0</v>
      </c>
      <c r="G39" s="9">
        <f>ינואר!G39+פברואר!G39+מרץ!G39</f>
        <v>0</v>
      </c>
      <c r="H39" s="49" t="e">
        <f t="shared" si="4"/>
        <v>#DIV/0!</v>
      </c>
      <c r="I39" s="11">
        <f t="shared" si="6"/>
        <v>0</v>
      </c>
      <c r="J39" s="9">
        <f>ינואר!J39+פברואר!J39+מרץ!J39</f>
        <v>0</v>
      </c>
      <c r="K39" s="49" t="e">
        <f t="shared" si="5"/>
        <v>#DIV/0!</v>
      </c>
      <c r="L39" s="13">
        <f t="shared" si="7"/>
        <v>0</v>
      </c>
    </row>
    <row r="40" spans="1:12" ht="15" x14ac:dyDescent="0.25">
      <c r="B40" s="268" t="s">
        <v>42</v>
      </c>
      <c r="C40" s="269"/>
      <c r="D40" s="269"/>
      <c r="E40" s="10">
        <f>SUM(E20:E39)</f>
        <v>2343692.6</v>
      </c>
      <c r="F40" s="10">
        <f>SUM(F20:F39)</f>
        <v>1249008.19</v>
      </c>
      <c r="G40" s="10">
        <f>SUM(G20:G39)</f>
        <v>1096278.9199999997</v>
      </c>
      <c r="H40" s="43">
        <f t="shared" si="4"/>
        <v>-0.12228043916989872</v>
      </c>
      <c r="I40" s="10">
        <f>SUM(I20:I39)</f>
        <v>-152729.27000000002</v>
      </c>
      <c r="J40" s="10">
        <f>SUM(J20:J39)</f>
        <v>1693060.6148374998</v>
      </c>
      <c r="K40" s="43">
        <f t="shared" si="5"/>
        <v>-0.35248690425344242</v>
      </c>
      <c r="L40" s="10">
        <f>SUM(L20:L39)</f>
        <v>-596781.69483749999</v>
      </c>
    </row>
    <row r="41" spans="1:12" ht="16.5" thickBot="1" x14ac:dyDescent="0.3">
      <c r="B41" s="270" t="s">
        <v>69</v>
      </c>
      <c r="C41" s="271"/>
      <c r="D41" s="271"/>
      <c r="E41" s="25">
        <f>E40+E19</f>
        <v>6647574.0010000002</v>
      </c>
      <c r="F41" s="25">
        <f>F40+F19</f>
        <v>5614790.3020000085</v>
      </c>
      <c r="G41" s="25">
        <f>G40+G19</f>
        <v>5816526.7800000105</v>
      </c>
      <c r="H41" s="44">
        <f t="shared" si="4"/>
        <v>3.5929476819132944E-2</v>
      </c>
      <c r="I41" s="25">
        <f>I40+I19</f>
        <v>201736.47800000088</v>
      </c>
      <c r="J41" s="25">
        <f>J40+J19</f>
        <v>7825825.8254495524</v>
      </c>
      <c r="K41" s="44">
        <f t="shared" si="5"/>
        <v>-0.25675233390900543</v>
      </c>
      <c r="L41" s="25">
        <f>L40+L19</f>
        <v>-2009299.0454495419</v>
      </c>
    </row>
    <row r="42" spans="1:12" ht="15.75" thickBot="1" x14ac:dyDescent="0.3">
      <c r="B42" s="272" t="s">
        <v>43</v>
      </c>
      <c r="C42" s="273"/>
      <c r="D42" s="274"/>
      <c r="E42" s="16">
        <f>E40/E41</f>
        <v>0.35256359683208288</v>
      </c>
      <c r="F42" s="16">
        <f>F40/F41</f>
        <v>0.22244965934971761</v>
      </c>
      <c r="G42" s="16">
        <f>G40/G41</f>
        <v>0.18847655335646846</v>
      </c>
      <c r="H42" s="45"/>
      <c r="I42" s="6"/>
      <c r="J42" s="15">
        <f>J40-ינואר!J40-פברואר!J40-מרץ!J40</f>
        <v>0</v>
      </c>
    </row>
    <row r="43" spans="1:12" x14ac:dyDescent="0.2">
      <c r="E43" s="15">
        <f>E41-ינואר!E41-פברואר!E41-מרץ!E41</f>
        <v>0</v>
      </c>
      <c r="I43" s="6"/>
    </row>
  </sheetData>
  <dataConsolidate/>
  <mergeCells count="6">
    <mergeCell ref="B1:L1"/>
    <mergeCell ref="B19:D19"/>
    <mergeCell ref="B40:D40"/>
    <mergeCell ref="B41:D41"/>
    <mergeCell ref="B42:D42"/>
    <mergeCell ref="B16:D16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2ECE-7E91-482B-8DD3-10B66D148D03}">
  <dimension ref="A1:L43"/>
  <sheetViews>
    <sheetView rightToLeft="1" workbookViewId="0">
      <pane xSplit="4" ySplit="2" topLeftCell="F3" activePane="bottomRight" state="frozen"/>
      <selection activeCell="J13" sqref="J13"/>
      <selection pane="topRight" activeCell="J13" sqref="J13"/>
      <selection pane="bottomLeft" activeCell="J13" sqref="J13"/>
      <selection pane="bottomRight" activeCell="G8" sqref="G8"/>
    </sheetView>
  </sheetViews>
  <sheetFormatPr defaultRowHeight="14.25" x14ac:dyDescent="0.2"/>
  <cols>
    <col min="1" max="1" width="18.125" hidden="1" customWidth="1"/>
    <col min="2" max="2" width="17.375" customWidth="1"/>
    <col min="3" max="3" width="21.375" customWidth="1"/>
    <col min="4" max="4" width="11.375" style="1" customWidth="1"/>
    <col min="5" max="7" width="11.625" customWidth="1"/>
    <col min="8" max="8" width="11.875" style="51" bestFit="1" customWidth="1"/>
    <col min="9" max="9" width="16.75" bestFit="1" customWidth="1"/>
    <col min="10" max="10" width="14.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185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>
        <v>4.2023999999999999</v>
      </c>
      <c r="F2" s="30">
        <v>4.2024999999999997</v>
      </c>
      <c r="G2" s="30">
        <v>4.2026000000000003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VLOOKUP(A3,'2024'!$A:$O,5,0)</f>
        <v>263037.5</v>
      </c>
      <c r="F3" s="9">
        <f>VLOOKUP($A3,'2025'!$A:$O,5,0)</f>
        <v>336937.60000000003</v>
      </c>
      <c r="G3" s="9">
        <v>124575.26</v>
      </c>
      <c r="H3" s="49">
        <f t="shared" ref="H3:H16" si="0">G3/F3-1</f>
        <v>-0.63027201475881589</v>
      </c>
      <c r="I3" s="11">
        <f t="shared" ref="I3:I15" si="1">G3-F3</f>
        <v>-212362.34000000003</v>
      </c>
      <c r="J3" s="8">
        <f>VLOOKUP(B3,'תקציב  '!$B:$S,7,0)*1</f>
        <v>173015.87301587302</v>
      </c>
      <c r="K3" s="49">
        <f t="shared" ref="K3:K16" si="2">G3/J3-1</f>
        <v>-0.27997785504587158</v>
      </c>
      <c r="L3" s="13">
        <f t="shared" ref="L3:L15" si="3">G3-J3</f>
        <v>-48440.613015873023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VLOOKUP(B4,'2024'!$A:$O,5,0)</f>
        <v>473814.79599999997</v>
      </c>
      <c r="F4" s="9">
        <f>VLOOKUP($A4,'2025'!$A:$O,5,0)</f>
        <v>549545.83000000706</v>
      </c>
      <c r="G4" s="9">
        <v>429718.19800000003</v>
      </c>
      <c r="H4" s="49">
        <f t="shared" si="0"/>
        <v>-0.21804847832255503</v>
      </c>
      <c r="I4" s="11">
        <f t="shared" si="1"/>
        <v>-119827.63200000703</v>
      </c>
      <c r="J4" s="8">
        <f>VLOOKUP(B4,'תקציב  '!$B:$S,7,0)*1</f>
        <v>475539.68253968254</v>
      </c>
      <c r="K4" s="49">
        <f t="shared" si="2"/>
        <v>-9.6356805167061577E-2</v>
      </c>
      <c r="L4" s="13">
        <f t="shared" si="3"/>
        <v>-45821.484539682511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VLOOKUP(B5,'2024'!$A:$O,5,0)</f>
        <v>100846.29100000001</v>
      </c>
      <c r="F5" s="9">
        <f>VLOOKUP($A5,'2025'!$A:$O,5,0)</f>
        <v>75168</v>
      </c>
      <c r="G5" s="9">
        <v>83501.963999999993</v>
      </c>
      <c r="H5" s="49">
        <f t="shared" si="0"/>
        <v>0.11087116858237533</v>
      </c>
      <c r="I5" s="11">
        <f t="shared" si="1"/>
        <v>8333.9639999999927</v>
      </c>
      <c r="J5" s="8">
        <f>VLOOKUP(B5,'תקציב  '!$B:$S,7,0)*1</f>
        <v>60714.28571428571</v>
      </c>
      <c r="K5" s="49">
        <f t="shared" si="2"/>
        <v>0.37532646588235297</v>
      </c>
      <c r="L5" s="13">
        <f t="shared" si="3"/>
        <v>22787.678285714283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VLOOKUP(B6,'2024'!$A:$O,5,0)</f>
        <v>132554.78899999999</v>
      </c>
      <c r="F6" s="9">
        <f>VLOOKUP($A6,'2025'!$A:$O,5,0)</f>
        <v>173213.54999999987</v>
      </c>
      <c r="G6" s="9">
        <v>125615.72599999998</v>
      </c>
      <c r="H6" s="49">
        <f t="shared" si="0"/>
        <v>-0.27479272839797997</v>
      </c>
      <c r="I6" s="11">
        <f t="shared" si="1"/>
        <v>-47597.823999999891</v>
      </c>
      <c r="J6" s="8">
        <f>VLOOKUP(A6,'תקציב  '!$B:$S,7,0)*1</f>
        <v>134174.60317460317</v>
      </c>
      <c r="K6" s="49">
        <f t="shared" si="2"/>
        <v>-6.3789099964509766E-2</v>
      </c>
      <c r="L6" s="13">
        <f t="shared" si="3"/>
        <v>-8558.8771746031853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VLOOKUP(A7,'2024'!$A:$O,5,0)</f>
        <v>244648</v>
      </c>
      <c r="F7" s="9">
        <f>VLOOKUP($A7,'2025'!$A:$O,5,0)</f>
        <v>263457</v>
      </c>
      <c r="G7" s="9">
        <v>220778.2</v>
      </c>
      <c r="H7" s="49">
        <f t="shared" si="0"/>
        <v>-0.16199531612369378</v>
      </c>
      <c r="I7" s="11">
        <f t="shared" si="1"/>
        <v>-42678.799999999988</v>
      </c>
      <c r="J7" s="8">
        <f>VLOOKUP(B7,'תקציב  '!$B:$S,7,0)*1</f>
        <v>365000</v>
      </c>
      <c r="K7" s="49">
        <f t="shared" si="2"/>
        <v>-0.39512821917808216</v>
      </c>
      <c r="L7" s="13">
        <f t="shared" si="3"/>
        <v>-144221.79999999999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VLOOKUP(A8,'2024'!$A:$O,5,0)</f>
        <v>59971.530000000013</v>
      </c>
      <c r="F8" s="9">
        <f>VLOOKUP($A8,'2025'!$A:$O,5,0)</f>
        <v>62433.130000000005</v>
      </c>
      <c r="G8" s="9">
        <v>50971.08</v>
      </c>
      <c r="H8" s="49">
        <f t="shared" si="0"/>
        <v>-0.18358922578445136</v>
      </c>
      <c r="I8" s="11">
        <f t="shared" si="1"/>
        <v>-11462.050000000003</v>
      </c>
      <c r="J8" s="8">
        <f>VLOOKUP(B8,'תקציב  '!$B:$S,7,0)*1</f>
        <v>97460.317460317456</v>
      </c>
      <c r="K8" s="49">
        <f t="shared" si="2"/>
        <v>-0.47700683387622145</v>
      </c>
      <c r="L8" s="13">
        <f t="shared" si="3"/>
        <v>-46489.237460317454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VLOOKUP(A9,'2024'!$A:$O,5,0)</f>
        <v>69580.429999999993</v>
      </c>
      <c r="F9" s="9">
        <f>VLOOKUP($A9,'2025'!$A:$O,5,0)</f>
        <v>74555.12000000001</v>
      </c>
      <c r="G9" s="9">
        <v>88526.039999999964</v>
      </c>
      <c r="H9" s="49">
        <f t="shared" si="0"/>
        <v>0.18739048371191602</v>
      </c>
      <c r="I9" s="11">
        <f t="shared" si="1"/>
        <v>13970.919999999955</v>
      </c>
      <c r="J9" s="8">
        <f>VLOOKUP(B9,'תקציב  '!$B:$S,7,0)*1</f>
        <v>139567.4603174603</v>
      </c>
      <c r="K9" s="49">
        <f t="shared" si="2"/>
        <v>-0.36571146455886971</v>
      </c>
      <c r="L9" s="13">
        <f t="shared" si="3"/>
        <v>-51041.420317460332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VLOOKUP(A10,'2024'!$A:$O,5,0)</f>
        <v>14571.76</v>
      </c>
      <c r="F10" s="9">
        <f>VLOOKUP($A10,'2025'!$A:$O,5,0)</f>
        <v>15201.7</v>
      </c>
      <c r="G10" s="9">
        <v>11923.539999999999</v>
      </c>
      <c r="H10" s="49">
        <f t="shared" si="0"/>
        <v>-0.21564430293980286</v>
      </c>
      <c r="I10" s="11">
        <f t="shared" si="1"/>
        <v>-3278.1600000000017</v>
      </c>
      <c r="J10" s="8">
        <f>VLOOKUP(B10,'תקציב  '!$B:$S,7,0)*1</f>
        <v>12817.460317460316</v>
      </c>
      <c r="K10" s="49">
        <f t="shared" si="2"/>
        <v>-6.9742390092879192E-2</v>
      </c>
      <c r="L10" s="13">
        <f t="shared" si="3"/>
        <v>-893.92031746031716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VLOOKUP(A11,'2024'!$A:$O,5,0)</f>
        <v>11309.68</v>
      </c>
      <c r="F11" s="9">
        <f>VLOOKUP($A11,'2025'!$A:$O,5,0)</f>
        <v>4054.42</v>
      </c>
      <c r="G11" s="9">
        <v>4956.22</v>
      </c>
      <c r="H11" s="49">
        <f t="shared" si="0"/>
        <v>0.22242392253392596</v>
      </c>
      <c r="I11" s="11">
        <f t="shared" si="1"/>
        <v>901.80000000000018</v>
      </c>
      <c r="J11" s="8">
        <f>VLOOKUP(B11,'תקציב  '!$B:$S,7,0)*1</f>
        <v>6746.0317460317465</v>
      </c>
      <c r="K11" s="49">
        <f t="shared" si="2"/>
        <v>-0.26531327058823528</v>
      </c>
      <c r="L11" s="13">
        <f t="shared" si="3"/>
        <v>-1789.8117460317462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VLOOKUP(A12,'2024'!$A:$O,5,0)</f>
        <v>850.4</v>
      </c>
      <c r="F12" s="9">
        <f>VLOOKUP($A12,'2025'!$A:$O,5,0)</f>
        <v>0</v>
      </c>
      <c r="G12" s="9"/>
      <c r="H12" s="49" t="e">
        <f t="shared" si="0"/>
        <v>#DIV/0!</v>
      </c>
      <c r="I12" s="11">
        <f t="shared" si="1"/>
        <v>0</v>
      </c>
      <c r="J12" s="8">
        <f>VLOOKUP(B12,'תקציב  '!$B:$S,7,0)*1</f>
        <v>0</v>
      </c>
      <c r="K12" s="49"/>
      <c r="L12" s="13">
        <f t="shared" si="3"/>
        <v>0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VLOOKUP(A13,'2024'!$A:$O,5,0)</f>
        <v>0</v>
      </c>
      <c r="F13" s="9">
        <f>VLOOKUP($A13,'2025'!$A:$O,5,0)</f>
        <v>0</v>
      </c>
      <c r="G13" s="9"/>
      <c r="H13" s="49" t="e">
        <f t="shared" si="0"/>
        <v>#DIV/0!</v>
      </c>
      <c r="I13" s="11">
        <f t="shared" si="1"/>
        <v>0</v>
      </c>
      <c r="J13" s="8">
        <f>VLOOKUP(B13,'תקציב  '!$B:$S,7,0)*1</f>
        <v>12500</v>
      </c>
      <c r="K13" s="49">
        <f t="shared" si="2"/>
        <v>-1</v>
      </c>
      <c r="L13" s="13">
        <f t="shared" si="3"/>
        <v>-12500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VLOOKUP(A14,'2024'!$A:$O,5,0)</f>
        <v>0</v>
      </c>
      <c r="F14" s="9">
        <f>VLOOKUP($A14,'2025'!$A:$O,5,0)</f>
        <v>0</v>
      </c>
      <c r="G14" s="9">
        <v>847.74</v>
      </c>
      <c r="H14" s="49" t="e">
        <f t="shared" si="0"/>
        <v>#DIV/0!</v>
      </c>
      <c r="I14" s="11">
        <f t="shared" si="1"/>
        <v>847.74</v>
      </c>
      <c r="J14" s="8">
        <f>VLOOKUP(B14,'תקציב  '!$B:$S,7,0)*1</f>
        <v>50000</v>
      </c>
      <c r="K14" s="49">
        <f t="shared" si="2"/>
        <v>-0.98304519999999995</v>
      </c>
      <c r="L14" s="13">
        <f t="shared" si="3"/>
        <v>-49152.26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VLOOKUP(A15,'2024'!$A:$O,5,0)</f>
        <v>3314.4300000000003</v>
      </c>
      <c r="F15" s="9">
        <f>VLOOKUP($A15,'2025'!$A:$O,5,0)</f>
        <v>5898.3700000000008</v>
      </c>
      <c r="G15" s="9">
        <v>33906.959999999999</v>
      </c>
      <c r="H15" s="49">
        <f t="shared" si="0"/>
        <v>4.7485305262301267</v>
      </c>
      <c r="I15" s="11">
        <f t="shared" si="1"/>
        <v>28008.589999999997</v>
      </c>
      <c r="J15" s="8">
        <f>VLOOKUP(B15,'תקציב  '!$B:$S,7,0)*1</f>
        <v>13492.063492063493</v>
      </c>
      <c r="K15" s="49">
        <f t="shared" si="2"/>
        <v>1.5131040941176468</v>
      </c>
      <c r="L15" s="13">
        <f t="shared" si="3"/>
        <v>20414.896507936508</v>
      </c>
    </row>
    <row r="16" spans="1:12" ht="15" x14ac:dyDescent="0.25">
      <c r="B16" s="277" t="s">
        <v>221</v>
      </c>
      <c r="C16" s="278"/>
      <c r="D16" s="278"/>
      <c r="E16" s="67">
        <f>SUM(E3:E15)</f>
        <v>1374499.6059999997</v>
      </c>
      <c r="F16" s="67">
        <f>SUM(F3:F15)</f>
        <v>1560464.720000007</v>
      </c>
      <c r="G16" s="67">
        <f>SUM(G3:G15)</f>
        <v>1175320.9279999998</v>
      </c>
      <c r="H16" s="68">
        <f t="shared" si="0"/>
        <v>-0.2468135210387874</v>
      </c>
      <c r="I16" s="67">
        <f>SUM(I3:I15)</f>
        <v>-385143.792000007</v>
      </c>
      <c r="J16" s="67">
        <f>SUM(J3:J15)</f>
        <v>1541027.7777777778</v>
      </c>
      <c r="K16" s="68">
        <f t="shared" si="2"/>
        <v>-0.23731360008652247</v>
      </c>
      <c r="L16" s="67">
        <f>SUM(L3:L15)</f>
        <v>-365706.84977777774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VLOOKUP(A17,'2024'!$A:$O,5,0)</f>
        <v>43476.429999999971</v>
      </c>
      <c r="F17" s="9">
        <f>VLOOKUP($A17,'2025'!$A:$O,5,0)</f>
        <v>96447.310000000187</v>
      </c>
      <c r="G17" s="9">
        <v>544858.41000002145</v>
      </c>
      <c r="H17" s="49">
        <f>G17/F17-1</f>
        <v>4.6492857084352108</v>
      </c>
      <c r="I17" s="11">
        <f>G17-F17</f>
        <v>448411.10000002128</v>
      </c>
      <c r="J17" s="8">
        <f>VLOOKUP(B17,'תקציב  '!$B:$S,7,0)*1</f>
        <v>453601.69491525425</v>
      </c>
      <c r="K17" s="49">
        <f>G17/J17-1</f>
        <v>0.20118248257828175</v>
      </c>
      <c r="L17" s="13">
        <f>G17-J17</f>
        <v>91256.715084767202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VLOOKUP(A18,'2024'!$A:$O,5,0)</f>
        <v>2046.4299999999996</v>
      </c>
      <c r="F18" s="9">
        <f>VLOOKUP($A18,'2025'!$A:$O,5,0)</f>
        <v>2606.4000000000005</v>
      </c>
      <c r="G18" s="9">
        <v>1302.94</v>
      </c>
      <c r="H18" s="49">
        <f>G18/F18-1</f>
        <v>-0.50009975445058319</v>
      </c>
      <c r="I18" s="11">
        <f>G18-F18</f>
        <v>-1303.4600000000005</v>
      </c>
      <c r="J18" s="8">
        <f>VLOOKUP(B18,'תקציב  '!$B:$S,7,0)*1</f>
        <v>2536.9283333333324</v>
      </c>
      <c r="K18" s="49">
        <f>G18/J18-1</f>
        <v>-0.48641040313187123</v>
      </c>
      <c r="L18" s="13">
        <f>G18-J18</f>
        <v>-1233.9883333333323</v>
      </c>
    </row>
    <row r="19" spans="1:12" ht="15" x14ac:dyDescent="0.25">
      <c r="B19" s="266" t="s">
        <v>41</v>
      </c>
      <c r="C19" s="267"/>
      <c r="D19" s="267"/>
      <c r="E19" s="12">
        <f>E16+E17+E18</f>
        <v>1420022.4659999995</v>
      </c>
      <c r="F19" s="12">
        <f>F16+F17+F18</f>
        <v>1659518.4300000072</v>
      </c>
      <c r="G19" s="12">
        <f>G16+G17+G18</f>
        <v>1721482.2780000214</v>
      </c>
      <c r="H19" s="50">
        <f t="shared" ref="H19:H41" si="4">G19/F19-1</f>
        <v>3.7338451251797133E-2</v>
      </c>
      <c r="I19" s="12">
        <f>I16+I17+I18</f>
        <v>61963.848000014281</v>
      </c>
      <c r="J19" s="12">
        <f>J16+J17+J18</f>
        <v>1997166.4010263653</v>
      </c>
      <c r="K19" s="50">
        <f t="shared" ref="K19:K41" si="5">G19/J19-1</f>
        <v>-0.13803763316099593</v>
      </c>
      <c r="L19" s="12">
        <f>L16+L17+L18</f>
        <v>-275684.12302634388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VLOOKUP(A20,'2024'!$A:$O,5,0)</f>
        <v>264520.55</v>
      </c>
      <c r="F20" s="9">
        <f>VLOOKUP($A20,'2025'!$A:$O,5,0)</f>
        <v>238431.78</v>
      </c>
      <c r="G20" s="86">
        <v>214988.69</v>
      </c>
      <c r="H20" s="49">
        <f t="shared" si="4"/>
        <v>-9.8322002209604742E-2</v>
      </c>
      <c r="I20" s="11">
        <f t="shared" ref="I20:I39" si="6">G20-F20</f>
        <v>-23443.089999999997</v>
      </c>
      <c r="J20" s="8">
        <f>VLOOKUP(B20,'תקציב  '!$B:$S,7,0)*1</f>
        <v>367136.19030000002</v>
      </c>
      <c r="K20" s="49">
        <f t="shared" si="5"/>
        <v>-0.41441705917271432</v>
      </c>
      <c r="L20" s="13">
        <f t="shared" ref="L20:L39" si="7">G20-J20</f>
        <v>-152147.50030000001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VLOOKUP(A21,'2024'!$A:$O,5,0)</f>
        <v>184350.47</v>
      </c>
      <c r="F21" s="9">
        <f>VLOOKUP($A21,'2025'!$A:$O,5,0)</f>
        <v>217182.24</v>
      </c>
      <c r="G21" s="9"/>
      <c r="H21" s="49">
        <f t="shared" si="4"/>
        <v>-1</v>
      </c>
      <c r="I21" s="11">
        <f t="shared" si="6"/>
        <v>-217182.24</v>
      </c>
      <c r="J21" s="8">
        <f>VLOOKUP(B21,'תקציב  '!$B:$S,7,0)*1</f>
        <v>0</v>
      </c>
      <c r="K21" s="49" t="e">
        <f t="shared" si="5"/>
        <v>#DIV/0!</v>
      </c>
      <c r="L21" s="13">
        <f t="shared" si="7"/>
        <v>0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VLOOKUP(A22,'2024'!$A:$O,5,0)</f>
        <v>0</v>
      </c>
      <c r="F22" s="9">
        <f>VLOOKUP($A22,'2025'!$A:$O,5,0)</f>
        <v>0</v>
      </c>
      <c r="G22" s="86">
        <v>123835.02</v>
      </c>
      <c r="H22" s="49" t="e">
        <f t="shared" si="4"/>
        <v>#DIV/0!</v>
      </c>
      <c r="I22" s="11">
        <f t="shared" si="6"/>
        <v>123835.02</v>
      </c>
      <c r="J22" s="8">
        <f>VLOOKUP(B22,'תקציב  '!$B:$S,7,0)*1</f>
        <v>100000</v>
      </c>
      <c r="K22" s="49">
        <f t="shared" si="5"/>
        <v>0.23835019999999996</v>
      </c>
      <c r="L22" s="13">
        <f t="shared" si="7"/>
        <v>23835.020000000004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VLOOKUP(A23,'2024'!$A:$O,5,0)</f>
        <v>0</v>
      </c>
      <c r="F23" s="9">
        <f>VLOOKUP($A23,'2025'!$A:$O,5,0)</f>
        <v>88706.82</v>
      </c>
      <c r="G23" s="86">
        <v>92404.959999999992</v>
      </c>
      <c r="H23" s="49">
        <f t="shared" si="4"/>
        <v>4.1689466491978688E-2</v>
      </c>
      <c r="I23" s="11">
        <f t="shared" si="6"/>
        <v>3698.1399999999849</v>
      </c>
      <c r="J23" s="8">
        <f>VLOOKUP(B23,'תקציב  '!$B:$S,7,0)*1</f>
        <v>0</v>
      </c>
      <c r="K23" s="49" t="e">
        <f t="shared" si="5"/>
        <v>#DIV/0!</v>
      </c>
      <c r="L23" s="13">
        <f t="shared" si="7"/>
        <v>92404.959999999992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VLOOKUP(A24,'2024'!$A:$O,5,0)</f>
        <v>17556.439999999999</v>
      </c>
      <c r="F24" s="9">
        <f>VLOOKUP($A24,'2025'!$A:$O,5,0)</f>
        <v>11888.32</v>
      </c>
      <c r="G24" s="9"/>
      <c r="H24" s="49">
        <f t="shared" si="4"/>
        <v>-1</v>
      </c>
      <c r="I24" s="11">
        <f t="shared" si="6"/>
        <v>-11888.32</v>
      </c>
      <c r="J24" s="8">
        <f>VLOOKUP(B24,'תקציב  '!$B:$S,7,0)*1</f>
        <v>10000</v>
      </c>
      <c r="K24" s="49">
        <f t="shared" si="5"/>
        <v>-1</v>
      </c>
      <c r="L24" s="13">
        <f t="shared" si="7"/>
        <v>-10000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VLOOKUP(A25,'2024'!$A:$O,5,0)</f>
        <v>0</v>
      </c>
      <c r="F25" s="9">
        <f>VLOOKUP($A25,'2025'!$A:$O,5,0)</f>
        <v>0</v>
      </c>
      <c r="G25" s="9"/>
      <c r="H25" s="49" t="e">
        <f t="shared" si="4"/>
        <v>#DIV/0!</v>
      </c>
      <c r="I25" s="11">
        <f t="shared" si="6"/>
        <v>0</v>
      </c>
      <c r="J25" s="8">
        <f>VLOOKUP(B25,'תקציב  '!$B:$S,7,0)*1</f>
        <v>5000</v>
      </c>
      <c r="K25" s="49">
        <f t="shared" si="5"/>
        <v>-1</v>
      </c>
      <c r="L25" s="13">
        <f t="shared" si="7"/>
        <v>-5000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VLOOKUP(A26,'2024'!$A:$O,5,0)</f>
        <v>0</v>
      </c>
      <c r="F26" s="9">
        <f>VLOOKUP($A26,'2025'!$A:$O,5,0)</f>
        <v>0</v>
      </c>
      <c r="G26" s="86">
        <v>165356.85999999999</v>
      </c>
      <c r="H26" s="49" t="e">
        <f t="shared" si="4"/>
        <v>#DIV/0!</v>
      </c>
      <c r="I26" s="11">
        <f t="shared" si="6"/>
        <v>165356.85999999999</v>
      </c>
      <c r="J26" s="8">
        <f>VLOOKUP(B26,'תקציב  '!$B:$S,7,0)*1</f>
        <v>150000</v>
      </c>
      <c r="K26" s="49">
        <f t="shared" si="5"/>
        <v>0.10237906666666663</v>
      </c>
      <c r="L26" s="13">
        <f t="shared" si="7"/>
        <v>15356.859999999986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VLOOKUP(A27,'2024'!$A:$O,5,0)</f>
        <v>0</v>
      </c>
      <c r="F27" s="9">
        <f>VLOOKUP($A27,'2025'!$A:$O,5,0)</f>
        <v>35240.620000000003</v>
      </c>
      <c r="G27" s="9"/>
      <c r="H27" s="49">
        <f t="shared" si="4"/>
        <v>-1</v>
      </c>
      <c r="I27" s="11">
        <f t="shared" si="6"/>
        <v>-35240.620000000003</v>
      </c>
      <c r="J27" s="8">
        <f>VLOOKUP(B27,'תקציב  '!$B:$S,7,0)*1</f>
        <v>40000</v>
      </c>
      <c r="K27" s="49">
        <f t="shared" si="5"/>
        <v>-1</v>
      </c>
      <c r="L27" s="13">
        <f t="shared" si="7"/>
        <v>-40000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VLOOKUP(A28,'2024'!$A:$O,5,0)</f>
        <v>0</v>
      </c>
      <c r="F28" s="9">
        <f>VLOOKUP($A28,'2025'!$A:$O,5,0)</f>
        <v>0</v>
      </c>
      <c r="G28" s="9"/>
      <c r="H28" s="49" t="e">
        <f t="shared" si="4"/>
        <v>#DIV/0!</v>
      </c>
      <c r="I28" s="11">
        <f t="shared" si="6"/>
        <v>0</v>
      </c>
      <c r="J28" s="8">
        <f>VLOOKUP(B28,'תקציב  '!$B:$S,7,0)*1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VLOOKUP(A29,'2024'!$A:$O,5,0)</f>
        <v>27828.48</v>
      </c>
      <c r="F29" s="9">
        <f>VLOOKUP($A29,'2025'!$A:$O,5,0)</f>
        <v>38170.879999999997</v>
      </c>
      <c r="G29" s="86">
        <v>60931.149999999994</v>
      </c>
      <c r="H29" s="49">
        <f t="shared" si="4"/>
        <v>0.59627312757788142</v>
      </c>
      <c r="I29" s="11">
        <f t="shared" si="6"/>
        <v>22760.269999999997</v>
      </c>
      <c r="J29" s="8">
        <f>VLOOKUP(B29,'תקציב  '!$B:$S,7,0)*1</f>
        <v>39765.076000000001</v>
      </c>
      <c r="K29" s="49">
        <f t="shared" si="5"/>
        <v>0.5322779717559194</v>
      </c>
      <c r="L29" s="13">
        <f t="shared" si="7"/>
        <v>21166.073999999993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VLOOKUP(A30,'2024'!$A:$O,5,0)</f>
        <v>49617.59</v>
      </c>
      <c r="F30" s="9">
        <f>VLOOKUP($A30,'2025'!$A:$O,5,0)</f>
        <v>0</v>
      </c>
      <c r="G30" s="9"/>
      <c r="H30" s="49" t="e">
        <f t="shared" si="4"/>
        <v>#DIV/0!</v>
      </c>
      <c r="I30" s="11">
        <f t="shared" si="6"/>
        <v>0</v>
      </c>
      <c r="J30" s="8">
        <f>VLOOKUP(B30,'תקציב  '!$B:$S,7,0)*1</f>
        <v>35000</v>
      </c>
      <c r="K30" s="49">
        <f t="shared" si="5"/>
        <v>-1</v>
      </c>
      <c r="L30" s="13">
        <f t="shared" si="7"/>
        <v>-35000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VLOOKUP(A31,'2024'!$A:$O,5,0)</f>
        <v>20354.79</v>
      </c>
      <c r="F31" s="9">
        <f>VLOOKUP($A31,'2025'!$A:$O,5,0)</f>
        <v>0</v>
      </c>
      <c r="G31" s="86">
        <v>17809.5</v>
      </c>
      <c r="H31" s="49" t="e">
        <f t="shared" si="4"/>
        <v>#DIV/0!</v>
      </c>
      <c r="I31" s="11">
        <f t="shared" si="6"/>
        <v>17809.5</v>
      </c>
      <c r="J31" s="8">
        <f>VLOOKUP(B31,'תקציב  '!$B:$S,7,0)*1</f>
        <v>0</v>
      </c>
      <c r="K31" s="49" t="e">
        <f t="shared" si="5"/>
        <v>#DIV/0!</v>
      </c>
      <c r="L31" s="13">
        <f t="shared" si="7"/>
        <v>17809.5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VLOOKUP(A32,'2024'!$A:$O,5,0)</f>
        <v>0</v>
      </c>
      <c r="F32" s="9">
        <f>VLOOKUP($A32,'2025'!$A:$O,5,0)</f>
        <v>0</v>
      </c>
      <c r="G32" s="9"/>
      <c r="H32" s="49" t="e">
        <f t="shared" si="4"/>
        <v>#DIV/0!</v>
      </c>
      <c r="I32" s="11">
        <f t="shared" si="6"/>
        <v>0</v>
      </c>
      <c r="J32" s="8">
        <f>VLOOKUP(B32,'תקציב  '!$B:$S,7,0)*1</f>
        <v>0</v>
      </c>
      <c r="K32" s="49" t="e">
        <f t="shared" si="5"/>
        <v>#DIV/0!</v>
      </c>
      <c r="L32" s="13">
        <f t="shared" si="7"/>
        <v>0</v>
      </c>
    </row>
    <row r="33" spans="1:12" ht="13.5" hidden="1" customHeight="1" x14ac:dyDescent="0.2">
      <c r="B33" s="36"/>
      <c r="C33" s="5" t="s">
        <v>11</v>
      </c>
      <c r="D33" s="3" t="s">
        <v>12</v>
      </c>
      <c r="E33" s="9"/>
      <c r="F33" s="9"/>
      <c r="G33" s="9"/>
      <c r="H33" s="49" t="e">
        <f t="shared" si="4"/>
        <v>#DIV/0!</v>
      </c>
      <c r="I33" s="11">
        <f t="shared" si="6"/>
        <v>0</v>
      </c>
      <c r="J33" s="8"/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VLOOKUP(A34,'2024'!$A:$O,5,0)</f>
        <v>0</v>
      </c>
      <c r="F34" s="9">
        <f>VLOOKUP($A34,'2025'!$A:$O,5,0)</f>
        <v>0</v>
      </c>
      <c r="G34" s="9"/>
      <c r="H34" s="49" t="e">
        <f t="shared" si="4"/>
        <v>#DIV/0!</v>
      </c>
      <c r="I34" s="11">
        <f t="shared" si="6"/>
        <v>0</v>
      </c>
      <c r="J34" s="8">
        <f>VLOOKUP(B34,'תקציב  '!$B:$S,7,0)*1</f>
        <v>0</v>
      </c>
      <c r="K34" s="49" t="e">
        <f t="shared" si="5"/>
        <v>#DIV/0!</v>
      </c>
      <c r="L34" s="13">
        <f t="shared" si="7"/>
        <v>0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VLOOKUP(A35,'2024'!$A:$O,5,0)</f>
        <v>0</v>
      </c>
      <c r="F35" s="9">
        <f>VLOOKUP($A35,'2025'!$A:$O,5,0)</f>
        <v>0</v>
      </c>
      <c r="G35" s="9"/>
      <c r="H35" s="49" t="e">
        <f t="shared" si="4"/>
        <v>#DIV/0!</v>
      </c>
      <c r="I35" s="11">
        <f t="shared" si="6"/>
        <v>0</v>
      </c>
      <c r="J35" s="8">
        <f>VLOOKUP(B35,'תקציב  '!$B:$S,7,0)*1</f>
        <v>0</v>
      </c>
      <c r="K35" s="49" t="e">
        <f t="shared" si="5"/>
        <v>#DIV/0!</v>
      </c>
      <c r="L35" s="13">
        <f t="shared" si="7"/>
        <v>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VLOOKUP(A36,'2024'!$A:$O,5,0)</f>
        <v>41531.96</v>
      </c>
      <c r="F36" s="9">
        <f>VLOOKUP($A36,'2025'!$A:$O,5,0)</f>
        <v>0</v>
      </c>
      <c r="G36" s="9"/>
      <c r="H36" s="49" t="e">
        <f t="shared" si="4"/>
        <v>#DIV/0!</v>
      </c>
      <c r="I36" s="11">
        <f t="shared" si="6"/>
        <v>0</v>
      </c>
      <c r="J36" s="8"/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VLOOKUP(A37,'2024'!$A:$O,5,0)</f>
        <v>0</v>
      </c>
      <c r="F37" s="9">
        <f>VLOOKUP($A37,'2025'!$A:$O,5,0)</f>
        <v>0</v>
      </c>
      <c r="G37" s="9"/>
      <c r="H37" s="49" t="e">
        <f t="shared" si="4"/>
        <v>#DIV/0!</v>
      </c>
      <c r="I37" s="11">
        <f t="shared" si="6"/>
        <v>0</v>
      </c>
      <c r="J37" s="8"/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VLOOKUP(A38,'2024'!$A:$O,5,0)</f>
        <v>0</v>
      </c>
      <c r="F38" s="9">
        <f>VLOOKUP($A38,'2025'!$A:$O,5,0)</f>
        <v>0</v>
      </c>
      <c r="G38" s="9"/>
      <c r="H38" s="49" t="e">
        <f t="shared" si="4"/>
        <v>#DIV/0!</v>
      </c>
      <c r="I38" s="11">
        <f t="shared" si="6"/>
        <v>0</v>
      </c>
      <c r="J38" s="8">
        <f>VLOOKUP(B38,'תקציב  '!$B:$S,7,0)*1</f>
        <v>200000</v>
      </c>
      <c r="K38" s="49">
        <f t="shared" si="5"/>
        <v>-1</v>
      </c>
      <c r="L38" s="13">
        <f t="shared" si="7"/>
        <v>-200000</v>
      </c>
    </row>
    <row r="39" spans="1:12" ht="13.5" customHeight="1" x14ac:dyDescent="0.2">
      <c r="B39" s="37" t="s">
        <v>91</v>
      </c>
      <c r="C39" s="5" t="s">
        <v>91</v>
      </c>
      <c r="D39" s="3"/>
      <c r="E39" s="9"/>
      <c r="F39" s="9"/>
      <c r="G39" s="9"/>
      <c r="H39" s="49" t="e">
        <f t="shared" si="4"/>
        <v>#DIV/0!</v>
      </c>
      <c r="I39" s="11">
        <f t="shared" si="6"/>
        <v>0</v>
      </c>
      <c r="J39" s="8">
        <f>VLOOKUP(B39,'תקציב  '!$B:$S,7,0)*1</f>
        <v>0</v>
      </c>
      <c r="K39" s="49" t="e">
        <f t="shared" si="5"/>
        <v>#DIV/0!</v>
      </c>
      <c r="L39" s="13">
        <f t="shared" si="7"/>
        <v>0</v>
      </c>
    </row>
    <row r="40" spans="1:12" ht="15" x14ac:dyDescent="0.25">
      <c r="B40" s="268" t="s">
        <v>42</v>
      </c>
      <c r="C40" s="269"/>
      <c r="D40" s="269"/>
      <c r="E40" s="10">
        <f>SUM(E20:E39)</f>
        <v>605760.28</v>
      </c>
      <c r="F40" s="10">
        <f>SUM(F20:F39)</f>
        <v>629620.66</v>
      </c>
      <c r="G40" s="10">
        <f>SUM(G20:G39)</f>
        <v>675326.18</v>
      </c>
      <c r="H40" s="43">
        <f t="shared" si="4"/>
        <v>7.2592154139287546E-2</v>
      </c>
      <c r="I40" s="10">
        <f>SUM(I20:I39)</f>
        <v>45705.51999999999</v>
      </c>
      <c r="J40" s="10">
        <f>SUM(J20:J39)</f>
        <v>946901.26630000002</v>
      </c>
      <c r="K40" s="43">
        <f t="shared" si="5"/>
        <v>-0.28680401639040454</v>
      </c>
      <c r="L40" s="10">
        <f>SUM(L20:L39)</f>
        <v>-271575.08630000002</v>
      </c>
    </row>
    <row r="41" spans="1:12" ht="16.5" thickBot="1" x14ac:dyDescent="0.3">
      <c r="B41" s="270" t="s">
        <v>69</v>
      </c>
      <c r="C41" s="271"/>
      <c r="D41" s="271"/>
      <c r="E41" s="25">
        <f>E40+E19</f>
        <v>2025782.7459999996</v>
      </c>
      <c r="F41" s="25">
        <f>F40+F19</f>
        <v>2289139.0900000073</v>
      </c>
      <c r="G41" s="25">
        <f>G40+G19</f>
        <v>2396808.4580000215</v>
      </c>
      <c r="H41" s="44">
        <f t="shared" si="4"/>
        <v>4.7034873708794001E-2</v>
      </c>
      <c r="I41" s="25">
        <f>I40+I19</f>
        <v>107669.36800001428</v>
      </c>
      <c r="J41" s="25">
        <f>J40+J19</f>
        <v>2944067.6673263656</v>
      </c>
      <c r="K41" s="44">
        <f t="shared" si="5"/>
        <v>-0.18588540453736702</v>
      </c>
      <c r="L41" s="25">
        <f>L40+L19</f>
        <v>-547259.20932634384</v>
      </c>
    </row>
    <row r="42" spans="1:12" ht="15.75" thickBot="1" x14ac:dyDescent="0.3">
      <c r="B42" s="272" t="s">
        <v>43</v>
      </c>
      <c r="C42" s="273"/>
      <c r="D42" s="274"/>
      <c r="E42" s="16">
        <f>E40/E41</f>
        <v>0.29902529340626549</v>
      </c>
      <c r="F42" s="16">
        <f>F40/F41</f>
        <v>0.27504692167918815</v>
      </c>
      <c r="G42" s="16">
        <f>G40/G41</f>
        <v>0.28176059615690574</v>
      </c>
      <c r="H42" s="45"/>
      <c r="I42" s="6"/>
      <c r="J42" s="15">
        <f>J41-'תקציב  '!H41*1</f>
        <v>0</v>
      </c>
    </row>
    <row r="43" spans="1:12" x14ac:dyDescent="0.2">
      <c r="E43" s="47">
        <f>E41-'2024'!E38</f>
        <v>0</v>
      </c>
      <c r="I43" s="6"/>
    </row>
  </sheetData>
  <dataConsolidate/>
  <mergeCells count="6">
    <mergeCell ref="B1:L1"/>
    <mergeCell ref="B19:D19"/>
    <mergeCell ref="B40:D40"/>
    <mergeCell ref="B41:D41"/>
    <mergeCell ref="B42:D42"/>
    <mergeCell ref="B16:D16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B7F4-30FA-4ED2-8EE7-DF1A89D17A0A}">
  <dimension ref="A1:L43"/>
  <sheetViews>
    <sheetView rightToLeft="1" workbookViewId="0">
      <pane xSplit="4" ySplit="2" topLeftCell="I8" activePane="bottomRight" state="frozen"/>
      <selection activeCell="J13" sqref="J13"/>
      <selection pane="topRight" activeCell="J13" sqref="J13"/>
      <selection pane="bottomLeft" activeCell="J13" sqref="J13"/>
      <selection pane="bottomRight" activeCell="L23" sqref="L23"/>
    </sheetView>
  </sheetViews>
  <sheetFormatPr defaultRowHeight="14.25" x14ac:dyDescent="0.2"/>
  <cols>
    <col min="1" max="1" width="18.125" hidden="1" customWidth="1"/>
    <col min="2" max="2" width="17.375" customWidth="1"/>
    <col min="3" max="3" width="21.375" customWidth="1"/>
    <col min="4" max="4" width="11.375" style="1" customWidth="1"/>
    <col min="5" max="7" width="11.625" customWidth="1"/>
    <col min="8" max="8" width="11.875" style="51" bestFit="1" customWidth="1"/>
    <col min="9" max="9" width="16.75" bestFit="1" customWidth="1"/>
    <col min="10" max="10" width="14.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184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 t="s">
        <v>139</v>
      </c>
      <c r="F2" s="30" t="s">
        <v>204</v>
      </c>
      <c r="G2" s="30" t="s">
        <v>218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ינואר!E3+פברואר!E3+מרץ!E3+אפריל!E3</f>
        <v>610026.16</v>
      </c>
      <c r="F3" s="9">
        <f>ינואר!F3+פברואר!F3+מרץ!F3+אפריל!F3</f>
        <v>695183.40000000014</v>
      </c>
      <c r="G3" s="9">
        <f>ינואר!G3+פברואר!G3+מרץ!G3+אפריל!G3</f>
        <v>675311.6</v>
      </c>
      <c r="H3" s="49">
        <f t="shared" ref="H3:H16" si="0">G3/F3-1</f>
        <v>-2.8584974842610134E-2</v>
      </c>
      <c r="I3" s="11">
        <f t="shared" ref="I3:I15" si="1">G3-F3</f>
        <v>-19871.800000000163</v>
      </c>
      <c r="J3" s="9">
        <f>ינואר!J3+פברואר!J3+מרץ!J3+אפריל!J3</f>
        <v>711428.57142857148</v>
      </c>
      <c r="K3" s="49">
        <f t="shared" ref="K3:K16" si="2">G3/J3-1</f>
        <v>-5.0766827309237095E-2</v>
      </c>
      <c r="L3" s="13">
        <f t="shared" ref="L3:L15" si="3">G3-J3</f>
        <v>-36116.971428571502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ינואר!E4+פברואר!E4+מרץ!E4+אפריל!E4</f>
        <v>1790644.128</v>
      </c>
      <c r="F4" s="9">
        <f>ינואר!F4+פברואר!F4+מרץ!F4+אפריל!F4</f>
        <v>2065171.9479000161</v>
      </c>
      <c r="G4" s="9">
        <f>ינואר!G4+פברואר!G4+מרץ!G4+אפריל!G4</f>
        <v>1741700.9610000001</v>
      </c>
      <c r="H4" s="49">
        <f t="shared" si="0"/>
        <v>-0.15663150336171261</v>
      </c>
      <c r="I4" s="11">
        <f t="shared" si="1"/>
        <v>-323470.98690001597</v>
      </c>
      <c r="J4" s="9">
        <f>ינואר!J4+פברואר!J4+מרץ!J4+אפריל!J4</f>
        <v>2155571.4285714282</v>
      </c>
      <c r="K4" s="49">
        <f t="shared" si="2"/>
        <v>-0.19200034945987121</v>
      </c>
      <c r="L4" s="13">
        <f t="shared" si="3"/>
        <v>-413870.46757142805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ינואר!E5+פברואר!E5+מרץ!E5+אפריל!E5</f>
        <v>345101.39300000004</v>
      </c>
      <c r="F5" s="9">
        <f>ינואר!F5+פברואר!F5+מרץ!F5+אפריל!F5</f>
        <v>253877.44</v>
      </c>
      <c r="G5" s="9">
        <f>ינואר!G5+פברואר!G5+מרץ!G5+אפריל!G5</f>
        <v>279382.19400000002</v>
      </c>
      <c r="H5" s="49">
        <f t="shared" si="0"/>
        <v>0.10046089168064731</v>
      </c>
      <c r="I5" s="11">
        <f t="shared" si="1"/>
        <v>25504.754000000015</v>
      </c>
      <c r="J5" s="9">
        <f>ינואר!J5+פברואר!J5+מרץ!J5+אפריל!J5</f>
        <v>289285.71428571432</v>
      </c>
      <c r="K5" s="49">
        <f t="shared" si="2"/>
        <v>-3.4234391111111151E-2</v>
      </c>
      <c r="L5" s="13">
        <f t="shared" si="3"/>
        <v>-9903.5202857143013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ינואר!E6+פברואר!E6+מרץ!E6+אפריל!E6</f>
        <v>615895.93599999999</v>
      </c>
      <c r="F6" s="9">
        <f>ינואר!F6+פברואר!F6+מרץ!F6+אפריל!F6</f>
        <v>595795.78410000098</v>
      </c>
      <c r="G6" s="9">
        <f>ינואר!G6+פברואר!G6+מרץ!G6+אפריל!G6</f>
        <v>581184.31300000008</v>
      </c>
      <c r="H6" s="49">
        <f t="shared" si="0"/>
        <v>-2.4524294212777464E-2</v>
      </c>
      <c r="I6" s="11">
        <f t="shared" si="1"/>
        <v>-14611.471100000897</v>
      </c>
      <c r="J6" s="9">
        <f>ינואר!J6+פברואר!J6+מרץ!J6+אפריל!J6</f>
        <v>616714.28571428568</v>
      </c>
      <c r="K6" s="49">
        <f t="shared" si="2"/>
        <v>-5.7611723187398489E-2</v>
      </c>
      <c r="L6" s="13">
        <f t="shared" si="3"/>
        <v>-35529.972714285599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ינואר!E7+פברואר!E7+מרץ!E7+אפריל!E7</f>
        <v>1434417.5</v>
      </c>
      <c r="F7" s="9">
        <f>ינואר!F7+פברואר!F7+מרץ!F7+אפריל!F7</f>
        <v>1337841</v>
      </c>
      <c r="G7" s="9">
        <f>ינואר!G7+פברואר!G7+מרץ!G7+אפריל!G7</f>
        <v>1084192.3</v>
      </c>
      <c r="H7" s="49">
        <f t="shared" si="0"/>
        <v>-0.18959554984486193</v>
      </c>
      <c r="I7" s="11">
        <f t="shared" si="1"/>
        <v>-253648.69999999995</v>
      </c>
      <c r="J7" s="9">
        <f>ינואר!J7+פברואר!J7+מרץ!J7+אפריל!J7</f>
        <v>1460000</v>
      </c>
      <c r="K7" s="49">
        <f t="shared" si="2"/>
        <v>-0.25740253424657533</v>
      </c>
      <c r="L7" s="13">
        <f t="shared" si="3"/>
        <v>-375807.69999999995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ינואר!E8+פברואר!E8+מרץ!E8+אפריל!E8</f>
        <v>303706.90000000002</v>
      </c>
      <c r="F8" s="9">
        <f>ינואר!F8+פברואר!F8+מרץ!F8+אפריל!F8</f>
        <v>276916.21000000002</v>
      </c>
      <c r="G8" s="9">
        <f>ינואר!G8+פברואר!G8+מרץ!G8+אפריל!G8</f>
        <v>226000.54000000004</v>
      </c>
      <c r="H8" s="49">
        <f t="shared" si="0"/>
        <v>-0.18386670105011182</v>
      </c>
      <c r="I8" s="11">
        <f t="shared" si="1"/>
        <v>-50915.669999999984</v>
      </c>
      <c r="J8" s="9">
        <f>ינואר!J8+פברואר!J8+מרץ!J8+אפריל!J8</f>
        <v>401428.57142857142</v>
      </c>
      <c r="K8" s="49">
        <f t="shared" si="2"/>
        <v>-0.43700933096085404</v>
      </c>
      <c r="L8" s="13">
        <f t="shared" si="3"/>
        <v>-175428.03142857138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ינואר!E9+פברואר!E9+מרץ!E9+אפריל!E9</f>
        <v>334547.69</v>
      </c>
      <c r="F9" s="9">
        <f>ינואר!F9+פברואר!F9+מרץ!F9+אפריל!F9</f>
        <v>259098.35000000003</v>
      </c>
      <c r="G9" s="9">
        <f>ינואר!G9+פברואר!G9+מרץ!G9+אפריל!G9</f>
        <v>305377.44</v>
      </c>
      <c r="H9" s="49">
        <f t="shared" si="0"/>
        <v>0.17861591939894628</v>
      </c>
      <c r="I9" s="11">
        <f t="shared" si="1"/>
        <v>46279.089999999967</v>
      </c>
      <c r="J9" s="9">
        <f>ינואר!J9+פברואר!J9+מרץ!J9+אפריל!J9</f>
        <v>582821.42857142852</v>
      </c>
      <c r="K9" s="49">
        <f t="shared" si="2"/>
        <v>-0.4760360120105398</v>
      </c>
      <c r="L9" s="13">
        <f t="shared" si="3"/>
        <v>-277443.98857142852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ינואר!E10+פברואר!E10+מרץ!E10+אפריל!E10</f>
        <v>63110.43</v>
      </c>
      <c r="F10" s="9">
        <f>ינואר!F10+פברואר!F10+מרץ!F10+אפריל!F10</f>
        <v>70495.11</v>
      </c>
      <c r="G10" s="9">
        <f>ינואר!G10+פברואר!G10+מרץ!G10+אפריל!G10</f>
        <v>48130.53</v>
      </c>
      <c r="H10" s="49">
        <f t="shared" si="0"/>
        <v>-0.31725009011263339</v>
      </c>
      <c r="I10" s="11">
        <f t="shared" si="1"/>
        <v>-22364.58</v>
      </c>
      <c r="J10" s="9">
        <f>ינואר!J10+פברואר!J10+מרץ!J10+אפריל!J10</f>
        <v>61071.428571428572</v>
      </c>
      <c r="K10" s="49">
        <f t="shared" si="2"/>
        <v>-0.21189775438596492</v>
      </c>
      <c r="L10" s="13">
        <f t="shared" si="3"/>
        <v>-12940.898571428574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ינואר!E11+פברואר!E11+מרץ!E11+אפריל!E11</f>
        <v>20550.440000000002</v>
      </c>
      <c r="F11" s="9">
        <f>ינואר!F11+פברואר!F11+מרץ!F11+אפריל!F11</f>
        <v>25478.239999999998</v>
      </c>
      <c r="G11" s="9">
        <f>ינואר!G11+פברואר!G11+מרץ!G11+אפריל!G11</f>
        <v>17366.140000000003</v>
      </c>
      <c r="H11" s="49">
        <f t="shared" si="0"/>
        <v>-0.31839326421291247</v>
      </c>
      <c r="I11" s="11">
        <f t="shared" si="1"/>
        <v>-8112.0999999999949</v>
      </c>
      <c r="J11" s="9">
        <f>ינואר!J11+פברואר!J11+מרץ!J11+אפריל!J11</f>
        <v>30142.857142857141</v>
      </c>
      <c r="K11" s="49">
        <f t="shared" si="2"/>
        <v>-0.42387213270142166</v>
      </c>
      <c r="L11" s="13">
        <f t="shared" si="3"/>
        <v>-12776.717142857138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ינואר!E12+פברואר!E12+מרץ!E12+אפריל!E12</f>
        <v>850.4</v>
      </c>
      <c r="F12" s="9">
        <f>ינואר!F12+פברואר!F12+מרץ!F12+אפריל!F12</f>
        <v>1732.3</v>
      </c>
      <c r="G12" s="9">
        <f>ינואר!G12+פברואר!G12+מרץ!G12+אפריל!G12</f>
        <v>1917.1599999999999</v>
      </c>
      <c r="H12" s="49">
        <f t="shared" si="0"/>
        <v>0.10671361773364896</v>
      </c>
      <c r="I12" s="11">
        <f t="shared" si="1"/>
        <v>184.8599999999999</v>
      </c>
      <c r="J12" s="9">
        <f>ינואר!J12+פברואר!J12+מרץ!J12+אפריל!J12</f>
        <v>0</v>
      </c>
      <c r="K12" s="49"/>
      <c r="L12" s="13">
        <f t="shared" si="3"/>
        <v>1917.1599999999999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ינואר!E13+פברואר!E13+מרץ!E13+אפריל!E13</f>
        <v>0</v>
      </c>
      <c r="F13" s="9">
        <f>ינואר!F13+פברואר!F13+מרץ!F13+אפריל!F13</f>
        <v>0</v>
      </c>
      <c r="G13" s="9">
        <f>ינואר!G13+פברואר!G13+מרץ!G13+אפריל!G13</f>
        <v>0</v>
      </c>
      <c r="H13" s="49" t="e">
        <f t="shared" si="0"/>
        <v>#DIV/0!</v>
      </c>
      <c r="I13" s="11">
        <f t="shared" si="1"/>
        <v>0</v>
      </c>
      <c r="J13" s="9">
        <f>ינואר!J13+פברואר!J13+מרץ!J13+אפריל!J13</f>
        <v>12500</v>
      </c>
      <c r="K13" s="49">
        <f t="shared" si="2"/>
        <v>-1</v>
      </c>
      <c r="L13" s="13">
        <f t="shared" si="3"/>
        <v>-12500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ינואר!E14+פברואר!E14+מרץ!E14+אפריל!E14</f>
        <v>1275.21</v>
      </c>
      <c r="F14" s="9">
        <f>ינואר!F14+פברואר!F14+מרץ!F14+אפריל!F14</f>
        <v>11067.51</v>
      </c>
      <c r="G14" s="9">
        <f>ינואר!G14+פברואר!G14+מרץ!G14+אפריל!G14</f>
        <v>4318.72</v>
      </c>
      <c r="H14" s="49">
        <f t="shared" si="0"/>
        <v>-0.60978395321079448</v>
      </c>
      <c r="I14" s="11">
        <f t="shared" si="1"/>
        <v>-6748.79</v>
      </c>
      <c r="J14" s="9">
        <f>ינואר!J14+פברואר!J14+מרץ!J14+אפריל!J14</f>
        <v>50000</v>
      </c>
      <c r="K14" s="49">
        <f t="shared" si="2"/>
        <v>-0.91362560000000004</v>
      </c>
      <c r="L14" s="13">
        <f t="shared" si="3"/>
        <v>-45681.279999999999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ינואר!E15+פברואר!E15+מרץ!E15+אפריל!E15</f>
        <v>23494.41</v>
      </c>
      <c r="F15" s="9">
        <f>ינואר!F15+פברואר!F15+מרץ!F15+אפריל!F15</f>
        <v>35752.270000000004</v>
      </c>
      <c r="G15" s="9">
        <f>ינואר!G15+פברואר!G15+מרץ!G15+אפריל!G15</f>
        <v>67317.47</v>
      </c>
      <c r="H15" s="49">
        <f t="shared" si="0"/>
        <v>0.88288659713075535</v>
      </c>
      <c r="I15" s="11">
        <f t="shared" si="1"/>
        <v>31565.199999999997</v>
      </c>
      <c r="J15" s="9">
        <f>ינואר!J15+פברואר!J15+מרץ!J15+אפריל!J15</f>
        <v>64285.714285714283</v>
      </c>
      <c r="K15" s="49">
        <f t="shared" si="2"/>
        <v>4.7160644444444566E-2</v>
      </c>
      <c r="L15" s="13">
        <f t="shared" si="3"/>
        <v>3031.7557142857186</v>
      </c>
    </row>
    <row r="16" spans="1:12" ht="15" x14ac:dyDescent="0.25">
      <c r="B16" s="277" t="s">
        <v>221</v>
      </c>
      <c r="C16" s="278"/>
      <c r="D16" s="278"/>
      <c r="E16" s="67">
        <f>SUM(E3:E15)</f>
        <v>5543620.5970000019</v>
      </c>
      <c r="F16" s="67">
        <f>SUM(F3:F15)</f>
        <v>5628409.5620000167</v>
      </c>
      <c r="G16" s="67">
        <f>SUM(G3:G15)</f>
        <v>5032199.3680000007</v>
      </c>
      <c r="H16" s="68">
        <f t="shared" si="0"/>
        <v>-0.10592871528491909</v>
      </c>
      <c r="I16" s="67">
        <f>SUM(I3:I15)</f>
        <v>-596210.1940000169</v>
      </c>
      <c r="J16" s="67">
        <f>SUM(J3:J15)</f>
        <v>6435249.9999999991</v>
      </c>
      <c r="K16" s="68">
        <f t="shared" si="2"/>
        <v>-0.21802581593566661</v>
      </c>
      <c r="L16" s="67">
        <f>SUM(L3:L15)</f>
        <v>-1403050.6319999995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ינואר!E17+פברואר!E17+מרץ!E17+אפריל!E17</f>
        <v>171892.77999999991</v>
      </c>
      <c r="F17" s="9">
        <f>ינואר!F17+פברואר!F17+מרץ!F17+אפריל!F17</f>
        <v>385485.89999999956</v>
      </c>
      <c r="G17" s="9">
        <f>ינואר!G17+פברואר!G17+מרץ!G17+אפריל!G17</f>
        <v>1403140.8000000319</v>
      </c>
      <c r="H17" s="49">
        <f>G17/F17-1</f>
        <v>2.6399276860710952</v>
      </c>
      <c r="I17" s="11">
        <f>G17-F17</f>
        <v>1017654.9000000324</v>
      </c>
      <c r="J17" s="9">
        <f>ינואר!J17+פברואר!J17+מרץ!J17+אפריל!J17</f>
        <v>1684533.898305085</v>
      </c>
      <c r="K17" s="49">
        <f>G17/J17-1</f>
        <v>-0.16704507910952715</v>
      </c>
      <c r="L17" s="13">
        <f>G17-J17</f>
        <v>-281393.09830505308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ינואר!E18+פברואר!E18+מרץ!E18+אפריל!E18</f>
        <v>8390.4900000000016</v>
      </c>
      <c r="F18" s="9">
        <f>ינואר!F18+פברואר!F18+מרץ!F18+אפריל!F18</f>
        <v>11405.080000000002</v>
      </c>
      <c r="G18" s="9">
        <f>ינואר!G18+פברואר!G18+מרץ!G18+אפריל!G18</f>
        <v>6389.9700000000012</v>
      </c>
      <c r="H18" s="49">
        <f>G18/F18-1</f>
        <v>-0.43972598175549837</v>
      </c>
      <c r="I18" s="11">
        <f>G18-F18</f>
        <v>-5015.1100000000006</v>
      </c>
      <c r="J18" s="9">
        <f>ינואר!J18+פברואר!J18+מרץ!J18+אפריל!J18</f>
        <v>10147.71333333333</v>
      </c>
      <c r="K18" s="49">
        <f>G18/J18-1</f>
        <v>-0.37030444297138831</v>
      </c>
      <c r="L18" s="13">
        <f>G18-J18</f>
        <v>-3757.7433333333283</v>
      </c>
    </row>
    <row r="19" spans="1:12" ht="15" x14ac:dyDescent="0.25">
      <c r="B19" s="266" t="s">
        <v>41</v>
      </c>
      <c r="C19" s="267"/>
      <c r="D19" s="267"/>
      <c r="E19" s="12">
        <f>E16+E17+E18</f>
        <v>5723903.8670000024</v>
      </c>
      <c r="F19" s="12">
        <f>F16+F17+F18</f>
        <v>6025300.5420000162</v>
      </c>
      <c r="G19" s="12">
        <f>G16+G17+G18</f>
        <v>6441730.1380000329</v>
      </c>
      <c r="H19" s="50">
        <f t="shared" ref="H19:H41" si="4">G19/F19-1</f>
        <v>6.9113497840854299E-2</v>
      </c>
      <c r="I19" s="12">
        <f>I16+I17+I18</f>
        <v>416429.5960000155</v>
      </c>
      <c r="J19" s="12">
        <f>J16+J17+J18</f>
        <v>8129931.6116384175</v>
      </c>
      <c r="K19" s="50">
        <f t="shared" ref="K19:K41" si="5">G19/J19-1</f>
        <v>-0.20765260450919865</v>
      </c>
      <c r="L19" s="12">
        <f>L16+L17+L18</f>
        <v>-1688201.473638386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ינואר!E20+פברואר!E20+מרץ!E20+אפריל!E20</f>
        <v>1368359.1500000001</v>
      </c>
      <c r="F20" s="9">
        <f>ינואר!F20+פברואר!F20+מרץ!F20+אפריל!F20</f>
        <v>854114.09000000008</v>
      </c>
      <c r="G20" s="9">
        <f>ינואר!G20+פברואר!G20+מרץ!G20+אפריל!G20</f>
        <v>801164.24</v>
      </c>
      <c r="H20" s="49">
        <f t="shared" si="4"/>
        <v>-6.1993884212822259E-2</v>
      </c>
      <c r="I20" s="11">
        <f t="shared" ref="I20:I39" si="6">G20-F20</f>
        <v>-52949.850000000093</v>
      </c>
      <c r="J20" s="9">
        <f>ינואר!J20+פברואר!J20+מרץ!J20+אפריל!J20</f>
        <v>1284545.6691375</v>
      </c>
      <c r="K20" s="49">
        <f t="shared" si="5"/>
        <v>-0.37630536675435089</v>
      </c>
      <c r="L20" s="13">
        <f t="shared" ref="L20:L39" si="7">G20-J20</f>
        <v>-483381.4291375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ינואר!E21+פברואר!E21+מרץ!E21+אפריל!E21</f>
        <v>440395.64</v>
      </c>
      <c r="F21" s="9">
        <f>ינואר!F21+פברואר!F21+מרץ!F21+אפריל!F21</f>
        <v>430264.8</v>
      </c>
      <c r="G21" s="9">
        <f>ינואר!G21+פברואר!G21+מרץ!G21+אפריל!G21</f>
        <v>137198.20000000001</v>
      </c>
      <c r="H21" s="49">
        <f t="shared" si="4"/>
        <v>-0.68113078271799132</v>
      </c>
      <c r="I21" s="11">
        <f t="shared" si="6"/>
        <v>-293066.59999999998</v>
      </c>
      <c r="J21" s="9">
        <f>ינואר!J21+פברואר!J21+מרץ!J21+אפריל!J21</f>
        <v>235200</v>
      </c>
      <c r="K21" s="49">
        <f t="shared" si="5"/>
        <v>-0.41667431972789115</v>
      </c>
      <c r="L21" s="13">
        <f t="shared" si="7"/>
        <v>-98001.799999999988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ינואר!E22+פברואר!E22+מרץ!E22+אפריל!E22</f>
        <v>134605.5</v>
      </c>
      <c r="F22" s="9">
        <f>ינואר!F22+פברואר!F22+מרץ!F22+אפריל!F22</f>
        <v>80573.03</v>
      </c>
      <c r="G22" s="9">
        <f>ינואר!G22+פברואר!G22+מרץ!G22+אפריל!G22</f>
        <v>272984.45</v>
      </c>
      <c r="H22" s="49">
        <f t="shared" si="4"/>
        <v>2.3880375356369248</v>
      </c>
      <c r="I22" s="11">
        <f t="shared" si="6"/>
        <v>192411.42</v>
      </c>
      <c r="J22" s="9">
        <f>ינואר!J22+פברואר!J22+מרץ!J22+אפריל!J22</f>
        <v>251610.27</v>
      </c>
      <c r="K22" s="49">
        <f t="shared" si="5"/>
        <v>8.4949553132310562E-2</v>
      </c>
      <c r="L22" s="13">
        <f t="shared" si="7"/>
        <v>21374.180000000022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ינואר!E23+פברואר!E23+מרץ!E23+אפריל!E23</f>
        <v>153212.06</v>
      </c>
      <c r="F23" s="9">
        <f>ינואר!F23+פברואר!F23+מרץ!F23+אפריל!F23</f>
        <v>174270.07</v>
      </c>
      <c r="G23" s="9">
        <f>ינואר!G23+פברואר!G23+מרץ!G23+אפריל!G23</f>
        <v>159563.93</v>
      </c>
      <c r="H23" s="49">
        <f t="shared" si="4"/>
        <v>-8.4387066580050241E-2</v>
      </c>
      <c r="I23" s="11">
        <f t="shared" si="6"/>
        <v>-14706.140000000014</v>
      </c>
      <c r="J23" s="9">
        <f>ינואר!J23+פברואר!J23+מרץ!J23+אפריל!J23</f>
        <v>162158.96999999997</v>
      </c>
      <c r="K23" s="49">
        <f t="shared" si="5"/>
        <v>-1.6003061686935882E-2</v>
      </c>
      <c r="L23" s="13">
        <f t="shared" si="7"/>
        <v>-2595.039999999979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ינואר!E24+פברואר!E24+מרץ!E24+אפריל!E24</f>
        <v>49857.25</v>
      </c>
      <c r="F24" s="9">
        <f>ינואר!F24+פברואר!F24+מרץ!F24+אפריל!F24</f>
        <v>41888.1</v>
      </c>
      <c r="G24" s="9">
        <f>ינואר!G24+פברואר!G24+מרץ!G24+אפריל!G24</f>
        <v>44796.11</v>
      </c>
      <c r="H24" s="49">
        <f t="shared" si="4"/>
        <v>6.9423296831319758E-2</v>
      </c>
      <c r="I24" s="11">
        <f t="shared" si="6"/>
        <v>2908.010000000002</v>
      </c>
      <c r="J24" s="9">
        <f>ינואר!J24+פברואר!J24+מרץ!J24+אפריל!J24</f>
        <v>42774.92</v>
      </c>
      <c r="K24" s="49">
        <f t="shared" si="5"/>
        <v>4.7251754065232632E-2</v>
      </c>
      <c r="L24" s="13">
        <f t="shared" si="7"/>
        <v>2021.1900000000023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ינואר!E25+פברואר!E25+מרץ!E25+אפריל!E25</f>
        <v>50777.759999999995</v>
      </c>
      <c r="F25" s="9">
        <f>ינואר!F25+פברואר!F25+מרץ!F25+אפריל!F25</f>
        <v>42132.93</v>
      </c>
      <c r="G25" s="9">
        <f>ינואר!G25+פברואר!G25+מרץ!G25+אפריל!G25</f>
        <v>0</v>
      </c>
      <c r="H25" s="49">
        <f t="shared" si="4"/>
        <v>-1</v>
      </c>
      <c r="I25" s="11">
        <f t="shared" si="6"/>
        <v>-42132.93</v>
      </c>
      <c r="J25" s="9">
        <f>ינואר!J25+פברואר!J25+מרץ!J25+אפריל!J25</f>
        <v>10000</v>
      </c>
      <c r="K25" s="49">
        <f t="shared" si="5"/>
        <v>-1</v>
      </c>
      <c r="L25" s="13">
        <f t="shared" si="7"/>
        <v>-10000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ינואר!E26+פברואר!E26+מרץ!E26+אפריל!E26</f>
        <v>249206.12</v>
      </c>
      <c r="F26" s="9">
        <f>ינואר!F26+פברואר!F26+מרץ!F26+אפריל!F26</f>
        <v>0</v>
      </c>
      <c r="G26" s="9">
        <f>ינואר!G26+פברואר!G26+מרץ!G26+אפריל!G26</f>
        <v>164087.79999999999</v>
      </c>
      <c r="H26" s="49" t="e">
        <f t="shared" si="4"/>
        <v>#DIV/0!</v>
      </c>
      <c r="I26" s="11">
        <f t="shared" si="6"/>
        <v>164087.79999999999</v>
      </c>
      <c r="J26" s="9">
        <f>ינואר!J26+פברואר!J26+מרץ!J26+אפריל!J26</f>
        <v>150000</v>
      </c>
      <c r="K26" s="49">
        <f t="shared" si="5"/>
        <v>9.3918666666666484E-2</v>
      </c>
      <c r="L26" s="13">
        <f t="shared" si="7"/>
        <v>14087.799999999988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ינואר!E27+פברואר!E27+מרץ!E27+אפריל!E27</f>
        <v>62495.479999999996</v>
      </c>
      <c r="F27" s="9">
        <f>ינואר!F27+פברואר!F27+מרץ!F27+אפריל!F27</f>
        <v>35240.620000000003</v>
      </c>
      <c r="G27" s="9">
        <f>ינואר!G27+פברואר!G27+מרץ!G27+אפריל!G27</f>
        <v>42152.31</v>
      </c>
      <c r="H27" s="49">
        <f t="shared" si="4"/>
        <v>0.19612850171194474</v>
      </c>
      <c r="I27" s="11">
        <f t="shared" si="6"/>
        <v>6911.6899999999951</v>
      </c>
      <c r="J27" s="9">
        <f>ינואר!J27+פברואר!J27+מרץ!J27+אפריל!J27</f>
        <v>80000</v>
      </c>
      <c r="K27" s="49">
        <f t="shared" si="5"/>
        <v>-0.47309612499999998</v>
      </c>
      <c r="L27" s="13">
        <f t="shared" si="7"/>
        <v>-37847.69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ינואר!E28+פברואר!E28+מרץ!E28+אפריל!E28</f>
        <v>171813.81000000003</v>
      </c>
      <c r="F28" s="9">
        <f>ינואר!F28+פברואר!F28+מרץ!F28+אפריל!F28</f>
        <v>0.22</v>
      </c>
      <c r="G28" s="9">
        <f>ינואר!G28+פברואר!G28+מרץ!G28+אפריל!G28</f>
        <v>0</v>
      </c>
      <c r="H28" s="49">
        <f t="shared" si="4"/>
        <v>-1</v>
      </c>
      <c r="I28" s="11">
        <f t="shared" si="6"/>
        <v>-0.22</v>
      </c>
      <c r="J28" s="9">
        <f>ינואר!J28+פברואר!J28+מרץ!J28+אפריל!J28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ינואר!E29+פברואר!E29+מרץ!E29+אפריל!E29</f>
        <v>103249.77</v>
      </c>
      <c r="F29" s="9">
        <f>ינואר!F29+פברואר!F29+מרץ!F29+אפריל!F29</f>
        <v>131517.04999999999</v>
      </c>
      <c r="G29" s="9">
        <f>ינואר!G29+פברואר!G29+מרץ!G29+אפריל!G29</f>
        <v>113055.9</v>
      </c>
      <c r="H29" s="49">
        <f t="shared" si="4"/>
        <v>-0.14037077321913771</v>
      </c>
      <c r="I29" s="11">
        <f t="shared" si="6"/>
        <v>-18461.149999999994</v>
      </c>
      <c r="J29" s="9">
        <f>ינואר!J29+פברואר!J29+מרץ!J29+אפריל!J29</f>
        <v>131879.39199999999</v>
      </c>
      <c r="K29" s="49">
        <f t="shared" si="5"/>
        <v>-0.14273262648951246</v>
      </c>
      <c r="L29" s="13">
        <f t="shared" si="7"/>
        <v>-18823.491999999998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ינואר!E30+פברואר!E30+מרץ!E30+אפריל!E30</f>
        <v>49617.59</v>
      </c>
      <c r="F30" s="9">
        <f>ינואר!F30+פברואר!F30+מרץ!F30+אפריל!F30</f>
        <v>32010.18</v>
      </c>
      <c r="G30" s="9">
        <f>ינואר!G30+פברואר!G30+מרץ!G30+אפריל!G30</f>
        <v>0</v>
      </c>
      <c r="H30" s="49">
        <f t="shared" si="4"/>
        <v>-1</v>
      </c>
      <c r="I30" s="11">
        <f t="shared" si="6"/>
        <v>-32010.18</v>
      </c>
      <c r="J30" s="9">
        <f>ינואר!J30+פברואר!J30+מרץ!J30+אפריל!J30</f>
        <v>35000</v>
      </c>
      <c r="K30" s="49">
        <f t="shared" si="5"/>
        <v>-1</v>
      </c>
      <c r="L30" s="13">
        <f t="shared" si="7"/>
        <v>-35000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ינואר!E31+פברואר!E31+מרץ!E31+אפריל!E31</f>
        <v>20354.79</v>
      </c>
      <c r="F31" s="9">
        <f>ינואר!F31+פברואר!F31+מרץ!F31+אפריל!F31</f>
        <v>19897.57</v>
      </c>
      <c r="G31" s="9">
        <f>ינואר!G31+פברואר!G31+מרץ!G31+אפריל!G31</f>
        <v>17809.5</v>
      </c>
      <c r="H31" s="49">
        <f t="shared" si="4"/>
        <v>-0.10494095510155255</v>
      </c>
      <c r="I31" s="11">
        <f t="shared" si="6"/>
        <v>-2088.0699999999997</v>
      </c>
      <c r="J31" s="9">
        <f>ינואר!J31+פברואר!J31+מרץ!J31+אפריל!J31</f>
        <v>20000</v>
      </c>
      <c r="K31" s="49">
        <f t="shared" si="5"/>
        <v>-0.10952499999999998</v>
      </c>
      <c r="L31" s="13">
        <f t="shared" si="7"/>
        <v>-2190.5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ינואר!E32+פברואר!E32+מרץ!E32+אפריל!E32</f>
        <v>0</v>
      </c>
      <c r="F32" s="9">
        <f>ינואר!F32+פברואר!F32+מרץ!F32+אפריל!F32</f>
        <v>16024.5</v>
      </c>
      <c r="G32" s="9">
        <f>ינואר!G32+פברואר!G32+מרץ!G32+אפריל!G32</f>
        <v>0</v>
      </c>
      <c r="H32" s="49">
        <f t="shared" si="4"/>
        <v>-1</v>
      </c>
      <c r="I32" s="11">
        <f t="shared" si="6"/>
        <v>-16024.5</v>
      </c>
      <c r="J32" s="9">
        <f>ינואר!J32+פברואר!J32+מרץ!J32+אפריל!J32</f>
        <v>18000</v>
      </c>
      <c r="K32" s="49">
        <f t="shared" si="5"/>
        <v>-1</v>
      </c>
      <c r="L32" s="13">
        <f t="shared" si="7"/>
        <v>-18000</v>
      </c>
    </row>
    <row r="33" spans="1:12" ht="13.5" customHeight="1" x14ac:dyDescent="0.2">
      <c r="B33" s="36"/>
      <c r="C33" s="5" t="s">
        <v>11</v>
      </c>
      <c r="D33" s="3" t="s">
        <v>12</v>
      </c>
      <c r="E33" s="9">
        <f>ינואר!E33+פברואר!E33+מרץ!E33+אפריל!E33</f>
        <v>0</v>
      </c>
      <c r="F33" s="9">
        <f>ינואר!F33+פברואר!F33+מרץ!F33+אפריל!F33</f>
        <v>0</v>
      </c>
      <c r="G33" s="9">
        <f>ינואר!G33+פברואר!G33+מרץ!G33+אפריל!G33</f>
        <v>0</v>
      </c>
      <c r="H33" s="49" t="e">
        <f t="shared" si="4"/>
        <v>#DIV/0!</v>
      </c>
      <c r="I33" s="11">
        <f t="shared" si="6"/>
        <v>0</v>
      </c>
      <c r="J33" s="9">
        <f>ינואר!J33+פברואר!J33+מרץ!J33+אפריל!J33</f>
        <v>0</v>
      </c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ינואר!E34+פברואר!E34+מרץ!E34+אפריל!E34</f>
        <v>19941.820000000003</v>
      </c>
      <c r="F34" s="9">
        <f>ינואר!F34+פברואר!F34+מרץ!F34+אפריל!F34</f>
        <v>20695.689999999999</v>
      </c>
      <c r="G34" s="9">
        <f>ינואר!G34+פברואר!G34+מרץ!G34+אפריל!G34</f>
        <v>18792.66</v>
      </c>
      <c r="H34" s="49">
        <f t="shared" si="4"/>
        <v>-9.1952962186812814E-2</v>
      </c>
      <c r="I34" s="11">
        <f t="shared" si="6"/>
        <v>-1903.0299999999988</v>
      </c>
      <c r="J34" s="9">
        <f>ינואר!J34+פברואר!J34+מרץ!J34+אפריל!J34</f>
        <v>18792.66</v>
      </c>
      <c r="K34" s="49">
        <f t="shared" si="5"/>
        <v>0</v>
      </c>
      <c r="L34" s="13">
        <f t="shared" si="7"/>
        <v>0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ינואר!E35+פברואר!E35+מרץ!E35+אפריל!E35</f>
        <v>34034.18</v>
      </c>
      <c r="F35" s="9">
        <f>ינואר!F35+פברואר!F35+מרץ!F35+אפריל!F35</f>
        <v>0</v>
      </c>
      <c r="G35" s="9">
        <f>ינואר!G35+פברואר!G35+מרץ!G35+אפריל!G35</f>
        <v>0</v>
      </c>
      <c r="H35" s="49" t="e">
        <f t="shared" si="4"/>
        <v>#DIV/0!</v>
      </c>
      <c r="I35" s="11">
        <f t="shared" si="6"/>
        <v>0</v>
      </c>
      <c r="J35" s="9">
        <f>ינואר!J35+פברואר!J35+מרץ!J35+אפריל!J35</f>
        <v>0</v>
      </c>
      <c r="K35" s="49" t="e">
        <f t="shared" si="5"/>
        <v>#DIV/0!</v>
      </c>
      <c r="L35" s="13">
        <f t="shared" si="7"/>
        <v>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ינואר!E36+פברואר!E36+מרץ!E36+אפריל!E36</f>
        <v>41531.96</v>
      </c>
      <c r="F36" s="9">
        <f>ינואר!F36+פברואר!F36+מרץ!F36+אפריל!F36</f>
        <v>0</v>
      </c>
      <c r="G36" s="9">
        <f>ינואר!G36+פברואר!G36+מרץ!G36+אפריל!G36</f>
        <v>0</v>
      </c>
      <c r="H36" s="49" t="e">
        <f t="shared" si="4"/>
        <v>#DIV/0!</v>
      </c>
      <c r="I36" s="11">
        <f t="shared" si="6"/>
        <v>0</v>
      </c>
      <c r="J36" s="9">
        <f>ינואר!J36+פברואר!J36+מרץ!J36+אפריל!J36</f>
        <v>0</v>
      </c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ינואר!E37+פברואר!E37+מרץ!E37+אפריל!E37</f>
        <v>0</v>
      </c>
      <c r="F37" s="9">
        <f>ינואר!F37+פברואר!F37+מרץ!F37+אפריל!F37</f>
        <v>0</v>
      </c>
      <c r="G37" s="9">
        <f>ינואר!G37+פברואר!G37+מרץ!G37+אפריל!G37</f>
        <v>0</v>
      </c>
      <c r="H37" s="49" t="e">
        <f t="shared" si="4"/>
        <v>#DIV/0!</v>
      </c>
      <c r="I37" s="11">
        <f t="shared" si="6"/>
        <v>0</v>
      </c>
      <c r="J37" s="9">
        <f>ינואר!J37+פברואר!J37+מרץ!J37+אפריל!J37</f>
        <v>0</v>
      </c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ינואר!E38+פברואר!E38+מרץ!E38+אפריל!E38</f>
        <v>0</v>
      </c>
      <c r="F38" s="9">
        <f>ינואר!F38+פברואר!F38+מרץ!F38+אפריל!F38</f>
        <v>0</v>
      </c>
      <c r="G38" s="9">
        <f>ינואר!G38+פברואר!G38+מרץ!G38+אפריל!G38</f>
        <v>0</v>
      </c>
      <c r="H38" s="49" t="e">
        <f t="shared" si="4"/>
        <v>#DIV/0!</v>
      </c>
      <c r="I38" s="11">
        <f t="shared" si="6"/>
        <v>0</v>
      </c>
      <c r="J38" s="9">
        <f>ינואר!J38+פברואר!J38+מרץ!J38+אפריל!J38</f>
        <v>200000</v>
      </c>
      <c r="K38" s="49">
        <f t="shared" si="5"/>
        <v>-1</v>
      </c>
      <c r="L38" s="13">
        <f t="shared" si="7"/>
        <v>-200000</v>
      </c>
    </row>
    <row r="39" spans="1:12" ht="13.5" customHeight="1" x14ac:dyDescent="0.2">
      <c r="B39" s="37" t="s">
        <v>91</v>
      </c>
      <c r="C39" s="5" t="s">
        <v>91</v>
      </c>
      <c r="D39" s="3"/>
      <c r="E39" s="9">
        <f>ינואר!E39+פברואר!E39+מרץ!E39+אפריל!E39</f>
        <v>0</v>
      </c>
      <c r="F39" s="9">
        <f>ינואר!F39+פברואר!F39+מרץ!F39+אפריל!F39</f>
        <v>0</v>
      </c>
      <c r="G39" s="9">
        <f>ינואר!G39+פברואר!G39+מרץ!G39+אפריל!G39</f>
        <v>0</v>
      </c>
      <c r="H39" s="49" t="e">
        <f t="shared" si="4"/>
        <v>#DIV/0!</v>
      </c>
      <c r="I39" s="11">
        <f t="shared" si="6"/>
        <v>0</v>
      </c>
      <c r="J39" s="9">
        <f>ינואר!J39+פברואר!J39+מרץ!J39+אפריל!J39</f>
        <v>0</v>
      </c>
      <c r="K39" s="49" t="e">
        <f t="shared" si="5"/>
        <v>#DIV/0!</v>
      </c>
      <c r="L39" s="13">
        <f t="shared" si="7"/>
        <v>0</v>
      </c>
    </row>
    <row r="40" spans="1:12" ht="15" x14ac:dyDescent="0.25">
      <c r="B40" s="268" t="s">
        <v>42</v>
      </c>
      <c r="C40" s="269"/>
      <c r="D40" s="269"/>
      <c r="E40" s="10">
        <f>SUM(E20:E39)</f>
        <v>2949452.88</v>
      </c>
      <c r="F40" s="10">
        <f>SUM(F20:F39)</f>
        <v>1878628.8500000003</v>
      </c>
      <c r="G40" s="10">
        <f>SUM(G20:G39)</f>
        <v>1771605.0999999999</v>
      </c>
      <c r="H40" s="43">
        <f t="shared" si="4"/>
        <v>-5.6969076142954211E-2</v>
      </c>
      <c r="I40" s="10">
        <f>SUM(I20:I39)</f>
        <v>-107023.75000000006</v>
      </c>
      <c r="J40" s="10">
        <f>SUM(J20:J39)</f>
        <v>2639961.8811375001</v>
      </c>
      <c r="K40" s="43">
        <f t="shared" si="5"/>
        <v>-0.32892777253410377</v>
      </c>
      <c r="L40" s="10">
        <f>SUM(L20:L39)</f>
        <v>-868356.78113749984</v>
      </c>
    </row>
    <row r="41" spans="1:12" ht="16.5" thickBot="1" x14ac:dyDescent="0.3">
      <c r="B41" s="270" t="s">
        <v>69</v>
      </c>
      <c r="C41" s="271"/>
      <c r="D41" s="271"/>
      <c r="E41" s="25">
        <f>E40+E19</f>
        <v>8673356.7470000014</v>
      </c>
      <c r="F41" s="25">
        <f>F40+F19</f>
        <v>7903929.3920000168</v>
      </c>
      <c r="G41" s="25">
        <f>G40+G19</f>
        <v>8213335.2380000325</v>
      </c>
      <c r="H41" s="44">
        <f t="shared" si="4"/>
        <v>3.914582616504414E-2</v>
      </c>
      <c r="I41" s="25">
        <f>I40+I19</f>
        <v>309405.84600001544</v>
      </c>
      <c r="J41" s="25">
        <f>J40+J19</f>
        <v>10769893.492775917</v>
      </c>
      <c r="K41" s="44">
        <f t="shared" si="5"/>
        <v>-0.23738008704456903</v>
      </c>
      <c r="L41" s="25">
        <f>L40+L19</f>
        <v>-2556558.254775886</v>
      </c>
    </row>
    <row r="42" spans="1:12" ht="15.75" thickBot="1" x14ac:dyDescent="0.3">
      <c r="B42" s="272" t="s">
        <v>43</v>
      </c>
      <c r="C42" s="273"/>
      <c r="D42" s="274"/>
      <c r="E42" s="16">
        <f>E40/E41</f>
        <v>0.34005898362478593</v>
      </c>
      <c r="F42" s="16">
        <f>F40/F41</f>
        <v>0.23768289882516658</v>
      </c>
      <c r="G42" s="16">
        <f>G40/G41</f>
        <v>0.21569862286923894</v>
      </c>
      <c r="H42" s="45"/>
      <c r="I42" s="6"/>
      <c r="J42" s="15">
        <f>J40-ינואר!J40-פברואר!J40-מרץ!J40-אפריל!J40</f>
        <v>0</v>
      </c>
    </row>
    <row r="43" spans="1:12" x14ac:dyDescent="0.2">
      <c r="E43" s="15">
        <f>E41-ינואר!E41-פברואר!E41-מרץ!E41-אפריל!E41</f>
        <v>0</v>
      </c>
      <c r="I43" s="6"/>
    </row>
  </sheetData>
  <dataConsolidate/>
  <mergeCells count="6">
    <mergeCell ref="B1:L1"/>
    <mergeCell ref="B19:D19"/>
    <mergeCell ref="B40:D40"/>
    <mergeCell ref="B41:D41"/>
    <mergeCell ref="B42:D42"/>
    <mergeCell ref="B16:D16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F924-FC38-4105-82F4-95925A03B8B7}">
  <dimension ref="A1:L43"/>
  <sheetViews>
    <sheetView rightToLeft="1" workbookViewId="0">
      <pane xSplit="4" ySplit="2" topLeftCell="E3" activePane="bottomRight" state="frozen"/>
      <selection activeCell="J13" sqref="J13"/>
      <selection pane="topRight" activeCell="J13" sqref="J13"/>
      <selection pane="bottomLeft" activeCell="J13" sqref="J13"/>
      <selection pane="bottomRight" activeCell="C36" sqref="C36"/>
    </sheetView>
  </sheetViews>
  <sheetFormatPr defaultRowHeight="14.25" x14ac:dyDescent="0.2"/>
  <cols>
    <col min="1" max="1" width="18.125" hidden="1" customWidth="1"/>
    <col min="2" max="2" width="17.375" customWidth="1"/>
    <col min="3" max="3" width="21.375" customWidth="1"/>
    <col min="4" max="4" width="11.375" style="1" customWidth="1"/>
    <col min="5" max="7" width="11.625" customWidth="1"/>
    <col min="8" max="8" width="11.875" style="51" bestFit="1" customWidth="1"/>
    <col min="9" max="9" width="16.75" bestFit="1" customWidth="1"/>
    <col min="10" max="10" width="14.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183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>
        <v>5.2023999999999999</v>
      </c>
      <c r="F2" s="30">
        <v>5.2024999999999997</v>
      </c>
      <c r="G2" s="30">
        <v>5.2026000000000003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VLOOKUP(A3,'2024'!$A:$O,6,0)</f>
        <v>155618.13</v>
      </c>
      <c r="F3" s="9">
        <f>VLOOKUP($A3,'2025'!$A:$O,6,0)</f>
        <v>131634</v>
      </c>
      <c r="G3" s="9"/>
      <c r="H3" s="49">
        <f t="shared" ref="H3:H16" si="0">G3/F3-1</f>
        <v>-1</v>
      </c>
      <c r="I3" s="11">
        <f t="shared" ref="I3:I15" si="1">G3-F3</f>
        <v>-131634</v>
      </c>
      <c r="J3" s="8">
        <f>VLOOKUP(B3,'תקציב  '!$B:$S,8,0)*1</f>
        <v>188253.96825396825</v>
      </c>
      <c r="K3" s="49">
        <f t="shared" ref="K3:K16" si="2">G3/J3-1</f>
        <v>-1</v>
      </c>
      <c r="L3" s="13">
        <f t="shared" ref="L3:L15" si="3">G3-J3</f>
        <v>-188253.96825396825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VLOOKUP(B4,'2024'!$A:$O,6,0)</f>
        <v>560199.91300000006</v>
      </c>
      <c r="F4" s="9">
        <f>VLOOKUP($A4,'2025'!$A:$O,6,0)</f>
        <v>729180.69470001059</v>
      </c>
      <c r="G4" s="9">
        <v>498482.53</v>
      </c>
      <c r="H4" s="49">
        <f t="shared" si="0"/>
        <v>-0.31637996778688882</v>
      </c>
      <c r="I4" s="11">
        <f t="shared" si="1"/>
        <v>-230698.16470001056</v>
      </c>
      <c r="J4" s="8">
        <f>VLOOKUP(B4,'תקציב  '!$B:$S,8,0)*1</f>
        <v>558634.92063492059</v>
      </c>
      <c r="K4" s="49">
        <f t="shared" si="2"/>
        <v>-0.10767746235153708</v>
      </c>
      <c r="L4" s="13">
        <f t="shared" si="3"/>
        <v>-60152.390634920564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VLOOKUP(B5,'2024'!$A:$O,6,0)</f>
        <v>104005.53799999999</v>
      </c>
      <c r="F5" s="9">
        <f>VLOOKUP($A5,'2025'!$A:$O,6,0)</f>
        <v>80577.77</v>
      </c>
      <c r="G5" s="9">
        <v>81328.338000000003</v>
      </c>
      <c r="H5" s="49">
        <f t="shared" si="0"/>
        <v>9.3148271539409411E-3</v>
      </c>
      <c r="I5" s="11">
        <f t="shared" si="1"/>
        <v>750.5679999999993</v>
      </c>
      <c r="J5" s="8">
        <f>VLOOKUP(B5,'תקציב  '!$B:$S,8,0)*1</f>
        <v>71428.571428571435</v>
      </c>
      <c r="K5" s="49">
        <f t="shared" si="2"/>
        <v>0.13859673199999989</v>
      </c>
      <c r="L5" s="13">
        <f t="shared" si="3"/>
        <v>9899.7665714285686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VLOOKUP(B6,'2024'!$A:$O,6,0)</f>
        <v>211638.80500000002</v>
      </c>
      <c r="F6" s="9">
        <f>VLOOKUP($A6,'2025'!$A:$O,6,0)</f>
        <v>186515.15530000074</v>
      </c>
      <c r="G6" s="9">
        <v>148972.08399999997</v>
      </c>
      <c r="H6" s="49">
        <f t="shared" si="0"/>
        <v>-0.20128697445317256</v>
      </c>
      <c r="I6" s="11">
        <f t="shared" si="1"/>
        <v>-37543.071300000767</v>
      </c>
      <c r="J6" s="8">
        <f>VLOOKUP(A6,'תקציב  '!$B:$S,8,0)*1</f>
        <v>160793.65079365077</v>
      </c>
      <c r="K6" s="49">
        <f t="shared" si="2"/>
        <v>-7.3520109378084952E-2</v>
      </c>
      <c r="L6" s="13">
        <f t="shared" si="3"/>
        <v>-11821.566793650796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VLOOKUP(A7,'2024'!$A:$O,6,0)</f>
        <v>327442</v>
      </c>
      <c r="F7" s="9">
        <f>VLOOKUP($A7,'2025'!$A:$O,6,0)</f>
        <v>307503</v>
      </c>
      <c r="G7" s="9">
        <v>318846.8</v>
      </c>
      <c r="H7" s="49">
        <f t="shared" si="0"/>
        <v>3.6890046601171234E-2</v>
      </c>
      <c r="I7" s="11">
        <f t="shared" si="1"/>
        <v>11343.799999999988</v>
      </c>
      <c r="J7" s="8">
        <f>VLOOKUP(B7,'תקציב  '!$B:$S,8,0)*1</f>
        <v>365000</v>
      </c>
      <c r="K7" s="49">
        <f t="shared" si="2"/>
        <v>-0.12644712328767127</v>
      </c>
      <c r="L7" s="13">
        <f t="shared" si="3"/>
        <v>-46153.200000000012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VLOOKUP(A8,'2024'!$A:$O,6,0)</f>
        <v>65998.039999999979</v>
      </c>
      <c r="F8" s="9">
        <f>VLOOKUP($A8,'2025'!$A:$O,6,0)</f>
        <v>88130.799999999974</v>
      </c>
      <c r="G8" s="9">
        <v>47091.771999999997</v>
      </c>
      <c r="H8" s="49">
        <f t="shared" si="0"/>
        <v>-0.46566045014909641</v>
      </c>
      <c r="I8" s="11">
        <f t="shared" si="1"/>
        <v>-41039.027999999977</v>
      </c>
      <c r="J8" s="8">
        <f>VLOOKUP(B8,'תקציב  '!$B:$S,8,0)*1</f>
        <v>99365.079365079364</v>
      </c>
      <c r="K8" s="49">
        <f t="shared" si="2"/>
        <v>-0.52607322108626198</v>
      </c>
      <c r="L8" s="13">
        <f t="shared" si="3"/>
        <v>-52273.307365079367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VLOOKUP(A9,'2024'!$A:$O,6,0)</f>
        <v>99310.409999999974</v>
      </c>
      <c r="F9" s="9">
        <f>VLOOKUP($A9,'2025'!$A:$O,6,0)</f>
        <v>94846.85</v>
      </c>
      <c r="G9" s="9">
        <v>102176.91</v>
      </c>
      <c r="H9" s="49">
        <f t="shared" si="0"/>
        <v>7.7283114831963262E-2</v>
      </c>
      <c r="I9" s="11">
        <f t="shared" si="1"/>
        <v>7330.0599999999977</v>
      </c>
      <c r="J9" s="8">
        <f>VLOOKUP(B9,'תקציב  '!$B:$S,8,0)*1</f>
        <v>170079.36507936506</v>
      </c>
      <c r="K9" s="49">
        <f t="shared" si="2"/>
        <v>-0.39923981987867463</v>
      </c>
      <c r="L9" s="13">
        <f t="shared" si="3"/>
        <v>-67902.455079365056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VLOOKUP(A10,'2024'!$A:$O,6,0)</f>
        <v>16034.44</v>
      </c>
      <c r="F10" s="9">
        <f>VLOOKUP($A10,'2025'!$A:$O,6,0)</f>
        <v>15870.650000000003</v>
      </c>
      <c r="G10" s="9">
        <v>6343.1099999999988</v>
      </c>
      <c r="H10" s="49">
        <f t="shared" si="0"/>
        <v>-0.60032449836648172</v>
      </c>
      <c r="I10" s="11">
        <f t="shared" si="1"/>
        <v>-9527.5400000000045</v>
      </c>
      <c r="J10" s="8">
        <f>VLOOKUP(B10,'תקציב  '!$B:$S,8,0)*1</f>
        <v>15079.36507936508</v>
      </c>
      <c r="K10" s="49">
        <f t="shared" si="2"/>
        <v>-0.57935165263157895</v>
      </c>
      <c r="L10" s="13">
        <f t="shared" si="3"/>
        <v>-8736.2550793650807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VLOOKUP(A11,'2024'!$A:$O,6,0)</f>
        <v>1188.6599999999999</v>
      </c>
      <c r="F11" s="9">
        <f>VLOOKUP($A11,'2025'!$A:$O,6,0)</f>
        <v>5871.1200000000008</v>
      </c>
      <c r="G11" s="9">
        <v>7664.6900000000005</v>
      </c>
      <c r="H11" s="49">
        <f t="shared" si="0"/>
        <v>0.30549026420853242</v>
      </c>
      <c r="I11" s="11">
        <f t="shared" si="1"/>
        <v>1793.5699999999997</v>
      </c>
      <c r="J11" s="8">
        <f>VLOOKUP(B11,'תקציב  '!$B:$S,8,0)*1</f>
        <v>7936.5079365079355</v>
      </c>
      <c r="K11" s="49">
        <f t="shared" si="2"/>
        <v>-3.4249059999999831E-2</v>
      </c>
      <c r="L11" s="13">
        <f t="shared" si="3"/>
        <v>-271.81793650793497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VLOOKUP(A12,'2024'!$A:$O,6,0)</f>
        <v>0</v>
      </c>
      <c r="F12" s="9">
        <f>VLOOKUP($A12,'2025'!$A:$O,6,0)</f>
        <v>0</v>
      </c>
      <c r="G12" s="9"/>
      <c r="H12" s="49" t="e">
        <f t="shared" si="0"/>
        <v>#DIV/0!</v>
      </c>
      <c r="I12" s="11">
        <f t="shared" si="1"/>
        <v>0</v>
      </c>
      <c r="J12" s="8">
        <f>VLOOKUP(B12,'תקציב  '!$B:$S,8,0)*1</f>
        <v>0</v>
      </c>
      <c r="K12" s="49"/>
      <c r="L12" s="13">
        <f t="shared" si="3"/>
        <v>0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VLOOKUP(A13,'2024'!$A:$O,6,0)</f>
        <v>1597.46</v>
      </c>
      <c r="F13" s="9">
        <f>VLOOKUP($A13,'2025'!$A:$O,6,0)</f>
        <v>0</v>
      </c>
      <c r="G13" s="9">
        <v>1896.82</v>
      </c>
      <c r="H13" s="49" t="e">
        <f t="shared" si="0"/>
        <v>#DIV/0!</v>
      </c>
      <c r="I13" s="11">
        <f t="shared" si="1"/>
        <v>1896.82</v>
      </c>
      <c r="J13" s="8">
        <f>VLOOKUP(B13,'תקציב  '!$B:$S,8,0)*1</f>
        <v>0</v>
      </c>
      <c r="K13" s="49" t="e">
        <f t="shared" si="2"/>
        <v>#DIV/0!</v>
      </c>
      <c r="L13" s="13">
        <f t="shared" si="3"/>
        <v>1896.82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VLOOKUP(A14,'2024'!$A:$O,6,0)</f>
        <v>0</v>
      </c>
      <c r="F14" s="9">
        <f>VLOOKUP($A14,'2025'!$A:$O,6,0)</f>
        <v>0</v>
      </c>
      <c r="G14" s="9">
        <v>3430</v>
      </c>
      <c r="H14" s="49" t="e">
        <f t="shared" si="0"/>
        <v>#DIV/0!</v>
      </c>
      <c r="I14" s="11">
        <f t="shared" si="1"/>
        <v>3430</v>
      </c>
      <c r="J14" s="8">
        <f>VLOOKUP(B14,'תקציב  '!$B:$S,8,0)*1</f>
        <v>50000</v>
      </c>
      <c r="K14" s="49">
        <f t="shared" si="2"/>
        <v>-0.93140000000000001</v>
      </c>
      <c r="L14" s="13">
        <f t="shared" si="3"/>
        <v>-46570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VLOOKUP(A15,'2024'!$A:$O,6,0)</f>
        <v>3187.34</v>
      </c>
      <c r="F15" s="9">
        <f>VLOOKUP($A15,'2025'!$A:$O,6,0)</f>
        <v>707.66000000000076</v>
      </c>
      <c r="G15" s="9">
        <v>6150.2199999999993</v>
      </c>
      <c r="H15" s="49">
        <f t="shared" si="0"/>
        <v>7.6909250204900559</v>
      </c>
      <c r="I15" s="11">
        <f t="shared" si="1"/>
        <v>5442.5599999999986</v>
      </c>
      <c r="J15" s="8">
        <f>VLOOKUP(B15,'תקציב  '!$B:$S,8,0)*1</f>
        <v>15873.015873015871</v>
      </c>
      <c r="K15" s="49">
        <f t="shared" si="2"/>
        <v>-0.61253614000000001</v>
      </c>
      <c r="L15" s="13">
        <f t="shared" si="3"/>
        <v>-9722.7958730158716</v>
      </c>
    </row>
    <row r="16" spans="1:12" ht="15" x14ac:dyDescent="0.25">
      <c r="B16" s="277" t="s">
        <v>221</v>
      </c>
      <c r="C16" s="278"/>
      <c r="D16" s="278"/>
      <c r="E16" s="67">
        <f>SUM(E3:E15)</f>
        <v>1546220.7359999998</v>
      </c>
      <c r="F16" s="67">
        <f>SUM(F3:F15)</f>
        <v>1640837.7000000114</v>
      </c>
      <c r="G16" s="67">
        <f>SUM(G3:G15)</f>
        <v>1222383.2740000002</v>
      </c>
      <c r="H16" s="68">
        <f t="shared" si="0"/>
        <v>-0.25502487296580778</v>
      </c>
      <c r="I16" s="67">
        <f>SUM(I3:I15)</f>
        <v>-418454.42600001133</v>
      </c>
      <c r="J16" s="67">
        <f>SUM(J3:J15)</f>
        <v>1702444.444444444</v>
      </c>
      <c r="K16" s="68">
        <f t="shared" si="2"/>
        <v>-0.28198345738154262</v>
      </c>
      <c r="L16" s="67">
        <f>SUM(L3:L15)</f>
        <v>-480061.17044444435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VLOOKUP(A17,'2024'!$A:$O,6,0)</f>
        <v>49304.699999999961</v>
      </c>
      <c r="F17" s="9">
        <f>VLOOKUP($A17,'2025'!$A:$O,6,0)</f>
        <v>99302.950000000201</v>
      </c>
      <c r="G17" s="9">
        <v>404699.34000000067</v>
      </c>
      <c r="H17" s="49">
        <f>G17/F17-1</f>
        <v>3.0754009825488549</v>
      </c>
      <c r="I17" s="11">
        <f>G17-F17</f>
        <v>305396.39000000048</v>
      </c>
      <c r="J17" s="8">
        <f>VLOOKUP(B17,'תקציב  '!$B:$S,8,0)*1</f>
        <v>592182.20338983054</v>
      </c>
      <c r="K17" s="49">
        <f>G17/J17-1</f>
        <v>-0.31659658516689815</v>
      </c>
      <c r="L17" s="13">
        <f>G17-J17</f>
        <v>-187482.86338982987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VLOOKUP(A18,'2024'!$A:$O,6,0)</f>
        <v>2364.2900000000004</v>
      </c>
      <c r="F18" s="9">
        <f>VLOOKUP($A18,'2025'!$A:$O,6,0)</f>
        <v>1491.14</v>
      </c>
      <c r="G18" s="9">
        <v>2347.7599999999998</v>
      </c>
      <c r="H18" s="49">
        <f>G18/F18-1</f>
        <v>0.57447322183027727</v>
      </c>
      <c r="I18" s="11">
        <f>G18-F18</f>
        <v>856.61999999999966</v>
      </c>
      <c r="J18" s="8">
        <f>VLOOKUP(B18,'תקציב  '!$B:$S,8,0)*1</f>
        <v>2536.9283333333324</v>
      </c>
      <c r="K18" s="49">
        <f>G18/J18-1</f>
        <v>-7.4565895633630142E-2</v>
      </c>
      <c r="L18" s="13">
        <f>G18-J18</f>
        <v>-189.16833333333261</v>
      </c>
    </row>
    <row r="19" spans="1:12" ht="15" x14ac:dyDescent="0.25">
      <c r="B19" s="266" t="s">
        <v>41</v>
      </c>
      <c r="C19" s="267"/>
      <c r="D19" s="267"/>
      <c r="E19" s="12">
        <f>E16+E17+E18</f>
        <v>1597889.7259999998</v>
      </c>
      <c r="F19" s="12">
        <f>F16+F17+F18</f>
        <v>1741631.7900000114</v>
      </c>
      <c r="G19" s="12">
        <f>G16+G17+G18</f>
        <v>1629430.374000001</v>
      </c>
      <c r="H19" s="50">
        <f t="shared" ref="H19:H41" si="4">G19/F19-1</f>
        <v>-6.4423155711925584E-2</v>
      </c>
      <c r="I19" s="12">
        <f>I16+I17+I18</f>
        <v>-112201.41600001085</v>
      </c>
      <c r="J19" s="12">
        <f>J16+J17+J18</f>
        <v>2297163.5761676077</v>
      </c>
      <c r="K19" s="50">
        <f t="shared" ref="K19:K41" si="5">G19/J19-1</f>
        <v>-0.29067725480899187</v>
      </c>
      <c r="L19" s="12">
        <f>L16+L17+L18</f>
        <v>-667733.20216760749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VLOOKUP(A20,'2024'!$A:$O,6,0)</f>
        <v>318316.79999999999</v>
      </c>
      <c r="F20" s="9">
        <f>VLOOKUP($A20,'2025'!$A:$O,6,0)</f>
        <v>252540.02</v>
      </c>
      <c r="G20" s="9">
        <v>224163.96</v>
      </c>
      <c r="H20" s="49">
        <f t="shared" si="4"/>
        <v>-0.1123626267234793</v>
      </c>
      <c r="I20" s="11">
        <f t="shared" ref="I20:I39" si="6">G20-F20</f>
        <v>-28376.059999999998</v>
      </c>
      <c r="J20" s="8">
        <f>VLOOKUP(B20,'תקציב  '!$B:$S,8,0)*1</f>
        <v>398486.47079999995</v>
      </c>
      <c r="K20" s="49">
        <f t="shared" si="5"/>
        <v>-0.43746155408998133</v>
      </c>
      <c r="L20" s="13">
        <f t="shared" ref="L20:L39" si="7">G20-J20</f>
        <v>-174322.51079999996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VLOOKUP(A21,'2024'!$A:$O,6,0)</f>
        <v>0</v>
      </c>
      <c r="F21" s="9">
        <f>VLOOKUP($A21,'2025'!$A:$O,6,0)</f>
        <v>0</v>
      </c>
      <c r="G21" s="86">
        <v>204882.82</v>
      </c>
      <c r="H21" s="49" t="e">
        <f t="shared" si="4"/>
        <v>#DIV/0!</v>
      </c>
      <c r="I21" s="11">
        <f t="shared" si="6"/>
        <v>204882.82</v>
      </c>
      <c r="J21" s="8">
        <f>VLOOKUP(B21,'תקציב  '!$B:$S,8,0)*1</f>
        <v>235200</v>
      </c>
      <c r="K21" s="49">
        <f t="shared" si="5"/>
        <v>-0.12889957482993197</v>
      </c>
      <c r="L21" s="13">
        <f t="shared" si="7"/>
        <v>-30317.179999999993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VLOOKUP(A22,'2024'!$A:$O,6,0)</f>
        <v>169505.88</v>
      </c>
      <c r="F22" s="9">
        <f>VLOOKUP($A22,'2025'!$A:$O,6,0)</f>
        <v>1513.3</v>
      </c>
      <c r="G22" s="86">
        <v>5036.8</v>
      </c>
      <c r="H22" s="49">
        <f t="shared" si="4"/>
        <v>2.3283552501156417</v>
      </c>
      <c r="I22" s="11">
        <f t="shared" si="6"/>
        <v>3523.5</v>
      </c>
      <c r="J22" s="8">
        <f>VLOOKUP(B22,'תקציב  '!$B:$S,8,0)*1</f>
        <v>15000</v>
      </c>
      <c r="K22" s="49">
        <f t="shared" si="5"/>
        <v>-0.66421333333333332</v>
      </c>
      <c r="L22" s="13">
        <f t="shared" si="7"/>
        <v>-9963.2000000000007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VLOOKUP(A23,'2024'!$A:$O,6,0)</f>
        <v>0</v>
      </c>
      <c r="F23" s="9">
        <f>VLOOKUP($A23,'2025'!$A:$O,6,0)</f>
        <v>0</v>
      </c>
      <c r="G23" s="88"/>
      <c r="H23" s="49" t="e">
        <f t="shared" si="4"/>
        <v>#DIV/0!</v>
      </c>
      <c r="I23" s="11">
        <f t="shared" si="6"/>
        <v>0</v>
      </c>
      <c r="J23" s="8">
        <f>VLOOKUP(B23,'תקציב  '!$B:$S,8,0)*1</f>
        <v>85000</v>
      </c>
      <c r="K23" s="49">
        <f t="shared" si="5"/>
        <v>-1</v>
      </c>
      <c r="L23" s="13">
        <f t="shared" si="7"/>
        <v>-85000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VLOOKUP(A24,'2024'!$A:$O,6,0)</f>
        <v>0</v>
      </c>
      <c r="F24" s="9">
        <f>VLOOKUP($A24,'2025'!$A:$O,6,0)</f>
        <v>0</v>
      </c>
      <c r="G24" s="9">
        <v>16087.48</v>
      </c>
      <c r="H24" s="49" t="e">
        <f t="shared" si="4"/>
        <v>#DIV/0!</v>
      </c>
      <c r="I24" s="11">
        <f t="shared" si="6"/>
        <v>16087.48</v>
      </c>
      <c r="J24" s="8">
        <f>VLOOKUP(B24,'תקציב  '!$B:$S,8,0)*1</f>
        <v>17000</v>
      </c>
      <c r="K24" s="49">
        <f t="shared" si="5"/>
        <v>-5.3677647058823608E-2</v>
      </c>
      <c r="L24" s="13">
        <f t="shared" si="7"/>
        <v>-912.52000000000044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VLOOKUP(A25,'2024'!$A:$O,6,0)</f>
        <v>0</v>
      </c>
      <c r="F25" s="9">
        <f>VLOOKUP($A25,'2025'!$A:$O,6,0)</f>
        <v>10766.89</v>
      </c>
      <c r="G25" s="9"/>
      <c r="H25" s="49">
        <f t="shared" si="4"/>
        <v>-1</v>
      </c>
      <c r="I25" s="11">
        <f t="shared" si="6"/>
        <v>-10766.89</v>
      </c>
      <c r="J25" s="8">
        <f>VLOOKUP(B25,'תקציב  '!$B:$S,8,0)*1</f>
        <v>5000</v>
      </c>
      <c r="K25" s="49">
        <f t="shared" si="5"/>
        <v>-1</v>
      </c>
      <c r="L25" s="13">
        <f t="shared" si="7"/>
        <v>-5000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VLOOKUP(A26,'2024'!$A:$O,6,0)</f>
        <v>0</v>
      </c>
      <c r="F26" s="9">
        <f>VLOOKUP($A26,'2025'!$A:$O,6,0)</f>
        <v>172805.6</v>
      </c>
      <c r="G26" s="9">
        <v>-19940.330000000002</v>
      </c>
      <c r="H26" s="49">
        <f t="shared" si="4"/>
        <v>-1.1153916886952737</v>
      </c>
      <c r="I26" s="11">
        <f t="shared" si="6"/>
        <v>-192745.93</v>
      </c>
      <c r="J26" s="8">
        <f>VLOOKUP(B26,'תקציב  '!$B:$S,8,0)*1</f>
        <v>0</v>
      </c>
      <c r="K26" s="49" t="e">
        <f t="shared" si="5"/>
        <v>#DIV/0!</v>
      </c>
      <c r="L26" s="13">
        <f t="shared" si="7"/>
        <v>-19940.330000000002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VLOOKUP(A27,'2024'!$A:$O,6,0)</f>
        <v>-0.48</v>
      </c>
      <c r="F27" s="9">
        <f>VLOOKUP($A27,'2025'!$A:$O,6,0)</f>
        <v>0</v>
      </c>
      <c r="G27" s="86">
        <v>18541.7</v>
      </c>
      <c r="H27" s="49" t="e">
        <f t="shared" si="4"/>
        <v>#DIV/0!</v>
      </c>
      <c r="I27" s="11">
        <f t="shared" si="6"/>
        <v>18541.7</v>
      </c>
      <c r="J27" s="8">
        <f>VLOOKUP(B27,'תקציב  '!$B:$S,8,0)*1</f>
        <v>0</v>
      </c>
      <c r="K27" s="49" t="e">
        <f t="shared" si="5"/>
        <v>#DIV/0!</v>
      </c>
      <c r="L27" s="13">
        <f t="shared" si="7"/>
        <v>18541.7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VLOOKUP(A28,'2024'!$A:$O,6,0)</f>
        <v>0</v>
      </c>
      <c r="F28" s="9">
        <f>VLOOKUP($A28,'2025'!$A:$O,6,0)</f>
        <v>0</v>
      </c>
      <c r="G28" s="9"/>
      <c r="H28" s="49" t="e">
        <f t="shared" si="4"/>
        <v>#DIV/0!</v>
      </c>
      <c r="I28" s="11">
        <f t="shared" si="6"/>
        <v>0</v>
      </c>
      <c r="J28" s="8">
        <f>VLOOKUP(B28,'תקציב  '!$B:$S,8,0)*1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VLOOKUP(A29,'2024'!$A:$O,6,0)</f>
        <v>31259.759999999998</v>
      </c>
      <c r="F29" s="9">
        <f>VLOOKUP($A29,'2025'!$A:$O,6,0)</f>
        <v>56732.320000000007</v>
      </c>
      <c r="G29" s="86">
        <v>33066.230000000003</v>
      </c>
      <c r="H29" s="49">
        <f t="shared" si="4"/>
        <v>-0.41715357313080093</v>
      </c>
      <c r="I29" s="11">
        <f t="shared" si="6"/>
        <v>-23666.090000000004</v>
      </c>
      <c r="J29" s="8">
        <f>VLOOKUP(B29,'תקציב  '!$B:$S,8,0)*1</f>
        <v>39765.076000000001</v>
      </c>
      <c r="K29" s="49">
        <f t="shared" si="5"/>
        <v>-0.16846053557146468</v>
      </c>
      <c r="L29" s="13">
        <f t="shared" si="7"/>
        <v>-6698.8459999999977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VLOOKUP(A30,'2024'!$A:$O,6,0)</f>
        <v>0</v>
      </c>
      <c r="F30" s="9">
        <f>VLOOKUP($A30,'2025'!$A:$O,6,0)</f>
        <v>0</v>
      </c>
      <c r="G30" s="86">
        <v>43116.44</v>
      </c>
      <c r="H30" s="49" t="e">
        <f t="shared" si="4"/>
        <v>#DIV/0!</v>
      </c>
      <c r="I30" s="11">
        <f t="shared" si="6"/>
        <v>43116.44</v>
      </c>
      <c r="J30" s="8">
        <f>VLOOKUP(B30,'תקציב  '!$B:$S,8,0)*1</f>
        <v>0</v>
      </c>
      <c r="K30" s="49" t="e">
        <f t="shared" si="5"/>
        <v>#DIV/0!</v>
      </c>
      <c r="L30" s="13">
        <f t="shared" si="7"/>
        <v>43116.44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VLOOKUP(A31,'2024'!$A:$O,6,0)</f>
        <v>0</v>
      </c>
      <c r="F31" s="9">
        <f>VLOOKUP($A31,'2025'!$A:$O,6,0)</f>
        <v>18835.730000000003</v>
      </c>
      <c r="G31" s="9"/>
      <c r="H31" s="49">
        <f t="shared" si="4"/>
        <v>-1</v>
      </c>
      <c r="I31" s="11">
        <f t="shared" si="6"/>
        <v>-18835.730000000003</v>
      </c>
      <c r="J31" s="8">
        <f>VLOOKUP(B31,'תקציב  '!$B:$S,8,0)*1</f>
        <v>0</v>
      </c>
      <c r="K31" s="49" t="e">
        <f t="shared" si="5"/>
        <v>#DIV/0!</v>
      </c>
      <c r="L31" s="13">
        <f t="shared" si="7"/>
        <v>0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VLOOKUP(A32,'2024'!$A:$O,6,0)</f>
        <v>0</v>
      </c>
      <c r="F32" s="9">
        <f>VLOOKUP($A32,'2025'!$A:$O,6,0)</f>
        <v>0</v>
      </c>
      <c r="G32" s="9"/>
      <c r="H32" s="49" t="e">
        <f t="shared" si="4"/>
        <v>#DIV/0!</v>
      </c>
      <c r="I32" s="11">
        <f t="shared" si="6"/>
        <v>0</v>
      </c>
      <c r="J32" s="8">
        <f>VLOOKUP(B32,'תקציב  '!$B:$S,8,0)*1</f>
        <v>0</v>
      </c>
      <c r="K32" s="49" t="e">
        <f t="shared" si="5"/>
        <v>#DIV/0!</v>
      </c>
      <c r="L32" s="13">
        <f t="shared" si="7"/>
        <v>0</v>
      </c>
    </row>
    <row r="33" spans="1:12" ht="13.5" customHeight="1" x14ac:dyDescent="0.2">
      <c r="B33" s="36"/>
      <c r="C33" s="5" t="s">
        <v>11</v>
      </c>
      <c r="D33" s="3" t="s">
        <v>12</v>
      </c>
      <c r="E33" s="9"/>
      <c r="F33" s="9"/>
      <c r="G33" s="9"/>
      <c r="H33" s="49" t="e">
        <f t="shared" si="4"/>
        <v>#DIV/0!</v>
      </c>
      <c r="I33" s="11">
        <f t="shared" si="6"/>
        <v>0</v>
      </c>
      <c r="J33" s="8"/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VLOOKUP(A34,'2024'!$A:$O,6,0)</f>
        <v>0</v>
      </c>
      <c r="F34" s="9">
        <f>VLOOKUP($A34,'2025'!$A:$O,6,0)</f>
        <v>19017.88</v>
      </c>
      <c r="G34" s="9"/>
      <c r="H34" s="49">
        <f t="shared" si="4"/>
        <v>-1</v>
      </c>
      <c r="I34" s="11">
        <f t="shared" si="6"/>
        <v>-19017.88</v>
      </c>
      <c r="J34" s="8">
        <f>VLOOKUP(B34,'תקציב  '!$B:$S,8,0)*1</f>
        <v>21207.34</v>
      </c>
      <c r="K34" s="49">
        <f t="shared" si="5"/>
        <v>-1</v>
      </c>
      <c r="L34" s="13">
        <f t="shared" si="7"/>
        <v>-21207.34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VLOOKUP(A35,'2024'!$A:$O,6,0)</f>
        <v>0</v>
      </c>
      <c r="F35" s="9">
        <f>VLOOKUP($A35,'2025'!$A:$O,6,0)</f>
        <v>30531.53</v>
      </c>
      <c r="G35" s="9"/>
      <c r="H35" s="49">
        <f t="shared" si="4"/>
        <v>-1</v>
      </c>
      <c r="I35" s="11">
        <f t="shared" si="6"/>
        <v>-30531.53</v>
      </c>
      <c r="J35" s="8">
        <f>VLOOKUP(B35,'תקציב  '!$B:$S,8,0)*1</f>
        <v>40000</v>
      </c>
      <c r="K35" s="49">
        <f t="shared" si="5"/>
        <v>-1</v>
      </c>
      <c r="L35" s="13">
        <f t="shared" si="7"/>
        <v>-40000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VLOOKUP(A36,'2024'!$A:$O,6,0)</f>
        <v>0</v>
      </c>
      <c r="F36" s="9">
        <f>VLOOKUP($A36,'2025'!$A:$O,6,0)</f>
        <v>0</v>
      </c>
      <c r="G36" s="9"/>
      <c r="H36" s="49" t="e">
        <f t="shared" si="4"/>
        <v>#DIV/0!</v>
      </c>
      <c r="I36" s="11">
        <f t="shared" si="6"/>
        <v>0</v>
      </c>
      <c r="J36" s="8"/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VLOOKUP(A37,'2024'!$A:$O,6,0)</f>
        <v>0</v>
      </c>
      <c r="F37" s="9">
        <f>VLOOKUP($A37,'2025'!$A:$O,6,0)</f>
        <v>0</v>
      </c>
      <c r="G37" s="9"/>
      <c r="H37" s="49" t="e">
        <f t="shared" si="4"/>
        <v>#DIV/0!</v>
      </c>
      <c r="I37" s="11">
        <f t="shared" si="6"/>
        <v>0</v>
      </c>
      <c r="J37" s="8"/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VLOOKUP(A38,'2024'!$A:$O,6,0)</f>
        <v>0</v>
      </c>
      <c r="F38" s="9">
        <f>VLOOKUP($A38,'2025'!$A:$O,6,0)</f>
        <v>248.59</v>
      </c>
      <c r="G38" s="9"/>
      <c r="H38" s="49">
        <f t="shared" si="4"/>
        <v>-1</v>
      </c>
      <c r="I38" s="11">
        <f t="shared" si="6"/>
        <v>-248.59</v>
      </c>
      <c r="J38" s="8">
        <f>VLOOKUP(B38,'תקציב  '!$B:$S,8,0)*1</f>
        <v>0</v>
      </c>
      <c r="K38" s="49" t="e">
        <f t="shared" si="5"/>
        <v>#DIV/0!</v>
      </c>
      <c r="L38" s="13">
        <f t="shared" si="7"/>
        <v>0</v>
      </c>
    </row>
    <row r="39" spans="1:12" ht="13.5" customHeight="1" x14ac:dyDescent="0.2">
      <c r="B39" s="37" t="s">
        <v>91</v>
      </c>
      <c r="C39" s="5" t="s">
        <v>91</v>
      </c>
      <c r="D39" s="3"/>
      <c r="E39" s="9"/>
      <c r="F39" s="9"/>
      <c r="G39" s="9"/>
      <c r="H39" s="49" t="e">
        <f t="shared" si="4"/>
        <v>#DIV/0!</v>
      </c>
      <c r="I39" s="11">
        <f t="shared" si="6"/>
        <v>0</v>
      </c>
      <c r="J39" s="8">
        <f>VLOOKUP(B39,'תקציב  '!$B:$S,8,0)*1</f>
        <v>0</v>
      </c>
      <c r="K39" s="49" t="e">
        <f t="shared" si="5"/>
        <v>#DIV/0!</v>
      </c>
      <c r="L39" s="13">
        <f t="shared" si="7"/>
        <v>0</v>
      </c>
    </row>
    <row r="40" spans="1:12" ht="15" x14ac:dyDescent="0.25">
      <c r="B40" s="268" t="s">
        <v>42</v>
      </c>
      <c r="C40" s="269"/>
      <c r="D40" s="269"/>
      <c r="E40" s="10">
        <f>SUM(E20:E39)</f>
        <v>519081.96</v>
      </c>
      <c r="F40" s="10">
        <f>SUM(F20:F39)</f>
        <v>562991.85999999987</v>
      </c>
      <c r="G40" s="10">
        <f>SUM(G20:G39)</f>
        <v>524955.1</v>
      </c>
      <c r="H40" s="43">
        <f t="shared" si="4"/>
        <v>-6.7561829401938223E-2</v>
      </c>
      <c r="I40" s="10">
        <f>SUM(I20:I39)</f>
        <v>-38036.759999999958</v>
      </c>
      <c r="J40" s="10">
        <f>SUM(J20:J39)</f>
        <v>856658.88679999998</v>
      </c>
      <c r="K40" s="43">
        <f t="shared" si="5"/>
        <v>-0.38720638040546151</v>
      </c>
      <c r="L40" s="10">
        <f>SUM(L20:L39)</f>
        <v>-331703.7868</v>
      </c>
    </row>
    <row r="41" spans="1:12" ht="16.5" thickBot="1" x14ac:dyDescent="0.3">
      <c r="B41" s="270" t="s">
        <v>69</v>
      </c>
      <c r="C41" s="271"/>
      <c r="D41" s="271"/>
      <c r="E41" s="25">
        <f>E40+E19</f>
        <v>2116971.6859999998</v>
      </c>
      <c r="F41" s="25">
        <f>F40+F19</f>
        <v>2304623.6500000115</v>
      </c>
      <c r="G41" s="25">
        <f>G40+G19</f>
        <v>2154385.4740000009</v>
      </c>
      <c r="H41" s="44">
        <f t="shared" si="4"/>
        <v>-6.5189895972823986E-2</v>
      </c>
      <c r="I41" s="25">
        <f>I40+I19</f>
        <v>-150238.1760000108</v>
      </c>
      <c r="J41" s="25">
        <f>J40+J19</f>
        <v>3153822.4629676077</v>
      </c>
      <c r="K41" s="44">
        <f t="shared" si="5"/>
        <v>-0.31689703548727366</v>
      </c>
      <c r="L41" s="25">
        <f>L40+L19</f>
        <v>-999436.9889676075</v>
      </c>
    </row>
    <row r="42" spans="1:12" ht="15.75" thickBot="1" x14ac:dyDescent="0.3">
      <c r="B42" s="272" t="s">
        <v>43</v>
      </c>
      <c r="C42" s="273"/>
      <c r="D42" s="274"/>
      <c r="E42" s="16">
        <f>E40/E41</f>
        <v>0.24520023741120556</v>
      </c>
      <c r="F42" s="16">
        <f>F40/F41</f>
        <v>0.24428798168412316</v>
      </c>
      <c r="G42" s="16">
        <f>G40/G41</f>
        <v>0.24366813940001517</v>
      </c>
      <c r="H42" s="45"/>
      <c r="I42" s="6"/>
      <c r="J42" s="15">
        <f>J41-'תקציב  '!I41*1</f>
        <v>0</v>
      </c>
    </row>
    <row r="43" spans="1:12" x14ac:dyDescent="0.2">
      <c r="E43" s="47">
        <f>E41-'2024'!F38</f>
        <v>0</v>
      </c>
      <c r="I43" s="6"/>
    </row>
  </sheetData>
  <dataConsolidate/>
  <mergeCells count="6">
    <mergeCell ref="B1:L1"/>
    <mergeCell ref="B19:D19"/>
    <mergeCell ref="B40:D40"/>
    <mergeCell ref="B41:D41"/>
    <mergeCell ref="B42:D42"/>
    <mergeCell ref="B16:D16"/>
  </mergeCells>
  <pageMargins left="0.7" right="0.7" top="0.75" bottom="0.75" header="0.3" footer="0.3"/>
  <pageSetup paperSize="9" orientation="portrait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560C-43FB-46F6-B9C8-A95BAA15B4C1}">
  <dimension ref="A1:L43"/>
  <sheetViews>
    <sheetView rightToLeft="1" workbookViewId="0">
      <pane xSplit="4" ySplit="2" topLeftCell="E8" activePane="bottomRight" state="frozen"/>
      <selection activeCell="J13" sqref="J13"/>
      <selection pane="topRight" activeCell="J13" sqref="J13"/>
      <selection pane="bottomLeft" activeCell="J13" sqref="J13"/>
      <selection pane="bottomRight" activeCell="L23" sqref="L23"/>
    </sheetView>
  </sheetViews>
  <sheetFormatPr defaultRowHeight="14.25" x14ac:dyDescent="0.2"/>
  <cols>
    <col min="1" max="1" width="18.125" hidden="1" customWidth="1"/>
    <col min="2" max="2" width="17.375" customWidth="1"/>
    <col min="3" max="3" width="21.375" customWidth="1"/>
    <col min="4" max="4" width="11.375" style="1" customWidth="1"/>
    <col min="5" max="5" width="13.25" customWidth="1"/>
    <col min="6" max="7" width="11.625" customWidth="1"/>
    <col min="8" max="8" width="11.875" style="51" bestFit="1" customWidth="1"/>
    <col min="9" max="9" width="16.75" bestFit="1" customWidth="1"/>
    <col min="10" max="10" width="15.8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182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 t="s">
        <v>140</v>
      </c>
      <c r="F2" s="30" t="s">
        <v>203</v>
      </c>
      <c r="G2" s="30" t="s">
        <v>217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ינואר!E3+פברואר!E3+מרץ!E3+אפריל!E3+מאי!E3</f>
        <v>765644.29</v>
      </c>
      <c r="F3" s="9">
        <f>ינואר!F3+פברואר!F3+מרץ!F3+אפריל!F3+מאי!F3</f>
        <v>826817.40000000014</v>
      </c>
      <c r="G3" s="9">
        <f>ינואר!G3+פברואר!G3+מרץ!G3+אפריל!G3+מאי!G3</f>
        <v>675311.6</v>
      </c>
      <c r="H3" s="49">
        <f t="shared" ref="H3:H16" si="0">G3/F3-1</f>
        <v>-0.18323973346472888</v>
      </c>
      <c r="I3" s="11">
        <f t="shared" ref="I3:I15" si="1">G3-F3</f>
        <v>-151505.80000000016</v>
      </c>
      <c r="J3" s="9">
        <f>ינואר!J3+פברואר!J3+מרץ!J3+אפריל!J3+מאי!J3</f>
        <v>899682.53968253976</v>
      </c>
      <c r="K3" s="49">
        <f t="shared" ref="K3:K16" si="2">G3/J3-1</f>
        <v>-0.24938901199717722</v>
      </c>
      <c r="L3" s="13">
        <f t="shared" ref="L3:L15" si="3">G3-J3</f>
        <v>-224370.93968253979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ינואר!E4+פברואר!E4+מרץ!E4+אפריל!E4+מאי!E4</f>
        <v>2350844.0410000002</v>
      </c>
      <c r="F4" s="9">
        <f>ינואר!F4+פברואר!F4+מרץ!F4+אפריל!F4+מאי!F4</f>
        <v>2794352.6426000269</v>
      </c>
      <c r="G4" s="9">
        <f>ינואר!G4+פברואר!G4+מרץ!G4+אפריל!G4+מאי!G4</f>
        <v>2240183.4910000004</v>
      </c>
      <c r="H4" s="49">
        <f t="shared" si="0"/>
        <v>-0.19831754344519503</v>
      </c>
      <c r="I4" s="11">
        <f t="shared" si="1"/>
        <v>-554169.15160002653</v>
      </c>
      <c r="J4" s="9">
        <f>ינואר!J4+פברואר!J4+מרץ!J4+אפריל!J4+מאי!J4</f>
        <v>2714206.3492063489</v>
      </c>
      <c r="K4" s="49">
        <f t="shared" si="2"/>
        <v>-0.17464510697388791</v>
      </c>
      <c r="L4" s="13">
        <f t="shared" si="3"/>
        <v>-474022.85820634849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ינואר!E5+פברואר!E5+מרץ!E5+אפריל!E5+מאי!E5</f>
        <v>449106.93100000004</v>
      </c>
      <c r="F5" s="9">
        <f>ינואר!F5+פברואר!F5+מרץ!F5+אפריל!F5+מאי!F5</f>
        <v>334455.21000000002</v>
      </c>
      <c r="G5" s="9">
        <f>ינואר!G5+פברואר!G5+מרץ!G5+אפריל!G5+מאי!G5</f>
        <v>360710.53200000001</v>
      </c>
      <c r="H5" s="49">
        <f t="shared" si="0"/>
        <v>7.8501758127792254E-2</v>
      </c>
      <c r="I5" s="11">
        <f t="shared" si="1"/>
        <v>26255.321999999986</v>
      </c>
      <c r="J5" s="9">
        <f>ינואר!J5+פברואר!J5+מרץ!J5+אפריל!J5+מאי!J5</f>
        <v>360714.28571428574</v>
      </c>
      <c r="K5" s="49">
        <f t="shared" si="2"/>
        <v>-1.0406336633739244E-5</v>
      </c>
      <c r="L5" s="13">
        <f t="shared" si="3"/>
        <v>-3.7537142857327126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ינואר!E6+פברואר!E6+מרץ!E6+אפריל!E6+מאי!E6</f>
        <v>827534.74100000004</v>
      </c>
      <c r="F6" s="9">
        <f>ינואר!F6+פברואר!F6+מרץ!F6+אפריל!F6+מאי!F6</f>
        <v>782310.93940000166</v>
      </c>
      <c r="G6" s="9">
        <f>ינואר!G6+פברואר!G6+מרץ!G6+אפריל!G6+מאי!G6</f>
        <v>730156.39700000011</v>
      </c>
      <c r="H6" s="49">
        <f t="shared" si="0"/>
        <v>-6.6667279943703472E-2</v>
      </c>
      <c r="I6" s="11">
        <f t="shared" si="1"/>
        <v>-52154.542400001548</v>
      </c>
      <c r="J6" s="9">
        <f>ינואר!J6+פברואר!J6+מרץ!J6+אפריל!J6+מאי!J6</f>
        <v>777507.93650793645</v>
      </c>
      <c r="K6" s="49">
        <f t="shared" si="2"/>
        <v>-6.0901679950186582E-2</v>
      </c>
      <c r="L6" s="13">
        <f t="shared" si="3"/>
        <v>-47351.539507936337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ינואר!E7+פברואר!E7+מרץ!E7+אפריל!E7+מאי!E7</f>
        <v>1761859.5</v>
      </c>
      <c r="F7" s="9">
        <f>ינואר!F7+פברואר!F7+מרץ!F7+אפריל!F7+מאי!F7</f>
        <v>1645344</v>
      </c>
      <c r="G7" s="9">
        <f>ינואר!G7+פברואר!G7+מרץ!G7+אפריל!G7+מאי!G7</f>
        <v>1403039.1</v>
      </c>
      <c r="H7" s="49">
        <f t="shared" si="0"/>
        <v>-0.14726701528677277</v>
      </c>
      <c r="I7" s="11">
        <f t="shared" si="1"/>
        <v>-242304.89999999991</v>
      </c>
      <c r="J7" s="9">
        <f>ינואר!J7+פברואר!J7+מרץ!J7+אפריל!J7+מאי!J7</f>
        <v>1825000</v>
      </c>
      <c r="K7" s="49">
        <f t="shared" si="2"/>
        <v>-0.23121145205479443</v>
      </c>
      <c r="L7" s="13">
        <f t="shared" si="3"/>
        <v>-421960.89999999991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ינואר!E8+פברואר!E8+מרץ!E8+אפריל!E8+מאי!E8</f>
        <v>369704.94</v>
      </c>
      <c r="F8" s="9">
        <f>ינואר!F8+פברואר!F8+מרץ!F8+אפריל!F8+מאי!F8</f>
        <v>365047.01</v>
      </c>
      <c r="G8" s="9">
        <f>ינואר!G8+פברואר!G8+מרץ!G8+אפריל!G8+מאי!G8</f>
        <v>273092.31200000003</v>
      </c>
      <c r="H8" s="49">
        <f t="shared" si="0"/>
        <v>-0.2518982363394785</v>
      </c>
      <c r="I8" s="11">
        <f t="shared" si="1"/>
        <v>-91954.697999999975</v>
      </c>
      <c r="J8" s="9">
        <f>ינואר!J8+פברואר!J8+מרץ!J8+אפריל!J8+מאי!J8</f>
        <v>500793.65079365077</v>
      </c>
      <c r="K8" s="49">
        <f t="shared" si="2"/>
        <v>-0.45468096177496031</v>
      </c>
      <c r="L8" s="13">
        <f t="shared" si="3"/>
        <v>-227701.33879365074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ינואר!E9+פברואר!E9+מרץ!E9+אפריל!E9+מאי!E9</f>
        <v>433858.1</v>
      </c>
      <c r="F9" s="9">
        <f>ינואר!F9+פברואר!F9+מרץ!F9+אפריל!F9+מאי!F9</f>
        <v>353945.20000000007</v>
      </c>
      <c r="G9" s="9">
        <f>ינואר!G9+פברואר!G9+מרץ!G9+אפריל!G9+מאי!G9</f>
        <v>407554.35</v>
      </c>
      <c r="H9" s="49">
        <f t="shared" si="0"/>
        <v>0.15146172345323494</v>
      </c>
      <c r="I9" s="11">
        <f t="shared" si="1"/>
        <v>53609.149999999907</v>
      </c>
      <c r="J9" s="9">
        <f>ינואר!J9+פברואר!J9+מרץ!J9+אפריל!J9+מאי!J9</f>
        <v>752900.79365079361</v>
      </c>
      <c r="K9" s="49">
        <f t="shared" si="2"/>
        <v>-0.45868784647738114</v>
      </c>
      <c r="L9" s="13">
        <f t="shared" si="3"/>
        <v>-345346.44365079363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ינואר!E10+פברואר!E10+מרץ!E10+אפריל!E10+מאי!E10</f>
        <v>79144.87</v>
      </c>
      <c r="F10" s="9">
        <f>ינואר!F10+פברואר!F10+מרץ!F10+אפריל!F10+מאי!F10</f>
        <v>86365.760000000009</v>
      </c>
      <c r="G10" s="9">
        <f>ינואר!G10+פברואר!G10+מרץ!G10+אפריל!G10+מאי!G10</f>
        <v>54473.64</v>
      </c>
      <c r="H10" s="49">
        <f t="shared" si="0"/>
        <v>-0.36926809883916967</v>
      </c>
      <c r="I10" s="11">
        <f t="shared" si="1"/>
        <v>-31892.12000000001</v>
      </c>
      <c r="J10" s="9">
        <f>ינואר!J10+פברואר!J10+מרץ!J10+אפריל!J10+מאי!J10</f>
        <v>76150.793650793654</v>
      </c>
      <c r="K10" s="49">
        <f t="shared" si="2"/>
        <v>-0.28466090255341325</v>
      </c>
      <c r="L10" s="13">
        <f t="shared" si="3"/>
        <v>-21677.153650793654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ינואר!E11+פברואר!E11+מרץ!E11+אפריל!E11+מאי!E11</f>
        <v>21739.100000000002</v>
      </c>
      <c r="F11" s="9">
        <f>ינואר!F11+פברואר!F11+מרץ!F11+אפריל!F11+מאי!F11</f>
        <v>31349.360000000001</v>
      </c>
      <c r="G11" s="9">
        <f>ינואר!G11+פברואר!G11+מרץ!G11+אפריל!G11+מאי!G11</f>
        <v>25030.83</v>
      </c>
      <c r="H11" s="49">
        <f t="shared" si="0"/>
        <v>-0.20155212100023734</v>
      </c>
      <c r="I11" s="11">
        <f t="shared" si="1"/>
        <v>-6318.5299999999988</v>
      </c>
      <c r="J11" s="9">
        <f>ינואר!J11+פברואר!J11+מרץ!J11+אפריל!J11+מאי!J11</f>
        <v>38079.365079365074</v>
      </c>
      <c r="K11" s="49">
        <f t="shared" si="2"/>
        <v>-0.34266682367653178</v>
      </c>
      <c r="L11" s="13">
        <f t="shared" si="3"/>
        <v>-13048.535079365072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ינואר!E12+פברואר!E12+מרץ!E12+אפריל!E12+מאי!E12</f>
        <v>850.4</v>
      </c>
      <c r="F12" s="9">
        <f>ינואר!F12+פברואר!F12+מרץ!F12+אפריל!F12+מאי!F12</f>
        <v>1732.3</v>
      </c>
      <c r="G12" s="9">
        <f>ינואר!G12+פברואר!G12+מרץ!G12+אפריל!G12+מאי!G12</f>
        <v>1917.1599999999999</v>
      </c>
      <c r="H12" s="49">
        <f t="shared" si="0"/>
        <v>0.10671361773364896</v>
      </c>
      <c r="I12" s="11">
        <f t="shared" si="1"/>
        <v>184.8599999999999</v>
      </c>
      <c r="J12" s="9">
        <f>ינואר!J12+פברואר!J12+מרץ!J12+אפריל!J12+מאי!J12</f>
        <v>0</v>
      </c>
      <c r="K12" s="49"/>
      <c r="L12" s="13">
        <f t="shared" si="3"/>
        <v>1917.1599999999999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ינואר!E13+פברואר!E13+מרץ!E13+אפריל!E13+מאי!E13</f>
        <v>1597.46</v>
      </c>
      <c r="F13" s="9">
        <f>ינואר!F13+פברואר!F13+מרץ!F13+אפריל!F13+מאי!F13</f>
        <v>0</v>
      </c>
      <c r="G13" s="9">
        <f>ינואר!G13+פברואר!G13+מרץ!G13+אפריל!G13+מאי!G13</f>
        <v>1896.82</v>
      </c>
      <c r="H13" s="49" t="e">
        <f t="shared" si="0"/>
        <v>#DIV/0!</v>
      </c>
      <c r="I13" s="11">
        <f t="shared" si="1"/>
        <v>1896.82</v>
      </c>
      <c r="J13" s="9">
        <f>ינואר!J13+פברואר!J13+מרץ!J13+אפריל!J13+מאי!J13</f>
        <v>12500</v>
      </c>
      <c r="K13" s="49">
        <f t="shared" si="2"/>
        <v>-0.84825439999999996</v>
      </c>
      <c r="L13" s="13">
        <f t="shared" si="3"/>
        <v>-10603.18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ינואר!E14+פברואר!E14+מרץ!E14+אפריל!E14+מאי!E14</f>
        <v>1275.21</v>
      </c>
      <c r="F14" s="9">
        <f>ינואר!F14+פברואר!F14+מרץ!F14+אפריל!F14+מאי!F14</f>
        <v>11067.51</v>
      </c>
      <c r="G14" s="9">
        <f>ינואר!G14+פברואר!G14+מרץ!G14+אפריל!G14+מאי!G14</f>
        <v>7748.72</v>
      </c>
      <c r="H14" s="49">
        <f t="shared" si="0"/>
        <v>-0.29986781127823692</v>
      </c>
      <c r="I14" s="11">
        <f t="shared" si="1"/>
        <v>-3318.79</v>
      </c>
      <c r="J14" s="9">
        <f>ינואר!J14+פברואר!J14+מרץ!J14+אפריל!J14+מאי!J14</f>
        <v>100000</v>
      </c>
      <c r="K14" s="49">
        <f t="shared" si="2"/>
        <v>-0.92251280000000002</v>
      </c>
      <c r="L14" s="13">
        <f t="shared" si="3"/>
        <v>-92251.28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ינואר!E15+פברואר!E15+מרץ!E15+אפריל!E15+מאי!E15</f>
        <v>26681.75</v>
      </c>
      <c r="F15" s="9">
        <f>ינואר!F15+פברואר!F15+מרץ!F15+אפריל!F15+מאי!F15</f>
        <v>36459.930000000008</v>
      </c>
      <c r="G15" s="9">
        <f>ינואר!G15+פברואר!G15+מרץ!G15+אפריל!G15+מאי!G15</f>
        <v>73467.69</v>
      </c>
      <c r="H15" s="49">
        <f t="shared" si="0"/>
        <v>1.0150255362530864</v>
      </c>
      <c r="I15" s="11">
        <f t="shared" si="1"/>
        <v>37007.759999999995</v>
      </c>
      <c r="J15" s="9">
        <f>ינואר!J15+פברואר!J15+מרץ!J15+אפריל!J15+מאי!J15</f>
        <v>80158.730158730148</v>
      </c>
      <c r="K15" s="49">
        <f t="shared" si="2"/>
        <v>-8.3472382178217619E-2</v>
      </c>
      <c r="L15" s="13">
        <f t="shared" si="3"/>
        <v>-6691.0401587301458</v>
      </c>
    </row>
    <row r="16" spans="1:12" ht="15" x14ac:dyDescent="0.25">
      <c r="B16" s="277" t="s">
        <v>221</v>
      </c>
      <c r="C16" s="278"/>
      <c r="D16" s="278"/>
      <c r="E16" s="67">
        <f>SUM(E3:E15)</f>
        <v>7089841.3330000006</v>
      </c>
      <c r="F16" s="67">
        <f>SUM(F3:F15)</f>
        <v>7269247.262000028</v>
      </c>
      <c r="G16" s="67">
        <f>SUM(G3:G15)</f>
        <v>6254582.6420000009</v>
      </c>
      <c r="H16" s="68">
        <f t="shared" si="0"/>
        <v>-0.1395831760056071</v>
      </c>
      <c r="I16" s="67">
        <f>SUM(I3:I15)</f>
        <v>-1014664.6200000278</v>
      </c>
      <c r="J16" s="67">
        <f>SUM(J3:J15)</f>
        <v>8137694.444444445</v>
      </c>
      <c r="K16" s="68">
        <f t="shared" si="2"/>
        <v>-0.23140605921005464</v>
      </c>
      <c r="L16" s="67">
        <f>SUM(L3:L15)</f>
        <v>-1883111.802444444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ינואר!E17+פברואר!E17+מרץ!E17+אפריל!E17+מאי!E17</f>
        <v>221197.47999999986</v>
      </c>
      <c r="F17" s="9">
        <f>ינואר!F17+פברואר!F17+מרץ!F17+אפריל!F17+מאי!F17</f>
        <v>484788.84999999974</v>
      </c>
      <c r="G17" s="9">
        <f>ינואר!G17+פברואר!G17+מרץ!G17+אפריל!G17+מאי!G17</f>
        <v>1807840.1400000327</v>
      </c>
      <c r="H17" s="49">
        <f>G17/F17-1</f>
        <v>2.7291289599586164</v>
      </c>
      <c r="I17" s="11">
        <f>G17-F17</f>
        <v>1323051.2900000331</v>
      </c>
      <c r="J17" s="9">
        <f>ינואר!J17+פברואר!J17+מרץ!J17+אפריל!J17+מאי!J17</f>
        <v>2276716.1016949154</v>
      </c>
      <c r="K17" s="49">
        <f>G17/J17-1</f>
        <v>-0.20594397401846687</v>
      </c>
      <c r="L17" s="13">
        <f>G17-J17</f>
        <v>-468875.96169488272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ינואר!E18+פברואר!E18+מרץ!E18+אפריל!E18+מאי!E18</f>
        <v>10754.780000000002</v>
      </c>
      <c r="F18" s="9">
        <f>ינואר!F18+פברואר!F18+מרץ!F18+אפריל!F18+מאי!F18</f>
        <v>12896.220000000001</v>
      </c>
      <c r="G18" s="9">
        <f>ינואר!G18+פברואר!G18+מרץ!G18+אפריל!G18+מאי!G18</f>
        <v>8737.7300000000014</v>
      </c>
      <c r="H18" s="49">
        <f>G18/F18-1</f>
        <v>-0.32245805360020219</v>
      </c>
      <c r="I18" s="11">
        <f>G18-F18</f>
        <v>-4158.49</v>
      </c>
      <c r="J18" s="9">
        <f>ינואר!J18+פברואר!J18+מרץ!J18+אפריל!J18+מאי!J18</f>
        <v>12684.641666666663</v>
      </c>
      <c r="K18" s="49">
        <f>G18/J18-1</f>
        <v>-0.31115673350383666</v>
      </c>
      <c r="L18" s="13">
        <f>G18-J18</f>
        <v>-3946.9116666666614</v>
      </c>
    </row>
    <row r="19" spans="1:12" ht="15" x14ac:dyDescent="0.25">
      <c r="B19" s="266" t="s">
        <v>41</v>
      </c>
      <c r="C19" s="267"/>
      <c r="D19" s="267"/>
      <c r="E19" s="12">
        <f>E16+E17+E18</f>
        <v>7321793.5930000003</v>
      </c>
      <c r="F19" s="12">
        <f>F16+F17+F18</f>
        <v>7766932.3320000274</v>
      </c>
      <c r="G19" s="12">
        <f>G16+G17+G18</f>
        <v>8071160.5120000336</v>
      </c>
      <c r="H19" s="50">
        <f t="shared" ref="H19:H41" si="4">G19/F19-1</f>
        <v>3.916967046907005E-2</v>
      </c>
      <c r="I19" s="12">
        <f>I16+I17+I18</f>
        <v>304228.18000000529</v>
      </c>
      <c r="J19" s="12">
        <f>J16+J17+J18</f>
        <v>10427095.187806027</v>
      </c>
      <c r="K19" s="50">
        <f t="shared" ref="K19:K41" si="5">G19/J19-1</f>
        <v>-0.22594352821878361</v>
      </c>
      <c r="L19" s="12">
        <f>L16+L17+L18</f>
        <v>-2355934.6758059934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ינואר!E20+פברואר!E20+מרץ!E20+אפריל!E20+מאי!E20</f>
        <v>1686675.9500000002</v>
      </c>
      <c r="F20" s="9">
        <f>ינואר!F20+פברואר!F20+מרץ!F20+אפריל!F20+מאי!F20</f>
        <v>1106654.1100000001</v>
      </c>
      <c r="G20" s="9">
        <f>ינואר!G20+פברואר!G20+מרץ!G20+אפריל!G20+מאי!G20</f>
        <v>1025328.2</v>
      </c>
      <c r="H20" s="49">
        <f t="shared" si="4"/>
        <v>-7.3488101896626135E-2</v>
      </c>
      <c r="I20" s="11">
        <f t="shared" ref="I20:I39" si="6">G20-F20</f>
        <v>-81325.910000000149</v>
      </c>
      <c r="J20" s="9">
        <f>ינואר!J20+פברואר!J20+מרץ!J20+אפריל!J20+מאי!J20</f>
        <v>1683032.1399375</v>
      </c>
      <c r="K20" s="49">
        <f t="shared" si="5"/>
        <v>-0.39078513376573076</v>
      </c>
      <c r="L20" s="13">
        <f t="shared" ref="L20:L39" si="7">G20-J20</f>
        <v>-657703.93993750005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ינואר!E21+פברואר!E21+מרץ!E21+אפריל!E21+מאי!E21</f>
        <v>440395.64</v>
      </c>
      <c r="F21" s="9">
        <f>ינואר!F21+פברואר!F21+מרץ!F21+אפריל!F21+מאי!F21</f>
        <v>430264.8</v>
      </c>
      <c r="G21" s="9">
        <f>ינואר!G21+פברואר!G21+מרץ!G21+אפריל!G21+מאי!G21</f>
        <v>342081.02</v>
      </c>
      <c r="H21" s="49">
        <f t="shared" si="4"/>
        <v>-0.20495234562529863</v>
      </c>
      <c r="I21" s="11">
        <f t="shared" si="6"/>
        <v>-88183.77999999997</v>
      </c>
      <c r="J21" s="9">
        <f>ינואר!J21+פברואר!J21+מרץ!J21+אפריל!J21+מאי!J21</f>
        <v>470400</v>
      </c>
      <c r="K21" s="49">
        <f t="shared" si="5"/>
        <v>-0.27278694727891151</v>
      </c>
      <c r="L21" s="13">
        <f t="shared" si="7"/>
        <v>-128318.97999999998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ינואר!E22+פברואר!E22+מרץ!E22+אפריל!E22+מאי!E22</f>
        <v>304111.38</v>
      </c>
      <c r="F22" s="9">
        <f>ינואר!F22+פברואר!F22+מרץ!F22+אפריל!F22+מאי!F22</f>
        <v>82086.33</v>
      </c>
      <c r="G22" s="9">
        <f>ינואר!G22+פברואר!G22+מרץ!G22+אפריל!G22+מאי!G22</f>
        <v>278021.25</v>
      </c>
      <c r="H22" s="49">
        <f t="shared" si="4"/>
        <v>2.3869372647065594</v>
      </c>
      <c r="I22" s="11">
        <f t="shared" si="6"/>
        <v>195934.91999999998</v>
      </c>
      <c r="J22" s="9">
        <f>ינואר!J22+פברואר!J22+מרץ!J22+אפריל!J22+מאי!J22</f>
        <v>266610.27</v>
      </c>
      <c r="K22" s="49">
        <f t="shared" si="5"/>
        <v>4.2800226712946809E-2</v>
      </c>
      <c r="L22" s="13">
        <f t="shared" si="7"/>
        <v>11410.979999999981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ינואר!E23+פברואר!E23+מרץ!E23+אפריל!E23+מאי!E23</f>
        <v>153212.06</v>
      </c>
      <c r="F23" s="9">
        <f>ינואר!F23+פברואר!F23+מרץ!F23+אפריל!F23+מאי!F23</f>
        <v>174270.07</v>
      </c>
      <c r="G23" s="9">
        <f>ינואר!G23+פברואר!G23+מרץ!G23+אפריל!G23+מאי!G23</f>
        <v>159563.93</v>
      </c>
      <c r="H23" s="49">
        <f t="shared" si="4"/>
        <v>-8.4387066580050241E-2</v>
      </c>
      <c r="I23" s="11">
        <f t="shared" si="6"/>
        <v>-14706.140000000014</v>
      </c>
      <c r="J23" s="9">
        <f>ינואר!J23+פברואר!J23+מרץ!J23+אפריל!J23+מאי!J23</f>
        <v>247158.96999999997</v>
      </c>
      <c r="K23" s="49">
        <f t="shared" si="5"/>
        <v>-0.35440769153553275</v>
      </c>
      <c r="L23" s="13">
        <f t="shared" si="7"/>
        <v>-87595.039999999979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ינואר!E24+פברואר!E24+מרץ!E24+אפריל!E24+מאי!E24</f>
        <v>49857.25</v>
      </c>
      <c r="F24" s="9">
        <f>ינואר!F24+פברואר!F24+מרץ!F24+אפריל!F24+מאי!F24</f>
        <v>41888.1</v>
      </c>
      <c r="G24" s="9">
        <f>ינואר!G24+פברואר!G24+מרץ!G24+אפריל!G24+מאי!G24</f>
        <v>60883.59</v>
      </c>
      <c r="H24" s="49">
        <f t="shared" si="4"/>
        <v>0.45348177644724874</v>
      </c>
      <c r="I24" s="11">
        <f t="shared" si="6"/>
        <v>18995.489999999998</v>
      </c>
      <c r="J24" s="9">
        <f>ינואר!J24+פברואר!J24+מרץ!J24+אפריל!J24+מאי!J24</f>
        <v>59774.92</v>
      </c>
      <c r="K24" s="49">
        <f t="shared" si="5"/>
        <v>1.8547410853916535E-2</v>
      </c>
      <c r="L24" s="13">
        <f t="shared" si="7"/>
        <v>1108.6699999999983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ינואר!E25+פברואר!E25+מרץ!E25+אפריל!E25+מאי!E25</f>
        <v>50777.759999999995</v>
      </c>
      <c r="F25" s="9">
        <f>ינואר!F25+פברואר!F25+מרץ!F25+אפריל!F25+מאי!F25</f>
        <v>52899.82</v>
      </c>
      <c r="G25" s="9">
        <f>ינואר!G25+פברואר!G25+מרץ!G25+אפריל!G25+מאי!G25</f>
        <v>0</v>
      </c>
      <c r="H25" s="49">
        <f t="shared" si="4"/>
        <v>-1</v>
      </c>
      <c r="I25" s="11">
        <f t="shared" si="6"/>
        <v>-52899.82</v>
      </c>
      <c r="J25" s="9">
        <f>ינואר!J25+פברואר!J25+מרץ!J25+אפריל!J25+מאי!J25</f>
        <v>15000</v>
      </c>
      <c r="K25" s="49">
        <f t="shared" si="5"/>
        <v>-1</v>
      </c>
      <c r="L25" s="13">
        <f t="shared" si="7"/>
        <v>-15000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ינואר!E26+פברואר!E26+מרץ!E26+אפריל!E26+מאי!E26</f>
        <v>249206.12</v>
      </c>
      <c r="F26" s="9">
        <f>ינואר!F26+פברואר!F26+מרץ!F26+אפריל!F26+מאי!F26</f>
        <v>172805.6</v>
      </c>
      <c r="G26" s="9">
        <f>ינואר!G26+פברואר!G26+מרץ!G26+אפריל!G26+מאי!G26</f>
        <v>144147.46999999997</v>
      </c>
      <c r="H26" s="49">
        <f t="shared" si="4"/>
        <v>-0.16584028526853312</v>
      </c>
      <c r="I26" s="11">
        <f t="shared" si="6"/>
        <v>-28658.130000000034</v>
      </c>
      <c r="J26" s="9">
        <f>ינואר!J26+פברואר!J26+מרץ!J26+אפריל!J26+מאי!J26</f>
        <v>150000</v>
      </c>
      <c r="K26" s="49">
        <f t="shared" si="5"/>
        <v>-3.9016866666666816E-2</v>
      </c>
      <c r="L26" s="13">
        <f t="shared" si="7"/>
        <v>-5852.5300000000279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ינואר!E27+פברואר!E27+מרץ!E27+אפריל!E27+מאי!E27</f>
        <v>62494.999999999993</v>
      </c>
      <c r="F27" s="9">
        <f>ינואר!F27+פברואר!F27+מרץ!F27+אפריל!F27+מאי!F27</f>
        <v>35240.620000000003</v>
      </c>
      <c r="G27" s="9">
        <f>ינואר!G27+פברואר!G27+מרץ!G27+אפריל!G27+מאי!G27</f>
        <v>60694.009999999995</v>
      </c>
      <c r="H27" s="49">
        <f t="shared" si="4"/>
        <v>0.72227418246330477</v>
      </c>
      <c r="I27" s="11">
        <f t="shared" si="6"/>
        <v>25453.389999999992</v>
      </c>
      <c r="J27" s="9">
        <f>ינואר!J27+פברואר!J27+מרץ!J27+אפריל!J27+מאי!J27</f>
        <v>80000</v>
      </c>
      <c r="K27" s="49">
        <f t="shared" si="5"/>
        <v>-0.24132487500000011</v>
      </c>
      <c r="L27" s="13">
        <f t="shared" si="7"/>
        <v>-19305.990000000005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ינואר!E28+פברואר!E28+מרץ!E28+אפריל!E28+מאי!E28</f>
        <v>171813.81000000003</v>
      </c>
      <c r="F28" s="9">
        <f>ינואר!F28+פברואר!F28+מרץ!F28+אפריל!F28+מאי!F28</f>
        <v>0.22</v>
      </c>
      <c r="G28" s="9">
        <f>ינואר!G28+פברואר!G28+מרץ!G28+אפריל!G28+מאי!G28</f>
        <v>0</v>
      </c>
      <c r="H28" s="49">
        <f t="shared" si="4"/>
        <v>-1</v>
      </c>
      <c r="I28" s="11">
        <f t="shared" si="6"/>
        <v>-0.22</v>
      </c>
      <c r="J28" s="9">
        <f>ינואר!J28+פברואר!J28+מרץ!J28+אפריל!J28+מאי!J28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ינואר!E29+פברואר!E29+מרץ!E29+אפריל!E29+מאי!E29</f>
        <v>134509.53</v>
      </c>
      <c r="F29" s="9">
        <f>ינואר!F29+פברואר!F29+מרץ!F29+אפריל!F29+מאי!F29</f>
        <v>188249.37</v>
      </c>
      <c r="G29" s="9">
        <f>ינואר!G29+פברואר!G29+מרץ!G29+אפריל!G29+מאי!G29</f>
        <v>146122.13</v>
      </c>
      <c r="H29" s="49">
        <f t="shared" si="4"/>
        <v>-0.22378422833500045</v>
      </c>
      <c r="I29" s="11">
        <f t="shared" si="6"/>
        <v>-42127.239999999991</v>
      </c>
      <c r="J29" s="9">
        <f>ינואר!J29+פברואר!J29+מרץ!J29+אפריל!J29+מאי!J29</f>
        <v>171644.46799999999</v>
      </c>
      <c r="K29" s="49">
        <f t="shared" si="5"/>
        <v>-0.14869304147920448</v>
      </c>
      <c r="L29" s="13">
        <f t="shared" si="7"/>
        <v>-25522.337999999989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ינואר!E30+פברואר!E30+מרץ!E30+אפריל!E30+מאי!E30</f>
        <v>49617.59</v>
      </c>
      <c r="F30" s="9">
        <f>ינואר!F30+פברואר!F30+מרץ!F30+אפריל!F30+מאי!F30</f>
        <v>32010.18</v>
      </c>
      <c r="G30" s="9">
        <f>ינואר!G30+פברואר!G30+מרץ!G30+אפריל!G30+מאי!G30</f>
        <v>43116.44</v>
      </c>
      <c r="H30" s="49">
        <f t="shared" si="4"/>
        <v>0.34696024827101879</v>
      </c>
      <c r="I30" s="11">
        <f t="shared" si="6"/>
        <v>11106.260000000002</v>
      </c>
      <c r="J30" s="9">
        <f>ינואר!J30+פברואר!J30+מרץ!J30+אפריל!J30+מאי!J30</f>
        <v>35000</v>
      </c>
      <c r="K30" s="49">
        <f t="shared" si="5"/>
        <v>0.23189828571428572</v>
      </c>
      <c r="L30" s="13">
        <f t="shared" si="7"/>
        <v>8116.4400000000023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ינואר!E31+פברואר!E31+מרץ!E31+אפריל!E31+מאי!E31</f>
        <v>20354.79</v>
      </c>
      <c r="F31" s="9">
        <f>ינואר!F31+פברואר!F31+מרץ!F31+אפריל!F31+מאי!F31</f>
        <v>38733.300000000003</v>
      </c>
      <c r="G31" s="9">
        <f>ינואר!G31+פברואר!G31+מרץ!G31+אפריל!G31+מאי!G31</f>
        <v>17809.5</v>
      </c>
      <c r="H31" s="49">
        <f t="shared" si="4"/>
        <v>-0.54020184182602571</v>
      </c>
      <c r="I31" s="11">
        <f t="shared" si="6"/>
        <v>-20923.800000000003</v>
      </c>
      <c r="J31" s="9">
        <f>ינואר!J31+פברואר!J31+מרץ!J31+אפריל!J31+מאי!J31</f>
        <v>20000</v>
      </c>
      <c r="K31" s="49">
        <f t="shared" si="5"/>
        <v>-0.10952499999999998</v>
      </c>
      <c r="L31" s="13">
        <f t="shared" si="7"/>
        <v>-2190.5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ינואר!E32+פברואר!E32+מרץ!E32+אפריל!E32+מאי!E32</f>
        <v>0</v>
      </c>
      <c r="F32" s="9">
        <f>ינואר!F32+פברואר!F32+מרץ!F32+אפריל!F32+מאי!F32</f>
        <v>16024.5</v>
      </c>
      <c r="G32" s="9">
        <f>ינואר!G32+פברואר!G32+מרץ!G32+אפריל!G32+מאי!G32</f>
        <v>0</v>
      </c>
      <c r="H32" s="49">
        <f t="shared" si="4"/>
        <v>-1</v>
      </c>
      <c r="I32" s="11">
        <f t="shared" si="6"/>
        <v>-16024.5</v>
      </c>
      <c r="J32" s="9">
        <f>ינואר!J32+פברואר!J32+מרץ!J32+אפריל!J32+מאי!J32</f>
        <v>18000</v>
      </c>
      <c r="K32" s="49">
        <f t="shared" si="5"/>
        <v>-1</v>
      </c>
      <c r="L32" s="13">
        <f t="shared" si="7"/>
        <v>-18000</v>
      </c>
    </row>
    <row r="33" spans="1:12" ht="13.5" customHeight="1" x14ac:dyDescent="0.2">
      <c r="B33" s="36"/>
      <c r="C33" s="5" t="s">
        <v>11</v>
      </c>
      <c r="D33" s="3" t="s">
        <v>12</v>
      </c>
      <c r="E33" s="9">
        <f>ינואר!E33+פברואר!E33+מרץ!E33+אפריל!E33+מאי!E33</f>
        <v>0</v>
      </c>
      <c r="F33" s="9">
        <f>ינואר!F33+פברואר!F33+מרץ!F33+אפריל!F33+מאי!F33</f>
        <v>0</v>
      </c>
      <c r="G33" s="9">
        <f>ינואר!G33+פברואר!G33+מרץ!G33+אפריל!G33+מאי!G33</f>
        <v>0</v>
      </c>
      <c r="H33" s="49" t="e">
        <f t="shared" si="4"/>
        <v>#DIV/0!</v>
      </c>
      <c r="I33" s="11">
        <f t="shared" si="6"/>
        <v>0</v>
      </c>
      <c r="J33" s="9">
        <f>ינואר!J33+פברואר!J33+מרץ!J33+אפריל!J33+מאי!J33</f>
        <v>0</v>
      </c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ינואר!E34+פברואר!E34+מרץ!E34+אפריל!E34+מאי!E34</f>
        <v>19941.820000000003</v>
      </c>
      <c r="F34" s="9">
        <f>ינואר!F34+פברואר!F34+מרץ!F34+אפריל!F34+מאי!F34</f>
        <v>39713.57</v>
      </c>
      <c r="G34" s="9">
        <f>ינואר!G34+פברואר!G34+מרץ!G34+אפריל!G34+מאי!G34</f>
        <v>18792.66</v>
      </c>
      <c r="H34" s="49">
        <f t="shared" si="4"/>
        <v>-0.5267949972767495</v>
      </c>
      <c r="I34" s="11">
        <f t="shared" si="6"/>
        <v>-20920.91</v>
      </c>
      <c r="J34" s="9">
        <f>ינואר!J34+פברואר!J34+מרץ!J34+אפריל!J34+מאי!J34</f>
        <v>40000</v>
      </c>
      <c r="K34" s="49">
        <f t="shared" si="5"/>
        <v>-0.53018350000000003</v>
      </c>
      <c r="L34" s="13">
        <f t="shared" si="7"/>
        <v>-21207.34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ינואר!E35+פברואר!E35+מרץ!E35+אפריל!E35+מאי!E35</f>
        <v>34034.18</v>
      </c>
      <c r="F35" s="9">
        <f>ינואר!F35+פברואר!F35+מרץ!F35+אפריל!F35+מאי!F35</f>
        <v>30531.53</v>
      </c>
      <c r="G35" s="9">
        <f>ינואר!G35+פברואר!G35+מרץ!G35+אפריל!G35+מאי!G35</f>
        <v>0</v>
      </c>
      <c r="H35" s="49">
        <f t="shared" si="4"/>
        <v>-1</v>
      </c>
      <c r="I35" s="11">
        <f t="shared" si="6"/>
        <v>-30531.53</v>
      </c>
      <c r="J35" s="9">
        <f>ינואר!J35+פברואר!J35+מרץ!J35+אפריל!J35+מאי!J35</f>
        <v>40000</v>
      </c>
      <c r="K35" s="49">
        <f t="shared" si="5"/>
        <v>-1</v>
      </c>
      <c r="L35" s="13">
        <f t="shared" si="7"/>
        <v>-40000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ינואר!E36+פברואר!E36+מרץ!E36+אפריל!E36+מאי!E36</f>
        <v>41531.96</v>
      </c>
      <c r="F36" s="9">
        <f>ינואר!F36+פברואר!F36+מרץ!F36+אפריל!F36+מאי!F36</f>
        <v>0</v>
      </c>
      <c r="G36" s="9">
        <f>ינואר!G36+פברואר!G36+מרץ!G36+אפריל!G36+מאי!G36</f>
        <v>0</v>
      </c>
      <c r="H36" s="49" t="e">
        <f t="shared" si="4"/>
        <v>#DIV/0!</v>
      </c>
      <c r="I36" s="11">
        <f t="shared" si="6"/>
        <v>0</v>
      </c>
      <c r="J36" s="9">
        <f>ינואר!J36+פברואר!J36+מרץ!J36+אפריל!J36+מאי!J36</f>
        <v>0</v>
      </c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ינואר!E37+פברואר!E37+מרץ!E37+אפריל!E37+מאי!E37</f>
        <v>0</v>
      </c>
      <c r="F37" s="9">
        <f>ינואר!F37+פברואר!F37+מרץ!F37+אפריל!F37+מאי!F37</f>
        <v>0</v>
      </c>
      <c r="G37" s="9">
        <f>ינואר!G37+פברואר!G37+מרץ!G37+אפריל!G37+מאי!G37</f>
        <v>0</v>
      </c>
      <c r="H37" s="49" t="e">
        <f t="shared" si="4"/>
        <v>#DIV/0!</v>
      </c>
      <c r="I37" s="11">
        <f t="shared" si="6"/>
        <v>0</v>
      </c>
      <c r="J37" s="9">
        <f>ינואר!J37+פברואר!J37+מרץ!J37+אפריל!J37+מאי!J37</f>
        <v>0</v>
      </c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ינואר!E38+פברואר!E38+מרץ!E38+אפריל!E38+מאי!E38</f>
        <v>0</v>
      </c>
      <c r="F38" s="9">
        <f>ינואר!F38+פברואר!F38+מרץ!F38+אפריל!F38+מאי!F38</f>
        <v>248.59</v>
      </c>
      <c r="G38" s="9">
        <f>ינואר!G38+פברואר!G38+מרץ!G38+אפריל!G38+מאי!G38</f>
        <v>0</v>
      </c>
      <c r="H38" s="49">
        <f t="shared" si="4"/>
        <v>-1</v>
      </c>
      <c r="I38" s="11">
        <f t="shared" si="6"/>
        <v>-248.59</v>
      </c>
      <c r="J38" s="9">
        <f>ינואר!J38+פברואר!J38+מרץ!J38+אפריל!J38+מאי!J38</f>
        <v>200000</v>
      </c>
      <c r="K38" s="49">
        <f t="shared" si="5"/>
        <v>-1</v>
      </c>
      <c r="L38" s="13">
        <f t="shared" si="7"/>
        <v>-200000</v>
      </c>
    </row>
    <row r="39" spans="1:12" ht="13.5" customHeight="1" x14ac:dyDescent="0.2">
      <c r="B39" s="37" t="s">
        <v>91</v>
      </c>
      <c r="C39" s="5" t="s">
        <v>91</v>
      </c>
      <c r="D39" s="3"/>
      <c r="E39" s="9">
        <f>ינואר!E39+פברואר!E39+מרץ!E39+אפריל!E39+מאי!E39</f>
        <v>0</v>
      </c>
      <c r="F39" s="9">
        <f>ינואר!F39+פברואר!F39+מרץ!F39+אפריל!F39+מאי!F39</f>
        <v>0</v>
      </c>
      <c r="G39" s="9">
        <f>ינואר!G39+פברואר!G39+מרץ!G39+אפריל!G39+מאי!G39</f>
        <v>0</v>
      </c>
      <c r="H39" s="49" t="e">
        <f t="shared" si="4"/>
        <v>#DIV/0!</v>
      </c>
      <c r="I39" s="11">
        <f t="shared" si="6"/>
        <v>0</v>
      </c>
      <c r="J39" s="9">
        <f>ינואר!J39+פברואר!J39+מרץ!J39+אפריל!J39+מאי!J39</f>
        <v>0</v>
      </c>
      <c r="K39" s="49" t="e">
        <f t="shared" si="5"/>
        <v>#DIV/0!</v>
      </c>
      <c r="L39" s="13">
        <f t="shared" si="7"/>
        <v>0</v>
      </c>
    </row>
    <row r="40" spans="1:12" ht="15" x14ac:dyDescent="0.25">
      <c r="B40" s="268" t="s">
        <v>42</v>
      </c>
      <c r="C40" s="269"/>
      <c r="D40" s="269"/>
      <c r="E40" s="10">
        <f>SUM(E20:E39)</f>
        <v>3468534.84</v>
      </c>
      <c r="F40" s="10">
        <f>SUM(F20:F39)</f>
        <v>2441620.71</v>
      </c>
      <c r="G40" s="10">
        <f>SUM(G20:G39)</f>
        <v>2296560.2000000002</v>
      </c>
      <c r="H40" s="43">
        <f t="shared" si="4"/>
        <v>-5.9411566016738027E-2</v>
      </c>
      <c r="I40" s="10">
        <f>SUM(I20:I39)</f>
        <v>-145060.51000000018</v>
      </c>
      <c r="J40" s="10">
        <f>SUM(J20:J39)</f>
        <v>3496620.7679374996</v>
      </c>
      <c r="K40" s="43">
        <f t="shared" si="5"/>
        <v>-0.34320581143415263</v>
      </c>
      <c r="L40" s="10">
        <f>SUM(L20:L39)</f>
        <v>-1200060.5679374998</v>
      </c>
    </row>
    <row r="41" spans="1:12" ht="16.5" thickBot="1" x14ac:dyDescent="0.3">
      <c r="B41" s="270" t="s">
        <v>69</v>
      </c>
      <c r="C41" s="271"/>
      <c r="D41" s="271"/>
      <c r="E41" s="25">
        <f>E40+E19</f>
        <v>10790328.433</v>
      </c>
      <c r="F41" s="25">
        <f>F40+F19</f>
        <v>10208553.042000027</v>
      </c>
      <c r="G41" s="25">
        <f>G40+G19</f>
        <v>10367720.712000035</v>
      </c>
      <c r="H41" s="44">
        <f t="shared" si="4"/>
        <v>1.5591599450496041E-2</v>
      </c>
      <c r="I41" s="25">
        <f>I40+I19</f>
        <v>159167.67000000511</v>
      </c>
      <c r="J41" s="25">
        <f>J40+J19</f>
        <v>13923715.955743527</v>
      </c>
      <c r="K41" s="44">
        <f t="shared" si="5"/>
        <v>-0.25539125151979603</v>
      </c>
      <c r="L41" s="25">
        <f>L40+L19</f>
        <v>-3555995.2437434932</v>
      </c>
    </row>
    <row r="42" spans="1:12" ht="15.75" thickBot="1" x14ac:dyDescent="0.3">
      <c r="B42" s="272" t="s">
        <v>43</v>
      </c>
      <c r="C42" s="273"/>
      <c r="D42" s="274"/>
      <c r="E42" s="16">
        <f>E40/E41</f>
        <v>0.32144849543153842</v>
      </c>
      <c r="F42" s="16">
        <f>F40/F41</f>
        <v>0.23917402397329812</v>
      </c>
      <c r="G42" s="16">
        <f>G40/G41</f>
        <v>0.22151061586196713</v>
      </c>
      <c r="H42" s="45"/>
      <c r="I42" s="6"/>
      <c r="J42" s="15">
        <f>J40-ינואר!J40-פברואר!J40-מרץ!J40-אפריל!J40-מאי!J40</f>
        <v>0</v>
      </c>
    </row>
    <row r="43" spans="1:12" x14ac:dyDescent="0.2">
      <c r="E43" s="15">
        <f>E41-ינואר!E41-פברואר!E41-מרץ!E41-אפריל!E41-מאי!E41</f>
        <v>0</v>
      </c>
      <c r="I43" s="6"/>
    </row>
  </sheetData>
  <dataConsolidate/>
  <mergeCells count="6">
    <mergeCell ref="B1:L1"/>
    <mergeCell ref="B19:D19"/>
    <mergeCell ref="B40:D40"/>
    <mergeCell ref="B41:D41"/>
    <mergeCell ref="B42:D42"/>
    <mergeCell ref="B16:D16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4597-44E1-410F-8BE6-E5D742F450C4}">
  <dimension ref="A1:L43"/>
  <sheetViews>
    <sheetView rightToLeft="1" zoomScaleNormal="100" workbookViewId="0">
      <pane xSplit="4" ySplit="2" topLeftCell="E3" activePane="bottomRight" state="frozen"/>
      <selection activeCell="J13" sqref="J13"/>
      <selection pane="topRight" activeCell="J13" sqref="J13"/>
      <selection pane="bottomLeft" activeCell="J13" sqref="J13"/>
      <selection pane="bottomRight" activeCell="D35" sqref="D35"/>
    </sheetView>
  </sheetViews>
  <sheetFormatPr defaultRowHeight="14.25" x14ac:dyDescent="0.2"/>
  <cols>
    <col min="1" max="1" width="18.125" hidden="1" customWidth="1"/>
    <col min="2" max="2" width="17.375" customWidth="1"/>
    <col min="3" max="3" width="21.375" customWidth="1"/>
    <col min="4" max="4" width="11.375" style="1" customWidth="1"/>
    <col min="5" max="7" width="11.625" customWidth="1"/>
    <col min="8" max="8" width="11.875" style="51" bestFit="1" customWidth="1"/>
    <col min="9" max="9" width="16.75" bestFit="1" customWidth="1"/>
    <col min="10" max="10" width="14.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181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>
        <v>6.2023999999999999</v>
      </c>
      <c r="F2" s="30">
        <v>6.2024999999999997</v>
      </c>
      <c r="G2" s="30">
        <v>6.2026000000000003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VLOOKUP(A3,'2024'!$A:$O,7,0)</f>
        <v>144633.66999999998</v>
      </c>
      <c r="F3" s="9">
        <f>VLOOKUP($A3,'2025'!$A:$O,7,0)</f>
        <v>0</v>
      </c>
      <c r="G3" s="9">
        <v>65131.7</v>
      </c>
      <c r="H3" s="49" t="e">
        <f t="shared" ref="H3:H16" si="0">G3/F3-1</f>
        <v>#DIV/0!</v>
      </c>
      <c r="I3" s="11">
        <f t="shared" ref="I3:I15" si="1">G3-F3</f>
        <v>65131.7</v>
      </c>
      <c r="J3" s="8">
        <f>VLOOKUP(B3,'תקציב  '!$B:$S,9,0)*1</f>
        <v>235079.36507936506</v>
      </c>
      <c r="K3" s="49">
        <f t="shared" ref="K3:K16" si="2">G3/J3-1</f>
        <v>-0.72293740040513166</v>
      </c>
      <c r="L3" s="13">
        <f t="shared" ref="L3:L15" si="3">G3-J3</f>
        <v>-169947.66507936508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VLOOKUP(B4,'2024'!$A:$O,7,0)</f>
        <v>429114.04900000006</v>
      </c>
      <c r="F4" s="9">
        <f>VLOOKUP($A4,'2025'!$A:$O,7,0)</f>
        <v>452295.98000000487</v>
      </c>
      <c r="G4" s="9">
        <v>534754.40200000012</v>
      </c>
      <c r="H4" s="49">
        <f t="shared" si="0"/>
        <v>0.18231075589041135</v>
      </c>
      <c r="I4" s="11">
        <f t="shared" si="1"/>
        <v>82458.421999995247</v>
      </c>
      <c r="J4" s="8">
        <f>VLOOKUP(B4,'תקציב  '!$B:$S,9,0)*1</f>
        <v>605698.41269841266</v>
      </c>
      <c r="K4" s="49">
        <f t="shared" si="2"/>
        <v>-0.11712761534631388</v>
      </c>
      <c r="L4" s="13">
        <f t="shared" si="3"/>
        <v>-70944.010698412545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VLOOKUP(B5,'2024'!$A:$O,7,0)</f>
        <v>94683.953000000009</v>
      </c>
      <c r="F5" s="9">
        <f>VLOOKUP($A5,'2025'!$A:$O,7,0)</f>
        <v>87191.650000000009</v>
      </c>
      <c r="G5" s="9">
        <v>76564.032999999996</v>
      </c>
      <c r="H5" s="49">
        <f>G5/F5-1</f>
        <v>-0.12188801335907751</v>
      </c>
      <c r="I5" s="11">
        <f>G5-F5</f>
        <v>-10627.617000000013</v>
      </c>
      <c r="J5" s="8">
        <f>VLOOKUP(B5,'תקציב  '!$B:$S,9,0)*1</f>
        <v>78571.428571428565</v>
      </c>
      <c r="K5" s="49">
        <f>G5/J5-1</f>
        <v>-2.5548670909090854E-2</v>
      </c>
      <c r="L5" s="13">
        <f>G5-J5</f>
        <v>-2007.3955714285694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VLOOKUP(B6,'2024'!$A:$O,7,0)</f>
        <v>174598.67600000001</v>
      </c>
      <c r="F6" s="9">
        <f>VLOOKUP($A6,'2025'!$A:$O,7,0)</f>
        <v>160476.43999999989</v>
      </c>
      <c r="G6" s="9">
        <v>188367.58100000001</v>
      </c>
      <c r="H6" s="49">
        <f t="shared" si="0"/>
        <v>0.17380209207033848</v>
      </c>
      <c r="I6" s="11">
        <f t="shared" si="1"/>
        <v>27891.14100000012</v>
      </c>
      <c r="J6" s="8">
        <f>VLOOKUP(A6,'תקציב  '!$B:$S,9,0)*1</f>
        <v>170873.01587301589</v>
      </c>
      <c r="K6" s="49">
        <f t="shared" si="2"/>
        <v>0.10238342805387823</v>
      </c>
      <c r="L6" s="13">
        <f t="shared" si="3"/>
        <v>17494.565126984118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VLOOKUP(A7,'2024'!$A:$O,7,0)</f>
        <v>315729.5</v>
      </c>
      <c r="F7" s="9">
        <f>VLOOKUP($A7,'2025'!$A:$O,7,0)</f>
        <v>363201.5</v>
      </c>
      <c r="G7" s="9">
        <v>339371.75</v>
      </c>
      <c r="H7" s="49">
        <f t="shared" si="0"/>
        <v>-6.5610274186643003E-2</v>
      </c>
      <c r="I7" s="11">
        <f t="shared" si="1"/>
        <v>-23829.75</v>
      </c>
      <c r="J7" s="8">
        <f>VLOOKUP(B7,'תקציב  '!$B:$S,9,0)*1</f>
        <v>365000</v>
      </c>
      <c r="K7" s="49">
        <f t="shared" si="2"/>
        <v>-7.0214383561643889E-2</v>
      </c>
      <c r="L7" s="13">
        <f t="shared" si="3"/>
        <v>-25628.25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VLOOKUP(A8,'2024'!$A:$O,7,0)</f>
        <v>43688.560000000005</v>
      </c>
      <c r="F8" s="9">
        <f>VLOOKUP($A8,'2025'!$A:$O,7,0)</f>
        <v>62616.159999999989</v>
      </c>
      <c r="G8" s="9">
        <v>70005.298999999999</v>
      </c>
      <c r="H8" s="49">
        <f t="shared" si="0"/>
        <v>0.1180069010939031</v>
      </c>
      <c r="I8" s="11">
        <f t="shared" si="1"/>
        <v>7389.1390000000101</v>
      </c>
      <c r="J8" s="8">
        <f>VLOOKUP(B8,'תקציב  '!$B:$S,9,0)*1</f>
        <v>107301.58730158729</v>
      </c>
      <c r="K8" s="49">
        <f t="shared" si="2"/>
        <v>-0.34758375192307689</v>
      </c>
      <c r="L8" s="13">
        <f t="shared" si="3"/>
        <v>-37296.288301587294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VLOOKUP(A9,'2024'!$A:$O,7,0)</f>
        <v>77555.62</v>
      </c>
      <c r="F9" s="9">
        <f>VLOOKUP($A9,'2025'!$A:$O,7,0)</f>
        <v>63999.639999999992</v>
      </c>
      <c r="G9" s="9">
        <v>67723.219999999972</v>
      </c>
      <c r="H9" s="49">
        <f t="shared" si="0"/>
        <v>5.8181264769614049E-2</v>
      </c>
      <c r="I9" s="11">
        <f t="shared" si="1"/>
        <v>3723.5799999999799</v>
      </c>
      <c r="J9" s="8">
        <f>VLOOKUP(B9,'תקציב  '!$B:$S,9,0)*1</f>
        <v>177087.30158730157</v>
      </c>
      <c r="K9" s="49">
        <f t="shared" si="2"/>
        <v>-0.61757156276610059</v>
      </c>
      <c r="L9" s="13">
        <f t="shared" si="3"/>
        <v>-109364.0815873016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VLOOKUP(A10,'2024'!$A:$O,7,0)</f>
        <v>13321.910000000002</v>
      </c>
      <c r="F10" s="9">
        <f>VLOOKUP($A10,'2025'!$A:$O,7,0)</f>
        <v>9192.1699999999983</v>
      </c>
      <c r="G10" s="9">
        <v>6761.4400000000005</v>
      </c>
      <c r="H10" s="49">
        <f t="shared" si="0"/>
        <v>-0.26443483965157288</v>
      </c>
      <c r="I10" s="11">
        <f t="shared" si="1"/>
        <v>-2430.7299999999977</v>
      </c>
      <c r="J10" s="8">
        <f>VLOOKUP(B10,'תקציב  '!$B:$S,9,0)*1</f>
        <v>16587.301587301587</v>
      </c>
      <c r="K10" s="49">
        <f t="shared" si="2"/>
        <v>-0.59237251674641145</v>
      </c>
      <c r="L10" s="13">
        <f t="shared" si="3"/>
        <v>-9825.861587301586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VLOOKUP(A11,'2024'!$A:$O,7,0)</f>
        <v>11738.24</v>
      </c>
      <c r="F11" s="9">
        <f>VLOOKUP($A11,'2025'!$A:$O,7,0)</f>
        <v>4288.26</v>
      </c>
      <c r="G11" s="9">
        <v>8984.58</v>
      </c>
      <c r="H11" s="49">
        <f t="shared" si="0"/>
        <v>1.0951574764589833</v>
      </c>
      <c r="I11" s="11">
        <f t="shared" si="1"/>
        <v>4696.32</v>
      </c>
      <c r="J11" s="8">
        <f>VLOOKUP(B11,'תקציב  '!$B:$S,9,0)*1</f>
        <v>8730.1587301587297</v>
      </c>
      <c r="K11" s="49">
        <f t="shared" si="2"/>
        <v>2.9142800000000024E-2</v>
      </c>
      <c r="L11" s="13">
        <f t="shared" si="3"/>
        <v>254.42126984127026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VLOOKUP(A12,'2024'!$A:$O,7,0)</f>
        <v>0</v>
      </c>
      <c r="F12" s="9">
        <f>VLOOKUP($A12,'2025'!$A:$O,7,0)</f>
        <v>1244.8399999999999</v>
      </c>
      <c r="G12" s="9">
        <v>1658.9900000000002</v>
      </c>
      <c r="H12" s="49">
        <f t="shared" si="0"/>
        <v>0.33269335818257795</v>
      </c>
      <c r="I12" s="11">
        <f t="shared" si="1"/>
        <v>414.15000000000032</v>
      </c>
      <c r="J12" s="8">
        <f>VLOOKUP(B12,'תקציב  '!$B:$S,9,0)*1</f>
        <v>0</v>
      </c>
      <c r="K12" s="49"/>
      <c r="L12" s="13">
        <f t="shared" si="3"/>
        <v>1658.9900000000002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VLOOKUP(A13,'2024'!$A:$O,7,0)</f>
        <v>0</v>
      </c>
      <c r="F13" s="9">
        <f>VLOOKUP($A13,'2025'!$A:$O,7,0)</f>
        <v>0</v>
      </c>
      <c r="G13" s="9"/>
      <c r="H13" s="49" t="e">
        <f t="shared" si="0"/>
        <v>#DIV/0!</v>
      </c>
      <c r="I13" s="11">
        <f t="shared" si="1"/>
        <v>0</v>
      </c>
      <c r="J13" s="8">
        <f>VLOOKUP(B13,'תקציב  '!$B:$S,9,0)*1</f>
        <v>0</v>
      </c>
      <c r="K13" s="49" t="e">
        <f t="shared" si="2"/>
        <v>#DIV/0!</v>
      </c>
      <c r="L13" s="13">
        <f t="shared" si="3"/>
        <v>0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VLOOKUP(A14,'2024'!$A:$O,7,0)</f>
        <v>4579.6400000000003</v>
      </c>
      <c r="F14" s="9">
        <f>VLOOKUP($A14,'2025'!$A:$O,7,0)</f>
        <v>0</v>
      </c>
      <c r="G14" s="9"/>
      <c r="H14" s="49" t="e">
        <f t="shared" si="0"/>
        <v>#DIV/0!</v>
      </c>
      <c r="I14" s="11">
        <f t="shared" si="1"/>
        <v>0</v>
      </c>
      <c r="J14" s="8">
        <f>VLOOKUP(B14,'תקציב  '!$B:$S,9,0)*1</f>
        <v>50000</v>
      </c>
      <c r="K14" s="49">
        <f t="shared" si="2"/>
        <v>-1</v>
      </c>
      <c r="L14" s="13">
        <f t="shared" si="3"/>
        <v>-50000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VLOOKUP(A15,'2024'!$A:$O,7,0)</f>
        <v>5235.6299999999992</v>
      </c>
      <c r="F15" s="9">
        <f>VLOOKUP($A15,'2025'!$A:$O,7,0)</f>
        <v>17697.580000000002</v>
      </c>
      <c r="G15" s="9">
        <v>15643.41</v>
      </c>
      <c r="H15" s="49">
        <f t="shared" si="0"/>
        <v>-0.11607067180936614</v>
      </c>
      <c r="I15" s="11">
        <f t="shared" si="1"/>
        <v>-2054.1700000000019</v>
      </c>
      <c r="J15" s="8">
        <f>VLOOKUP(B15,'תקציב  '!$B:$S,9,0)*1</f>
        <v>17460.317460317459</v>
      </c>
      <c r="K15" s="49">
        <f t="shared" si="2"/>
        <v>-0.10405924545454537</v>
      </c>
      <c r="L15" s="13">
        <f t="shared" si="3"/>
        <v>-1816.9074603174595</v>
      </c>
    </row>
    <row r="16" spans="1:12" ht="15" x14ac:dyDescent="0.25">
      <c r="B16" s="277" t="s">
        <v>221</v>
      </c>
      <c r="C16" s="278"/>
      <c r="D16" s="278"/>
      <c r="E16" s="67">
        <f>SUM(E3:E15)</f>
        <v>1314879.4479999996</v>
      </c>
      <c r="F16" s="67">
        <f>SUM(F3:F15)</f>
        <v>1222204.2200000046</v>
      </c>
      <c r="G16" s="67">
        <f>SUM(G3:G15)</f>
        <v>1374966.405</v>
      </c>
      <c r="H16" s="68">
        <f t="shared" si="0"/>
        <v>0.12498908324829294</v>
      </c>
      <c r="I16" s="67">
        <f>SUM(I3:I15)</f>
        <v>152762.18499999534</v>
      </c>
      <c r="J16" s="67">
        <f>SUM(J3:J15)</f>
        <v>1832388.8888888888</v>
      </c>
      <c r="K16" s="68">
        <f t="shared" si="2"/>
        <v>-0.24963177121547453</v>
      </c>
      <c r="L16" s="67">
        <f>SUM(L3:L15)</f>
        <v>-457422.48388888885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VLOOKUP(A17,'2024'!$A:$O,7,0)</f>
        <v>52569.539999999964</v>
      </c>
      <c r="F17" s="9">
        <f>VLOOKUP($A17,'2025'!$A:$O,7,0)</f>
        <v>128892.76000000039</v>
      </c>
      <c r="G17" s="9">
        <v>423398.05999999825</v>
      </c>
      <c r="H17" s="49">
        <f>G17/F17-1</f>
        <v>2.2848862884152452</v>
      </c>
      <c r="I17" s="11">
        <f>G17-F17</f>
        <v>294505.29999999783</v>
      </c>
      <c r="J17" s="8">
        <f>VLOOKUP(B17,'תקציב  '!$B:$S,9,0)*1</f>
        <v>888273.7288135594</v>
      </c>
      <c r="K17" s="49">
        <f>G17/J17-1</f>
        <v>-0.52334731258401801</v>
      </c>
      <c r="L17" s="13">
        <f>G17-J17</f>
        <v>-464875.66881356115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VLOOKUP(A18,'2024'!$A:$O,7,0)</f>
        <v>5374.8100000000013</v>
      </c>
      <c r="F18" s="9">
        <f>VLOOKUP($A18,'2025'!$A:$O,7,0)</f>
        <v>4432.93</v>
      </c>
      <c r="G18" s="9">
        <v>1069.2900000000002</v>
      </c>
      <c r="H18" s="49">
        <f>G18/F18-1</f>
        <v>-0.75878482177701878</v>
      </c>
      <c r="I18" s="11">
        <f>G18-F18</f>
        <v>-3363.6400000000003</v>
      </c>
      <c r="J18" s="8">
        <f>VLOOKUP(B18,'תקציב  '!$B:$S,9,0)*1</f>
        <v>2536.9283333333324</v>
      </c>
      <c r="K18" s="49">
        <f>G18/J18-1</f>
        <v>-0.57850996973373947</v>
      </c>
      <c r="L18" s="13">
        <f>G18-J18</f>
        <v>-1467.6383333333322</v>
      </c>
    </row>
    <row r="19" spans="1:12" ht="15" x14ac:dyDescent="0.25">
      <c r="B19" s="266" t="s">
        <v>41</v>
      </c>
      <c r="C19" s="267"/>
      <c r="D19" s="267"/>
      <c r="E19" s="12">
        <f>E16+E17+E18</f>
        <v>1372823.7979999997</v>
      </c>
      <c r="F19" s="12">
        <f>F16+F17+F18</f>
        <v>1355529.910000005</v>
      </c>
      <c r="G19" s="12">
        <f>G16+G17+G18</f>
        <v>1799433.7549999983</v>
      </c>
      <c r="H19" s="50">
        <f t="shared" ref="H19:H41" si="4">G19/F19-1</f>
        <v>0.32747624506492201</v>
      </c>
      <c r="I19" s="12">
        <f>I16+I17+I18</f>
        <v>443903.84499999316</v>
      </c>
      <c r="J19" s="12">
        <f>J16+J17+J18</f>
        <v>2723199.5460357815</v>
      </c>
      <c r="K19" s="50">
        <f t="shared" ref="K19:K41" si="5">G19/J19-1</f>
        <v>-0.33922074949686609</v>
      </c>
      <c r="L19" s="12">
        <f>L16+L17+L18</f>
        <v>-923765.79103578336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VLOOKUP(A20,'2024'!$A:$O,7,0)</f>
        <v>371311.12</v>
      </c>
      <c r="F20" s="9">
        <f>VLOOKUP($A20,'2025'!$A:$O,7,0)</f>
        <v>68328.759999999995</v>
      </c>
      <c r="G20" s="9">
        <v>229029.21</v>
      </c>
      <c r="H20" s="49">
        <f t="shared" si="4"/>
        <v>2.351871305728364</v>
      </c>
      <c r="I20" s="11">
        <f t="shared" ref="I20:I39" si="6">G20-F20</f>
        <v>160700.45000000001</v>
      </c>
      <c r="J20" s="8">
        <f>VLOOKUP(B20,'תקציב  '!$B:$S,9,0)*1</f>
        <v>428463.75330000004</v>
      </c>
      <c r="K20" s="49">
        <f t="shared" si="5"/>
        <v>-0.46546421199919041</v>
      </c>
      <c r="L20" s="13">
        <f t="shared" ref="L20:L39" si="7">G20-J20</f>
        <v>-199434.54330000005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VLOOKUP(A21,'2024'!$A:$O,7,0)</f>
        <v>0</v>
      </c>
      <c r="F21" s="9">
        <f>VLOOKUP($A21,'2025'!$A:$O,7,0)</f>
        <v>0</v>
      </c>
      <c r="G21" s="9"/>
      <c r="H21" s="49" t="e">
        <f t="shared" si="4"/>
        <v>#DIV/0!</v>
      </c>
      <c r="I21" s="11">
        <f t="shared" si="6"/>
        <v>0</v>
      </c>
      <c r="J21" s="8">
        <f>VLOOKUP(B21,'תקציב  '!$B:$S,9,0)*1</f>
        <v>0</v>
      </c>
      <c r="K21" s="49" t="e">
        <f t="shared" si="5"/>
        <v>#DIV/0!</v>
      </c>
      <c r="L21" s="13">
        <f t="shared" si="7"/>
        <v>0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VLOOKUP(A22,'2024'!$A:$O,7,0)</f>
        <v>14810.7</v>
      </c>
      <c r="F22" s="9">
        <f>VLOOKUP($A22,'2025'!$A:$O,7,0)</f>
        <v>0</v>
      </c>
      <c r="G22" s="86">
        <v>55255.270000000004</v>
      </c>
      <c r="H22" s="49" t="e">
        <f t="shared" si="4"/>
        <v>#DIV/0!</v>
      </c>
      <c r="I22" s="11">
        <f t="shared" si="6"/>
        <v>55255.270000000004</v>
      </c>
      <c r="J22" s="8">
        <f>VLOOKUP(B22,'תקציב  '!$B:$S,9,0)*1</f>
        <v>35000</v>
      </c>
      <c r="K22" s="49">
        <f t="shared" si="5"/>
        <v>0.57872200000000018</v>
      </c>
      <c r="L22" s="13">
        <f t="shared" si="7"/>
        <v>20255.270000000004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VLOOKUP(A23,'2024'!$A:$O,7,0)</f>
        <v>83128.56</v>
      </c>
      <c r="F23" s="9">
        <f>VLOOKUP($A23,'2025'!$A:$O,7,0)</f>
        <v>0</v>
      </c>
      <c r="G23" s="89">
        <v>147489.20000000001</v>
      </c>
      <c r="H23" s="49" t="e">
        <f t="shared" si="4"/>
        <v>#DIV/0!</v>
      </c>
      <c r="I23" s="11">
        <f t="shared" si="6"/>
        <v>147489.20000000001</v>
      </c>
      <c r="J23" s="8">
        <f>VLOOKUP(B23,'תקציב  '!$B:$S,9,0)*1</f>
        <v>0</v>
      </c>
      <c r="K23" s="49" t="e">
        <f t="shared" si="5"/>
        <v>#DIV/0!</v>
      </c>
      <c r="L23" s="13">
        <f t="shared" si="7"/>
        <v>147489.20000000001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VLOOKUP(A24,'2024'!$A:$O,7,0)</f>
        <v>14559.92</v>
      </c>
      <c r="F24" s="9">
        <f>VLOOKUP($A24,'2025'!$A:$O,7,0)</f>
        <v>0</v>
      </c>
      <c r="G24" s="86">
        <v>15795</v>
      </c>
      <c r="H24" s="49"/>
      <c r="I24" s="11">
        <f t="shared" si="6"/>
        <v>15795</v>
      </c>
      <c r="J24" s="8">
        <f>VLOOKUP(B24,'תקציב  '!$B:$S,9,0)*1</f>
        <v>10000</v>
      </c>
      <c r="K24" s="49">
        <f t="shared" si="5"/>
        <v>0.5794999999999999</v>
      </c>
      <c r="L24" s="13">
        <f t="shared" si="7"/>
        <v>5795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VLOOKUP(A25,'2024'!$A:$O,7,0)</f>
        <v>65362.29</v>
      </c>
      <c r="F25" s="9">
        <f>VLOOKUP($A25,'2025'!$A:$O,7,0)</f>
        <v>0</v>
      </c>
      <c r="G25" s="9"/>
      <c r="H25" s="49" t="e">
        <f t="shared" si="4"/>
        <v>#DIV/0!</v>
      </c>
      <c r="I25" s="11">
        <f t="shared" si="6"/>
        <v>0</v>
      </c>
      <c r="J25" s="8">
        <f>VLOOKUP(B25,'תקציב  '!$B:$S,9,0)*1</f>
        <v>5000</v>
      </c>
      <c r="K25" s="49">
        <f t="shared" si="5"/>
        <v>-1</v>
      </c>
      <c r="L25" s="13">
        <f t="shared" si="7"/>
        <v>-5000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VLOOKUP(A26,'2024'!$A:$O,7,0)</f>
        <v>0</v>
      </c>
      <c r="F26" s="9">
        <f>VLOOKUP($A26,'2025'!$A:$O,7,0)</f>
        <v>0.33</v>
      </c>
      <c r="G26" s="9"/>
      <c r="H26" s="49">
        <f t="shared" si="4"/>
        <v>-1</v>
      </c>
      <c r="I26" s="11">
        <f t="shared" si="6"/>
        <v>-0.33</v>
      </c>
      <c r="J26" s="8">
        <f>VLOOKUP(B26,'תקציב  '!$B:$S,9,0)*1</f>
        <v>0</v>
      </c>
      <c r="K26" s="49" t="e">
        <f t="shared" si="5"/>
        <v>#DIV/0!</v>
      </c>
      <c r="L26" s="13">
        <f t="shared" si="7"/>
        <v>0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VLOOKUP(A27,'2024'!$A:$O,7,0)</f>
        <v>37671.79</v>
      </c>
      <c r="F27" s="9">
        <f>VLOOKUP($A27,'2025'!$A:$O,7,0)</f>
        <v>0</v>
      </c>
      <c r="G27" s="9"/>
      <c r="H27" s="49" t="e">
        <f t="shared" si="4"/>
        <v>#DIV/0!</v>
      </c>
      <c r="I27" s="11">
        <f t="shared" si="6"/>
        <v>0</v>
      </c>
      <c r="J27" s="8">
        <f>VLOOKUP(B27,'תקציב  '!$B:$S,9,0)*1</f>
        <v>40000</v>
      </c>
      <c r="K27" s="49">
        <f t="shared" si="5"/>
        <v>-1</v>
      </c>
      <c r="L27" s="13">
        <f t="shared" si="7"/>
        <v>-40000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VLOOKUP(A28,'2024'!$A:$O,7,0)</f>
        <v>0</v>
      </c>
      <c r="F28" s="9">
        <f>VLOOKUP($A28,'2025'!$A:$O,7,0)</f>
        <v>0</v>
      </c>
      <c r="G28" s="9"/>
      <c r="H28" s="49" t="e">
        <f t="shared" si="4"/>
        <v>#DIV/0!</v>
      </c>
      <c r="I28" s="11">
        <f t="shared" si="6"/>
        <v>0</v>
      </c>
      <c r="J28" s="8">
        <f>VLOOKUP(B28,'תקציב  '!$B:$S,9,0)*1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VLOOKUP(A29,'2024'!$A:$O,7,0)</f>
        <v>37331.120000000003</v>
      </c>
      <c r="F29" s="9">
        <f>VLOOKUP($A29,'2025'!$A:$O,7,0)</f>
        <v>53.7</v>
      </c>
      <c r="G29" s="86">
        <v>57084.959999999999</v>
      </c>
      <c r="H29" s="49">
        <f t="shared" si="4"/>
        <v>1062.0346368715084</v>
      </c>
      <c r="I29" s="11">
        <f t="shared" si="6"/>
        <v>57031.26</v>
      </c>
      <c r="J29" s="8">
        <f>VLOOKUP(B29,'תקציב  '!$B:$S,9,0)*1</f>
        <v>39765.076000000001</v>
      </c>
      <c r="K29" s="49">
        <f t="shared" si="5"/>
        <v>0.43555515900434849</v>
      </c>
      <c r="L29" s="13">
        <f t="shared" si="7"/>
        <v>17319.883999999998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VLOOKUP(A30,'2024'!$A:$O,7,0)</f>
        <v>0</v>
      </c>
      <c r="F30" s="9">
        <f>VLOOKUP($A30,'2025'!$A:$O,7,0)</f>
        <v>0</v>
      </c>
      <c r="G30" s="9"/>
      <c r="H30" s="49" t="e">
        <f t="shared" si="4"/>
        <v>#DIV/0!</v>
      </c>
      <c r="I30" s="11">
        <f t="shared" si="6"/>
        <v>0</v>
      </c>
      <c r="J30" s="8">
        <f>VLOOKUP(B30,'תקציב  '!$B:$S,9,0)*1</f>
        <v>0</v>
      </c>
      <c r="K30" s="49" t="e">
        <f t="shared" si="5"/>
        <v>#DIV/0!</v>
      </c>
      <c r="L30" s="13">
        <f t="shared" si="7"/>
        <v>0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VLOOKUP(A31,'2024'!$A:$O,7,0)</f>
        <v>0</v>
      </c>
      <c r="F31" s="9">
        <f>VLOOKUP($A31,'2025'!$A:$O,7,0)</f>
        <v>0</v>
      </c>
      <c r="G31" s="9"/>
      <c r="H31" s="49" t="e">
        <f t="shared" si="4"/>
        <v>#DIV/0!</v>
      </c>
      <c r="I31" s="11">
        <f t="shared" si="6"/>
        <v>0</v>
      </c>
      <c r="J31" s="8">
        <f>VLOOKUP(B31,'תקציב  '!$B:$S,9,0)*1</f>
        <v>0</v>
      </c>
      <c r="K31" s="49" t="e">
        <f t="shared" si="5"/>
        <v>#DIV/0!</v>
      </c>
      <c r="L31" s="13">
        <f t="shared" si="7"/>
        <v>0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VLOOKUP(A32,'2024'!$A:$O,7,0)</f>
        <v>0</v>
      </c>
      <c r="F32" s="9">
        <f>VLOOKUP($A32,'2025'!$A:$O,7,0)</f>
        <v>0</v>
      </c>
      <c r="G32" s="9"/>
      <c r="H32" s="49" t="e">
        <f t="shared" si="4"/>
        <v>#DIV/0!</v>
      </c>
      <c r="I32" s="11">
        <f t="shared" si="6"/>
        <v>0</v>
      </c>
      <c r="J32" s="8">
        <f>VLOOKUP(B32,'תקציב  '!$B:$S,9,0)*1</f>
        <v>0</v>
      </c>
      <c r="K32" s="49" t="e">
        <f t="shared" si="5"/>
        <v>#DIV/0!</v>
      </c>
      <c r="L32" s="13">
        <f t="shared" si="7"/>
        <v>0</v>
      </c>
    </row>
    <row r="33" spans="1:12" ht="13.5" customHeight="1" x14ac:dyDescent="0.2">
      <c r="B33" s="36"/>
      <c r="C33" s="5" t="s">
        <v>11</v>
      </c>
      <c r="D33" s="3" t="s">
        <v>12</v>
      </c>
      <c r="E33" s="9"/>
      <c r="F33" s="9"/>
      <c r="G33" s="9"/>
      <c r="H33" s="49" t="e">
        <f t="shared" si="4"/>
        <v>#DIV/0!</v>
      </c>
      <c r="I33" s="11">
        <f t="shared" si="6"/>
        <v>0</v>
      </c>
      <c r="J33" s="8"/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VLOOKUP(A34,'2024'!$A:$O,7,0)</f>
        <v>0</v>
      </c>
      <c r="F34" s="9">
        <f>VLOOKUP($A34,'2025'!$A:$O,7,0)</f>
        <v>0</v>
      </c>
      <c r="G34" s="9"/>
      <c r="H34" s="49" t="e">
        <f t="shared" si="4"/>
        <v>#DIV/0!</v>
      </c>
      <c r="I34" s="11">
        <f t="shared" si="6"/>
        <v>0</v>
      </c>
      <c r="J34" s="8">
        <f>VLOOKUP(B34,'תקציב  '!$B:$S,9,0)*1</f>
        <v>0</v>
      </c>
      <c r="K34" s="49" t="e">
        <f t="shared" si="5"/>
        <v>#DIV/0!</v>
      </c>
      <c r="L34" s="13">
        <f t="shared" si="7"/>
        <v>0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VLOOKUP(A35,'2024'!$A:$O,7,0)</f>
        <v>0</v>
      </c>
      <c r="F35" s="9">
        <f>VLOOKUP($A35,'2025'!$A:$O,7,0)</f>
        <v>0</v>
      </c>
      <c r="G35" s="9"/>
      <c r="H35" s="49" t="e">
        <f t="shared" si="4"/>
        <v>#DIV/0!</v>
      </c>
      <c r="I35" s="11">
        <f t="shared" si="6"/>
        <v>0</v>
      </c>
      <c r="J35" s="8">
        <f>VLOOKUP(B35,'תקציב  '!$B:$S,9,0)*1</f>
        <v>0</v>
      </c>
      <c r="K35" s="49" t="e">
        <f t="shared" si="5"/>
        <v>#DIV/0!</v>
      </c>
      <c r="L35" s="13">
        <f t="shared" si="7"/>
        <v>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VLOOKUP(A36,'2024'!$A:$O,7,0)</f>
        <v>0</v>
      </c>
      <c r="F36" s="9">
        <f>VLOOKUP($A36,'2025'!$A:$O,7,0)</f>
        <v>0</v>
      </c>
      <c r="G36" s="9"/>
      <c r="H36" s="49" t="e">
        <f t="shared" si="4"/>
        <v>#DIV/0!</v>
      </c>
      <c r="I36" s="11">
        <f t="shared" si="6"/>
        <v>0</v>
      </c>
      <c r="J36" s="8"/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VLOOKUP(A37,'2024'!$A:$O,7,0)</f>
        <v>22310.959999999999</v>
      </c>
      <c r="F37" s="9">
        <f>VLOOKUP($A37,'2025'!$A:$O,7,0)</f>
        <v>0</v>
      </c>
      <c r="G37" s="9"/>
      <c r="H37" s="49" t="e">
        <f t="shared" si="4"/>
        <v>#DIV/0!</v>
      </c>
      <c r="I37" s="11">
        <f t="shared" si="6"/>
        <v>0</v>
      </c>
      <c r="J37" s="8"/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VLOOKUP(A38,'2024'!$A:$O,7,0)</f>
        <v>0</v>
      </c>
      <c r="F38" s="9">
        <f>VLOOKUP($A38,'2025'!$A:$O,7,0)</f>
        <v>0</v>
      </c>
      <c r="G38" s="9"/>
      <c r="H38" s="49" t="e">
        <f t="shared" si="4"/>
        <v>#DIV/0!</v>
      </c>
      <c r="I38" s="11">
        <f t="shared" si="6"/>
        <v>0</v>
      </c>
      <c r="J38" s="8">
        <f>VLOOKUP(B38,'תקציב  '!$B:$S,9,0)*1</f>
        <v>0</v>
      </c>
      <c r="K38" s="49" t="e">
        <f t="shared" si="5"/>
        <v>#DIV/0!</v>
      </c>
      <c r="L38" s="13">
        <f t="shared" si="7"/>
        <v>0</v>
      </c>
    </row>
    <row r="39" spans="1:12" ht="13.5" customHeight="1" x14ac:dyDescent="0.2">
      <c r="B39" s="37" t="s">
        <v>91</v>
      </c>
      <c r="C39" s="5" t="s">
        <v>91</v>
      </c>
      <c r="D39" s="3"/>
      <c r="E39" s="9"/>
      <c r="F39" s="9"/>
      <c r="G39" s="9"/>
      <c r="H39" s="49" t="e">
        <f t="shared" si="4"/>
        <v>#DIV/0!</v>
      </c>
      <c r="I39" s="11">
        <f t="shared" si="6"/>
        <v>0</v>
      </c>
      <c r="J39" s="8">
        <f>VLOOKUP(B39,'תקציב  '!$B:$S,9,0)*1</f>
        <v>200000</v>
      </c>
      <c r="K39" s="49">
        <f t="shared" si="5"/>
        <v>-1</v>
      </c>
      <c r="L39" s="13">
        <f t="shared" si="7"/>
        <v>-200000</v>
      </c>
    </row>
    <row r="40" spans="1:12" ht="15" x14ac:dyDescent="0.25">
      <c r="B40" s="268" t="s">
        <v>42</v>
      </c>
      <c r="C40" s="269"/>
      <c r="D40" s="269"/>
      <c r="E40" s="10">
        <f>SUM(E20:E39)</f>
        <v>646486.46</v>
      </c>
      <c r="F40" s="10">
        <f>SUM(F20:F39)</f>
        <v>68382.789999999994</v>
      </c>
      <c r="G40" s="10">
        <f>SUM(G20:G39)</f>
        <v>504653.64</v>
      </c>
      <c r="H40" s="43">
        <f t="shared" si="4"/>
        <v>6.3798340196414927</v>
      </c>
      <c r="I40" s="10">
        <f>SUM(I20:I39)</f>
        <v>436270.85000000003</v>
      </c>
      <c r="J40" s="10">
        <f>SUM(J20:J39)</f>
        <v>758228.8293000001</v>
      </c>
      <c r="K40" s="43">
        <f t="shared" si="5"/>
        <v>-0.33443095210993457</v>
      </c>
      <c r="L40" s="10">
        <f>SUM(L20:L39)</f>
        <v>-253575.18930000006</v>
      </c>
    </row>
    <row r="41" spans="1:12" ht="16.5" thickBot="1" x14ac:dyDescent="0.3">
      <c r="B41" s="270" t="s">
        <v>69</v>
      </c>
      <c r="C41" s="271"/>
      <c r="D41" s="271"/>
      <c r="E41" s="25">
        <f>E40+E19</f>
        <v>2019310.2579999997</v>
      </c>
      <c r="F41" s="25">
        <f>F40+F19</f>
        <v>1423912.7000000051</v>
      </c>
      <c r="G41" s="25">
        <f>G40+G19</f>
        <v>2304087.3949999982</v>
      </c>
      <c r="H41" s="44">
        <f t="shared" si="4"/>
        <v>0.61813810284857351</v>
      </c>
      <c r="I41" s="25">
        <f>I40+I19</f>
        <v>880174.6949999932</v>
      </c>
      <c r="J41" s="25">
        <f>J40+J19</f>
        <v>3481428.3753357818</v>
      </c>
      <c r="K41" s="44">
        <f t="shared" si="5"/>
        <v>-0.33817756776978924</v>
      </c>
      <c r="L41" s="25">
        <f>L40+L19</f>
        <v>-1177340.9803357834</v>
      </c>
    </row>
    <row r="42" spans="1:12" ht="15.75" thickBot="1" x14ac:dyDescent="0.3">
      <c r="B42" s="272" t="s">
        <v>43</v>
      </c>
      <c r="C42" s="273"/>
      <c r="D42" s="274"/>
      <c r="E42" s="16">
        <f>E40/E41</f>
        <v>0.32015211998195081</v>
      </c>
      <c r="F42" s="16">
        <f>F40/F41</f>
        <v>4.8024566393712026E-2</v>
      </c>
      <c r="G42" s="16">
        <f>G40/G41</f>
        <v>0.21902538987675874</v>
      </c>
      <c r="H42" s="45"/>
      <c r="I42" s="6"/>
      <c r="J42" s="15">
        <f>J41-'תקציב  '!J41*1</f>
        <v>0</v>
      </c>
    </row>
    <row r="43" spans="1:12" x14ac:dyDescent="0.2">
      <c r="E43" s="47">
        <f>E41-'2024'!G38</f>
        <v>0</v>
      </c>
      <c r="I43" s="6"/>
    </row>
  </sheetData>
  <dataConsolidate/>
  <mergeCells count="6">
    <mergeCell ref="B1:L1"/>
    <mergeCell ref="B19:D19"/>
    <mergeCell ref="B40:D40"/>
    <mergeCell ref="B41:D41"/>
    <mergeCell ref="B42:D42"/>
    <mergeCell ref="B16:D16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6A40-6D8B-47FD-832C-E2E8DF5C653A}">
  <sheetPr>
    <tabColor rgb="FFFFC000"/>
  </sheetPr>
  <dimension ref="A1:L43"/>
  <sheetViews>
    <sheetView rightToLeft="1" workbookViewId="0">
      <pane xSplit="4" ySplit="2" topLeftCell="E18" activePane="bottomRight" state="frozen"/>
      <selection activeCell="J13" sqref="J13"/>
      <selection pane="topRight" activeCell="J13" sqref="J13"/>
      <selection pane="bottomLeft" activeCell="J13" sqref="J13"/>
      <selection pane="bottomRight" activeCell="G32" sqref="E32:G33"/>
    </sheetView>
  </sheetViews>
  <sheetFormatPr defaultRowHeight="14.25" x14ac:dyDescent="0.2"/>
  <cols>
    <col min="1" max="1" width="18.125" hidden="1" customWidth="1"/>
    <col min="2" max="2" width="17.375" customWidth="1"/>
    <col min="3" max="3" width="21.375" customWidth="1"/>
    <col min="4" max="4" width="11.375" style="1" customWidth="1"/>
    <col min="5" max="5" width="13.25" customWidth="1"/>
    <col min="6" max="7" width="11.625" customWidth="1"/>
    <col min="8" max="8" width="11.875" style="51" bestFit="1" customWidth="1"/>
    <col min="9" max="9" width="16.75" bestFit="1" customWidth="1"/>
    <col min="10" max="10" width="14.75" bestFit="1" customWidth="1"/>
    <col min="11" max="11" width="10.5" style="51" bestFit="1" customWidth="1"/>
    <col min="12" max="12" width="17.25" bestFit="1" customWidth="1"/>
    <col min="14" max="14" width="12.625" bestFit="1" customWidth="1"/>
    <col min="15" max="15" width="10.875" bestFit="1" customWidth="1"/>
  </cols>
  <sheetData>
    <row r="1" spans="1:12" ht="16.5" thickBot="1" x14ac:dyDescent="0.3">
      <c r="B1" s="275" t="s">
        <v>179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</row>
    <row r="2" spans="1:12" ht="15" x14ac:dyDescent="0.25">
      <c r="B2" s="20"/>
      <c r="C2" s="21"/>
      <c r="D2" s="21" t="s">
        <v>10</v>
      </c>
      <c r="E2" s="30" t="s">
        <v>148</v>
      </c>
      <c r="F2" s="30" t="s">
        <v>201</v>
      </c>
      <c r="G2" s="30" t="s">
        <v>215</v>
      </c>
      <c r="H2" s="48" t="s">
        <v>191</v>
      </c>
      <c r="I2" s="22" t="s">
        <v>192</v>
      </c>
      <c r="J2" s="22" t="s">
        <v>67</v>
      </c>
      <c r="K2" s="52" t="s">
        <v>68</v>
      </c>
      <c r="L2" s="23" t="s">
        <v>71</v>
      </c>
    </row>
    <row r="3" spans="1:12" x14ac:dyDescent="0.2">
      <c r="A3" s="37" t="s">
        <v>115</v>
      </c>
      <c r="B3" s="2" t="s">
        <v>1</v>
      </c>
      <c r="C3" s="2" t="s">
        <v>1</v>
      </c>
      <c r="D3" s="3" t="s">
        <v>40</v>
      </c>
      <c r="E3" s="9">
        <f>+אפריל!E3+מאי!E3+יוני!E3</f>
        <v>563289.30000000005</v>
      </c>
      <c r="F3" s="9">
        <f>+אפריל!F3+מאי!F3+יוני!F3</f>
        <v>468571.60000000003</v>
      </c>
      <c r="G3" s="9">
        <f>+אפריל!G3+מאי!G3+יוני!G3</f>
        <v>189706.96</v>
      </c>
      <c r="H3" s="49">
        <f t="shared" ref="H3:H16" si="0">G3/F3-1</f>
        <v>-0.59513773348619514</v>
      </c>
      <c r="I3" s="11">
        <f t="shared" ref="I3:I15" si="1">G3-F3</f>
        <v>-278864.64000000001</v>
      </c>
      <c r="J3" s="9">
        <f>+אפריל!J3+מאי!J3+יוני!J3</f>
        <v>596349.20634920639</v>
      </c>
      <c r="K3" s="49">
        <f t="shared" ref="K3:K16" si="2">G3/J3-1</f>
        <v>-0.68188611977641744</v>
      </c>
      <c r="L3" s="13">
        <f t="shared" ref="L3:L15" si="3">G3-J3</f>
        <v>-406642.24634920643</v>
      </c>
    </row>
    <row r="4" spans="1:12" x14ac:dyDescent="0.2">
      <c r="A4" s="2" t="s">
        <v>0</v>
      </c>
      <c r="B4" s="2" t="s">
        <v>0</v>
      </c>
      <c r="C4" s="2" t="s">
        <v>0</v>
      </c>
      <c r="D4" s="3" t="s">
        <v>40</v>
      </c>
      <c r="E4" s="9">
        <f>+אפריל!E4+מאי!E4+יוני!E4</f>
        <v>1463128.7580000001</v>
      </c>
      <c r="F4" s="9">
        <f>+אפריל!F4+מאי!F4+יוני!F4</f>
        <v>1731022.5047000225</v>
      </c>
      <c r="G4" s="9">
        <f>+אפריל!G4+מאי!G4+יוני!G4</f>
        <v>1462955.1300000004</v>
      </c>
      <c r="H4" s="49">
        <f t="shared" si="0"/>
        <v>-0.15486071034441973</v>
      </c>
      <c r="I4" s="11">
        <f t="shared" si="1"/>
        <v>-268067.37470002216</v>
      </c>
      <c r="J4" s="9">
        <f>+אפריל!J4+מאי!J4+יוני!J4</f>
        <v>1639873.0158730159</v>
      </c>
      <c r="K4" s="49">
        <f t="shared" si="2"/>
        <v>-0.10788511315239258</v>
      </c>
      <c r="L4" s="13">
        <f t="shared" si="3"/>
        <v>-176917.8858730155</v>
      </c>
    </row>
    <row r="5" spans="1:12" x14ac:dyDescent="0.2">
      <c r="A5" s="2" t="s">
        <v>44</v>
      </c>
      <c r="B5" s="2" t="s">
        <v>44</v>
      </c>
      <c r="C5" s="2" t="s">
        <v>44</v>
      </c>
      <c r="D5" s="3" t="s">
        <v>40</v>
      </c>
      <c r="E5" s="9">
        <f>+אפריל!E5+מאי!E5+יוני!E5</f>
        <v>299535.78200000001</v>
      </c>
      <c r="F5" s="9">
        <f>+אפריל!F5+מאי!F5+יוני!F5</f>
        <v>242937.42000000004</v>
      </c>
      <c r="G5" s="9">
        <f>+אפריל!G5+מאי!G5+יוני!G5</f>
        <v>241394.33499999999</v>
      </c>
      <c r="H5" s="49">
        <f t="shared" si="0"/>
        <v>-6.3517798122663116E-3</v>
      </c>
      <c r="I5" s="11">
        <f t="shared" si="1"/>
        <v>-1543.0850000000501</v>
      </c>
      <c r="J5" s="9">
        <f>+אפריל!J5+מאי!J5+יוני!J5</f>
        <v>210714.28571428574</v>
      </c>
      <c r="K5" s="49">
        <f t="shared" si="2"/>
        <v>0.1456002338983049</v>
      </c>
      <c r="L5" s="13">
        <f t="shared" si="3"/>
        <v>30680.049285714253</v>
      </c>
    </row>
    <row r="6" spans="1:12" x14ac:dyDescent="0.2">
      <c r="A6" s="2" t="s">
        <v>3</v>
      </c>
      <c r="B6" s="2" t="s">
        <v>3</v>
      </c>
      <c r="C6" s="2" t="s">
        <v>3</v>
      </c>
      <c r="D6" s="3" t="s">
        <v>40</v>
      </c>
      <c r="E6" s="9">
        <f>+אפריל!E6+מאי!E6+יוני!E6</f>
        <v>518792.27</v>
      </c>
      <c r="F6" s="9">
        <f>+אפריל!F6+מאי!F6+יוני!F6</f>
        <v>520205.1453000005</v>
      </c>
      <c r="G6" s="9">
        <f>+אפריל!G6+מאי!G6+יוני!G6</f>
        <v>462955.39099999995</v>
      </c>
      <c r="H6" s="49">
        <f t="shared" si="0"/>
        <v>-0.1100522646060812</v>
      </c>
      <c r="I6" s="11">
        <f t="shared" si="1"/>
        <v>-57249.754300000553</v>
      </c>
      <c r="J6" s="9">
        <f>+אפריל!J6+מאי!J6+יוני!J6</f>
        <v>465841.26984126982</v>
      </c>
      <c r="K6" s="49">
        <f t="shared" si="2"/>
        <v>-6.1949832015810724E-3</v>
      </c>
      <c r="L6" s="13">
        <f t="shared" si="3"/>
        <v>-2885.8788412698777</v>
      </c>
    </row>
    <row r="7" spans="1:12" x14ac:dyDescent="0.2">
      <c r="A7" s="37" t="s">
        <v>112</v>
      </c>
      <c r="B7" s="2" t="s">
        <v>2</v>
      </c>
      <c r="C7" s="2" t="s">
        <v>2</v>
      </c>
      <c r="D7" s="3" t="s">
        <v>40</v>
      </c>
      <c r="E7" s="9">
        <f>+אפריל!E7+מאי!E7+יוני!E7</f>
        <v>887819.5</v>
      </c>
      <c r="F7" s="9">
        <f>+אפריל!F7+מאי!F7+יוני!F7</f>
        <v>934161.5</v>
      </c>
      <c r="G7" s="9">
        <f>+אפריל!G7+מאי!G7+יוני!G7</f>
        <v>878996.75</v>
      </c>
      <c r="H7" s="49">
        <f t="shared" si="0"/>
        <v>-5.9052690567958588E-2</v>
      </c>
      <c r="I7" s="11">
        <f t="shared" si="1"/>
        <v>-55164.75</v>
      </c>
      <c r="J7" s="9">
        <f>+אפריל!J7+מאי!J7+יוני!J7</f>
        <v>1095000</v>
      </c>
      <c r="K7" s="49">
        <f t="shared" si="2"/>
        <v>-0.19726324200913237</v>
      </c>
      <c r="L7" s="13">
        <f t="shared" si="3"/>
        <v>-216003.25</v>
      </c>
    </row>
    <row r="8" spans="1:12" x14ac:dyDescent="0.2">
      <c r="A8" s="37" t="s">
        <v>113</v>
      </c>
      <c r="B8" s="2" t="s">
        <v>5</v>
      </c>
      <c r="C8" s="2" t="s">
        <v>5</v>
      </c>
      <c r="D8" s="3" t="s">
        <v>40</v>
      </c>
      <c r="E8" s="9">
        <f>+אפריל!E8+מאי!E8+יוני!E8</f>
        <v>169658.13</v>
      </c>
      <c r="F8" s="9">
        <f>+אפריל!F8+מאי!F8+יוני!F8</f>
        <v>213180.08999999997</v>
      </c>
      <c r="G8" s="9">
        <f>+אפריל!G8+מאי!G8+יוני!G8</f>
        <v>168068.15100000001</v>
      </c>
      <c r="H8" s="49">
        <f t="shared" si="0"/>
        <v>-0.21161422251017892</v>
      </c>
      <c r="I8" s="11">
        <f t="shared" si="1"/>
        <v>-45111.938999999955</v>
      </c>
      <c r="J8" s="9">
        <f>+אפריל!J8+מאי!J8+יוני!J8</f>
        <v>304126.98412698408</v>
      </c>
      <c r="K8" s="49">
        <f t="shared" si="2"/>
        <v>-0.44737507760960327</v>
      </c>
      <c r="L8" s="13">
        <f t="shared" si="3"/>
        <v>-136058.83312698407</v>
      </c>
    </row>
    <row r="9" spans="1:12" x14ac:dyDescent="0.2">
      <c r="A9" s="37" t="s">
        <v>121</v>
      </c>
      <c r="B9" s="2" t="s">
        <v>4</v>
      </c>
      <c r="C9" s="2" t="s">
        <v>4</v>
      </c>
      <c r="D9" s="3" t="s">
        <v>40</v>
      </c>
      <c r="E9" s="9">
        <f>+אפריל!E9+מאי!E9+יוני!E9</f>
        <v>246446.45999999996</v>
      </c>
      <c r="F9" s="9">
        <f>+אפריל!F9+מאי!F9+יוני!F9</f>
        <v>233401.61000000002</v>
      </c>
      <c r="G9" s="9">
        <f>+אפריל!G9+מאי!G9+יוני!G9</f>
        <v>258426.16999999993</v>
      </c>
      <c r="H9" s="49">
        <f t="shared" si="0"/>
        <v>0.10721674113558999</v>
      </c>
      <c r="I9" s="11">
        <f t="shared" si="1"/>
        <v>25024.55999999991</v>
      </c>
      <c r="J9" s="9">
        <f>+אפריל!J9+מאי!J9+יוני!J9</f>
        <v>486734.12698412687</v>
      </c>
      <c r="K9" s="49">
        <f t="shared" si="2"/>
        <v>-0.46906091914851988</v>
      </c>
      <c r="L9" s="13">
        <f t="shared" si="3"/>
        <v>-228307.95698412694</v>
      </c>
    </row>
    <row r="10" spans="1:12" x14ac:dyDescent="0.2">
      <c r="A10" s="37" t="s">
        <v>120</v>
      </c>
      <c r="B10" s="4" t="s">
        <v>6</v>
      </c>
      <c r="C10" s="4" t="s">
        <v>6</v>
      </c>
      <c r="D10" s="3" t="s">
        <v>40</v>
      </c>
      <c r="E10" s="9">
        <f>+אפריל!E10+מאי!E10+יוני!E10</f>
        <v>43928.11</v>
      </c>
      <c r="F10" s="9">
        <f>+אפריל!F10+מאי!F10+יוני!F10</f>
        <v>40264.520000000004</v>
      </c>
      <c r="G10" s="9">
        <f>+אפריל!G10+מאי!G10+יוני!G10</f>
        <v>25028.089999999997</v>
      </c>
      <c r="H10" s="49">
        <f t="shared" si="0"/>
        <v>-0.3784083356761736</v>
      </c>
      <c r="I10" s="11">
        <f t="shared" si="1"/>
        <v>-15236.430000000008</v>
      </c>
      <c r="J10" s="9">
        <f>+אפריל!J10+מאי!J10+יוני!J10</f>
        <v>44484.126984126982</v>
      </c>
      <c r="K10" s="49">
        <f t="shared" si="2"/>
        <v>-0.43737032292595901</v>
      </c>
      <c r="L10" s="13">
        <f t="shared" si="3"/>
        <v>-19456.036984126986</v>
      </c>
    </row>
    <row r="11" spans="1:12" x14ac:dyDescent="0.2">
      <c r="A11" s="37" t="s">
        <v>117</v>
      </c>
      <c r="B11" s="2" t="s">
        <v>66</v>
      </c>
      <c r="C11" s="2" t="s">
        <v>66</v>
      </c>
      <c r="D11" s="3" t="s">
        <v>40</v>
      </c>
      <c r="E11" s="9">
        <f>+אפריל!E11+מאי!E11+יוני!E11</f>
        <v>24236.58</v>
      </c>
      <c r="F11" s="9">
        <f>+אפריל!F11+מאי!F11+יוני!F11</f>
        <v>14213.800000000001</v>
      </c>
      <c r="G11" s="9">
        <f>+אפריל!G11+מאי!G11+יוני!G11</f>
        <v>21605.489999999998</v>
      </c>
      <c r="H11" s="49">
        <f t="shared" si="0"/>
        <v>0.52003616203970759</v>
      </c>
      <c r="I11" s="11">
        <f t="shared" si="1"/>
        <v>7391.6899999999969</v>
      </c>
      <c r="J11" s="9">
        <f>+אפריל!J11+מאי!J11+יוני!J11</f>
        <v>23412.69841269841</v>
      </c>
      <c r="K11" s="49">
        <f t="shared" si="2"/>
        <v>-7.7189240677966064E-2</v>
      </c>
      <c r="L11" s="13">
        <f t="shared" si="3"/>
        <v>-1807.2084126984118</v>
      </c>
    </row>
    <row r="12" spans="1:12" x14ac:dyDescent="0.2">
      <c r="A12" s="37" t="s">
        <v>116</v>
      </c>
      <c r="B12" s="2" t="s">
        <v>8</v>
      </c>
      <c r="C12" s="2" t="s">
        <v>8</v>
      </c>
      <c r="D12" s="3" t="s">
        <v>40</v>
      </c>
      <c r="E12" s="9">
        <f>+אפריל!E12+מאי!E12+יוני!E12</f>
        <v>850.4</v>
      </c>
      <c r="F12" s="9">
        <f>+אפריל!F12+מאי!F12+יוני!F12</f>
        <v>1244.8399999999999</v>
      </c>
      <c r="G12" s="9">
        <f>+אפריל!G12+מאי!G12+יוני!G12</f>
        <v>1658.9900000000002</v>
      </c>
      <c r="H12" s="49">
        <f t="shared" si="0"/>
        <v>0.33269335818257795</v>
      </c>
      <c r="I12" s="11">
        <f t="shared" si="1"/>
        <v>414.15000000000032</v>
      </c>
      <c r="J12" s="9">
        <f>+אפריל!J12+מאי!J12+יוני!J12</f>
        <v>0</v>
      </c>
      <c r="K12" s="49"/>
      <c r="L12" s="13">
        <f t="shared" si="3"/>
        <v>1658.9900000000002</v>
      </c>
    </row>
    <row r="13" spans="1:12" x14ac:dyDescent="0.2">
      <c r="A13" s="37" t="s">
        <v>119</v>
      </c>
      <c r="B13" s="2" t="s">
        <v>151</v>
      </c>
      <c r="C13" s="2" t="s">
        <v>151</v>
      </c>
      <c r="D13" s="3" t="s">
        <v>40</v>
      </c>
      <c r="E13" s="9">
        <f>+אפריל!E13+מאי!E13+יוני!E13</f>
        <v>1597.46</v>
      </c>
      <c r="F13" s="9">
        <f>+אפריל!F13+מאי!F13+יוני!F13</f>
        <v>0</v>
      </c>
      <c r="G13" s="9">
        <f>+אפריל!G13+מאי!G13+יוני!G13</f>
        <v>1896.82</v>
      </c>
      <c r="H13" s="49" t="e">
        <f t="shared" si="0"/>
        <v>#DIV/0!</v>
      </c>
      <c r="I13" s="11">
        <f t="shared" si="1"/>
        <v>1896.82</v>
      </c>
      <c r="J13" s="9">
        <f>+אפריל!J13+מאי!J13+יוני!J13</f>
        <v>12500</v>
      </c>
      <c r="K13" s="49">
        <f t="shared" si="2"/>
        <v>-0.84825439999999996</v>
      </c>
      <c r="L13" s="13">
        <f t="shared" si="3"/>
        <v>-10603.18</v>
      </c>
    </row>
    <row r="14" spans="1:12" x14ac:dyDescent="0.2">
      <c r="A14" s="37" t="s">
        <v>114</v>
      </c>
      <c r="B14" s="2" t="s">
        <v>45</v>
      </c>
      <c r="C14" s="2" t="s">
        <v>45</v>
      </c>
      <c r="D14" s="3" t="s">
        <v>40</v>
      </c>
      <c r="E14" s="9">
        <f>+אפריל!E14+מאי!E14+יוני!E14</f>
        <v>4579.6400000000003</v>
      </c>
      <c r="F14" s="9">
        <f>+אפריל!F14+מאי!F14+יוני!F14</f>
        <v>0</v>
      </c>
      <c r="G14" s="9">
        <f>+אפריל!G14+מאי!G14+יוני!G14</f>
        <v>4277.74</v>
      </c>
      <c r="H14" s="49" t="e">
        <f t="shared" si="0"/>
        <v>#DIV/0!</v>
      </c>
      <c r="I14" s="11">
        <f t="shared" si="1"/>
        <v>4277.74</v>
      </c>
      <c r="J14" s="9">
        <f>+אפריל!J14+מאי!J14+יוני!J14</f>
        <v>150000</v>
      </c>
      <c r="K14" s="49">
        <f t="shared" si="2"/>
        <v>-0.97148173333333332</v>
      </c>
      <c r="L14" s="13">
        <f t="shared" si="3"/>
        <v>-145722.26</v>
      </c>
    </row>
    <row r="15" spans="1:12" x14ac:dyDescent="0.2">
      <c r="A15" s="37" t="s">
        <v>118</v>
      </c>
      <c r="B15" s="2" t="s">
        <v>73</v>
      </c>
      <c r="C15" s="2" t="s">
        <v>73</v>
      </c>
      <c r="D15" s="3" t="s">
        <v>40</v>
      </c>
      <c r="E15" s="9">
        <f>+אפריל!E15+מאי!E15+יוני!E15</f>
        <v>11737.4</v>
      </c>
      <c r="F15" s="9">
        <f>+אפריל!F15+מאי!F15+יוני!F15</f>
        <v>24303.610000000004</v>
      </c>
      <c r="G15" s="9">
        <f>+אפריל!G15+מאי!G15+יוני!G15</f>
        <v>55700.59</v>
      </c>
      <c r="H15" s="49">
        <f t="shared" si="0"/>
        <v>1.2918648711035106</v>
      </c>
      <c r="I15" s="11">
        <f t="shared" si="1"/>
        <v>31396.979999999992</v>
      </c>
      <c r="J15" s="9">
        <f>+אפריל!J15+מאי!J15+יוני!J15</f>
        <v>46825.39682539682</v>
      </c>
      <c r="K15" s="49">
        <f t="shared" si="2"/>
        <v>0.18953802372881356</v>
      </c>
      <c r="L15" s="13">
        <f t="shared" si="3"/>
        <v>8875.1931746031769</v>
      </c>
    </row>
    <row r="16" spans="1:12" ht="15" x14ac:dyDescent="0.25">
      <c r="B16" s="277" t="s">
        <v>221</v>
      </c>
      <c r="C16" s="278"/>
      <c r="D16" s="278"/>
      <c r="E16" s="67">
        <f>SUM(E3:E15)</f>
        <v>4235599.79</v>
      </c>
      <c r="F16" s="67">
        <f>SUM(F3:F15)</f>
        <v>4423506.640000022</v>
      </c>
      <c r="G16" s="67">
        <f>SUM(G3:G15)</f>
        <v>3772670.6070000003</v>
      </c>
      <c r="H16" s="68">
        <f t="shared" si="0"/>
        <v>-0.14713124359637408</v>
      </c>
      <c r="I16" s="67">
        <f>SUM(I3:I15)</f>
        <v>-650836.0330000231</v>
      </c>
      <c r="J16" s="67">
        <f>SUM(J3:J15)</f>
        <v>5075861.111111111</v>
      </c>
      <c r="K16" s="68">
        <f t="shared" si="2"/>
        <v>-0.25674274287340404</v>
      </c>
      <c r="L16" s="67">
        <f>SUM(L3:L15)</f>
        <v>-1303190.5041111107</v>
      </c>
    </row>
    <row r="17" spans="1:12" x14ac:dyDescent="0.2">
      <c r="A17" s="37" t="s">
        <v>111</v>
      </c>
      <c r="B17" s="2" t="s">
        <v>7</v>
      </c>
      <c r="C17" s="2" t="s">
        <v>7</v>
      </c>
      <c r="D17" s="3" t="s">
        <v>40</v>
      </c>
      <c r="E17" s="9">
        <f>+אפריל!E17+מאי!E17+יוני!E17</f>
        <v>145350.6699999999</v>
      </c>
      <c r="F17" s="9">
        <f>+אפריל!F17+מאי!F17+יוני!F17</f>
        <v>324643.02000000078</v>
      </c>
      <c r="G17" s="9">
        <f>+אפריל!G17+מאי!G17+יוני!G17</f>
        <v>1372955.8100000203</v>
      </c>
      <c r="H17" s="49">
        <f>G17/F17-1</f>
        <v>3.2291246859397038</v>
      </c>
      <c r="I17" s="11">
        <f>G17-F17</f>
        <v>1048312.7900000196</v>
      </c>
      <c r="J17" s="9">
        <f>+אפריל!J17+מאי!J17+יוני!J17</f>
        <v>1934057.6271186443</v>
      </c>
      <c r="K17" s="49">
        <f>G17/J17-1</f>
        <v>-0.29011639014839108</v>
      </c>
      <c r="L17" s="13">
        <f>G17-J17</f>
        <v>-561101.81711862399</v>
      </c>
    </row>
    <row r="18" spans="1:12" x14ac:dyDescent="0.2">
      <c r="A18" s="37" t="s">
        <v>110</v>
      </c>
      <c r="B18" s="14" t="s">
        <v>65</v>
      </c>
      <c r="C18" s="14" t="s">
        <v>65</v>
      </c>
      <c r="D18" s="3" t="s">
        <v>40</v>
      </c>
      <c r="E18" s="9">
        <f>+אפריל!E18+מאי!E18+יוני!E18</f>
        <v>9785.5300000000025</v>
      </c>
      <c r="F18" s="9">
        <f>+אפריל!F18+מאי!F18+יוני!F18</f>
        <v>8530.4700000000012</v>
      </c>
      <c r="G18" s="9">
        <f>+אפריל!G18+מאי!G18+יוני!G18</f>
        <v>4719.99</v>
      </c>
      <c r="H18" s="49">
        <f>G18/F18-1</f>
        <v>-0.44669051060492571</v>
      </c>
      <c r="I18" s="11">
        <f>G18-F18</f>
        <v>-3810.4800000000014</v>
      </c>
      <c r="J18" s="9">
        <f>+אפריל!J18+מאי!J18+יוני!J18</f>
        <v>7610.7849999999971</v>
      </c>
      <c r="K18" s="49">
        <f>G18/J18-1</f>
        <v>-0.37982875616641365</v>
      </c>
      <c r="L18" s="13">
        <f>G18-J18</f>
        <v>-2890.7949999999973</v>
      </c>
    </row>
    <row r="19" spans="1:12" ht="15" x14ac:dyDescent="0.25">
      <c r="B19" s="266" t="s">
        <v>41</v>
      </c>
      <c r="C19" s="267"/>
      <c r="D19" s="267"/>
      <c r="E19" s="12">
        <f>E16+E17+E18</f>
        <v>4390735.99</v>
      </c>
      <c r="F19" s="12">
        <f>F16+F17+F18</f>
        <v>4756680.1300000222</v>
      </c>
      <c r="G19" s="12">
        <f>G16+G17+G18</f>
        <v>5150346.4070000211</v>
      </c>
      <c r="H19" s="50">
        <f t="shared" ref="H19:H41" si="4">G19/F19-1</f>
        <v>8.2760720973684032E-2</v>
      </c>
      <c r="I19" s="12">
        <f>I16+I17+I18</f>
        <v>393666.27699999651</v>
      </c>
      <c r="J19" s="12">
        <f>J16+J17+J18</f>
        <v>7017529.5232297555</v>
      </c>
      <c r="K19" s="50">
        <f t="shared" ref="K19:K41" si="5">G19/J19-1</f>
        <v>-0.26607413763617205</v>
      </c>
      <c r="L19" s="12">
        <f>L16+L17+L18</f>
        <v>-1867183.1162297346</v>
      </c>
    </row>
    <row r="20" spans="1:12" x14ac:dyDescent="0.2">
      <c r="A20" s="37" t="s">
        <v>92</v>
      </c>
      <c r="B20" s="36" t="s">
        <v>74</v>
      </c>
      <c r="C20" s="5" t="s">
        <v>47</v>
      </c>
      <c r="D20" s="3" t="s">
        <v>38</v>
      </c>
      <c r="E20" s="9">
        <f>+אפריל!E20+מאי!E20+יוני!E20</f>
        <v>954148.47</v>
      </c>
      <c r="F20" s="9">
        <f>+אפריל!F20+מאי!F20+יוני!F20</f>
        <v>559300.55999999994</v>
      </c>
      <c r="G20" s="9">
        <f>+אפריל!G20+מאי!G20+יוני!G20</f>
        <v>668181.86</v>
      </c>
      <c r="H20" s="49">
        <f t="shared" si="4"/>
        <v>0.19467404073401973</v>
      </c>
      <c r="I20" s="11">
        <f t="shared" ref="I20:I39" si="6">G20-F20</f>
        <v>108881.30000000005</v>
      </c>
      <c r="J20" s="9">
        <f>+אפריל!J20+מאי!J20+יוני!J20</f>
        <v>1194086.4143999999</v>
      </c>
      <c r="K20" s="49">
        <f t="shared" si="5"/>
        <v>-0.44042420050834807</v>
      </c>
      <c r="L20" s="13">
        <f t="shared" ref="L20:L39" si="7">G20-J20</f>
        <v>-525904.55439999991</v>
      </c>
    </row>
    <row r="21" spans="1:12" x14ac:dyDescent="0.2">
      <c r="A21" s="37" t="s">
        <v>93</v>
      </c>
      <c r="B21" s="36" t="s">
        <v>75</v>
      </c>
      <c r="C21" s="5" t="s">
        <v>13</v>
      </c>
      <c r="D21" s="3" t="s">
        <v>39</v>
      </c>
      <c r="E21" s="9">
        <f>+אפריל!E21+מאי!E21+יוני!E21</f>
        <v>184350.47</v>
      </c>
      <c r="F21" s="9">
        <f>+אפריל!F21+מאי!F21+יוני!F21</f>
        <v>217182.24</v>
      </c>
      <c r="G21" s="9">
        <f>+אפריל!G21+מאי!G21+יוני!G21</f>
        <v>204882.82</v>
      </c>
      <c r="H21" s="49">
        <f t="shared" si="4"/>
        <v>-5.6631794570310978E-2</v>
      </c>
      <c r="I21" s="11">
        <f t="shared" si="6"/>
        <v>-12299.419999999984</v>
      </c>
      <c r="J21" s="9">
        <f>+אפריל!J21+מאי!J21+יוני!J21</f>
        <v>235200</v>
      </c>
      <c r="K21" s="49">
        <f t="shared" si="5"/>
        <v>-0.12889957482993197</v>
      </c>
      <c r="L21" s="13">
        <f t="shared" si="7"/>
        <v>-30317.179999999993</v>
      </c>
    </row>
    <row r="22" spans="1:12" x14ac:dyDescent="0.2">
      <c r="A22" s="37" t="s">
        <v>94</v>
      </c>
      <c r="B22" s="36" t="s">
        <v>80</v>
      </c>
      <c r="C22" s="5" t="s">
        <v>18</v>
      </c>
      <c r="D22" s="3" t="s">
        <v>19</v>
      </c>
      <c r="E22" s="9">
        <f>+אפריל!E22+מאי!E22+יוני!E22</f>
        <v>184316.58000000002</v>
      </c>
      <c r="F22" s="9">
        <f>+אפריל!F22+מאי!F22+יוני!F22</f>
        <v>1513.3</v>
      </c>
      <c r="G22" s="9">
        <f>+אפריל!G22+מאי!G22+יוני!G22</f>
        <v>184127.09000000003</v>
      </c>
      <c r="H22" s="49">
        <f t="shared" si="4"/>
        <v>120.6725632723188</v>
      </c>
      <c r="I22" s="11">
        <f t="shared" si="6"/>
        <v>182613.79000000004</v>
      </c>
      <c r="J22" s="9">
        <f>+אפריל!J22+מאי!J22+יוני!J22</f>
        <v>150000</v>
      </c>
      <c r="K22" s="49">
        <f t="shared" si="5"/>
        <v>0.22751393333333358</v>
      </c>
      <c r="L22" s="13">
        <f t="shared" si="7"/>
        <v>34127.090000000026</v>
      </c>
    </row>
    <row r="23" spans="1:12" x14ac:dyDescent="0.2">
      <c r="A23" s="37" t="s">
        <v>95</v>
      </c>
      <c r="B23" s="36" t="s">
        <v>82</v>
      </c>
      <c r="C23" s="5" t="s">
        <v>14</v>
      </c>
      <c r="D23" s="3" t="s">
        <v>15</v>
      </c>
      <c r="E23" s="9">
        <f>+אפריל!E23+מאי!E23+יוני!E23</f>
        <v>83128.56</v>
      </c>
      <c r="F23" s="9">
        <f>+אפריל!F23+מאי!F23+יוני!F23</f>
        <v>88706.82</v>
      </c>
      <c r="G23" s="9">
        <f>+אפריל!G23+מאי!G23+יוני!G23</f>
        <v>239894.16</v>
      </c>
      <c r="H23" s="49">
        <f t="shared" si="4"/>
        <v>1.7043485495252786</v>
      </c>
      <c r="I23" s="11">
        <f t="shared" si="6"/>
        <v>151187.34</v>
      </c>
      <c r="J23" s="9">
        <f>+אפריל!J23+מאי!J23+יוני!J23</f>
        <v>85000</v>
      </c>
      <c r="K23" s="49">
        <f t="shared" si="5"/>
        <v>1.8222842352941178</v>
      </c>
      <c r="L23" s="13">
        <f t="shared" si="7"/>
        <v>154894.16</v>
      </c>
    </row>
    <row r="24" spans="1:12" x14ac:dyDescent="0.2">
      <c r="A24" s="37" t="s">
        <v>96</v>
      </c>
      <c r="B24" s="36" t="s">
        <v>78</v>
      </c>
      <c r="C24" s="5" t="s">
        <v>24</v>
      </c>
      <c r="D24" s="3" t="s">
        <v>25</v>
      </c>
      <c r="E24" s="9">
        <f>+אפריל!E24+מאי!E24+יוני!E24</f>
        <v>32116.36</v>
      </c>
      <c r="F24" s="9">
        <f>+אפריל!F24+מאי!F24+יוני!F24</f>
        <v>11888.32</v>
      </c>
      <c r="G24" s="9">
        <f>+אפריל!G24+מאי!G24+יוני!G24</f>
        <v>31882.48</v>
      </c>
      <c r="H24" s="49">
        <f t="shared" si="4"/>
        <v>1.6818322521601035</v>
      </c>
      <c r="I24" s="11">
        <f t="shared" si="6"/>
        <v>19994.16</v>
      </c>
      <c r="J24" s="9">
        <f>+אפריל!J24+מאי!J24+יוני!J24</f>
        <v>37000</v>
      </c>
      <c r="K24" s="49">
        <f t="shared" si="5"/>
        <v>-0.13831135135135131</v>
      </c>
      <c r="L24" s="13">
        <f t="shared" si="7"/>
        <v>-5117.5200000000004</v>
      </c>
    </row>
    <row r="25" spans="1:12" x14ac:dyDescent="0.2">
      <c r="A25" s="37" t="s">
        <v>97</v>
      </c>
      <c r="B25" s="36" t="s">
        <v>79</v>
      </c>
      <c r="C25" s="5" t="s">
        <v>27</v>
      </c>
      <c r="D25" s="3" t="s">
        <v>46</v>
      </c>
      <c r="E25" s="9">
        <f>+אפריל!E25+מאי!E25+יוני!E25</f>
        <v>65362.29</v>
      </c>
      <c r="F25" s="9">
        <f>+אפריל!F25+מאי!F25+יוני!F25</f>
        <v>10766.89</v>
      </c>
      <c r="G25" s="9">
        <f>+אפריל!G25+מאי!G25+יוני!G25</f>
        <v>0</v>
      </c>
      <c r="H25" s="49">
        <f t="shared" si="4"/>
        <v>-1</v>
      </c>
      <c r="I25" s="11">
        <f t="shared" si="6"/>
        <v>-10766.89</v>
      </c>
      <c r="J25" s="9">
        <f>+אפריל!J25+מאי!J25+יוני!J25</f>
        <v>15000</v>
      </c>
      <c r="K25" s="49">
        <f t="shared" si="5"/>
        <v>-1</v>
      </c>
      <c r="L25" s="13">
        <f t="shared" si="7"/>
        <v>-15000</v>
      </c>
    </row>
    <row r="26" spans="1:12" ht="13.5" customHeight="1" x14ac:dyDescent="0.2">
      <c r="A26" s="37" t="s">
        <v>98</v>
      </c>
      <c r="B26" s="36" t="s">
        <v>87</v>
      </c>
      <c r="C26" s="5" t="s">
        <v>20</v>
      </c>
      <c r="D26" s="3" t="s">
        <v>21</v>
      </c>
      <c r="E26" s="9">
        <f>+אפריל!E26+מאי!E26+יוני!E26</f>
        <v>0</v>
      </c>
      <c r="F26" s="9">
        <f>+אפריל!F26+מאי!F26+יוני!F26</f>
        <v>172805.93</v>
      </c>
      <c r="G26" s="9">
        <f>+אפריל!G26+מאי!G26+יוני!G26</f>
        <v>145416.52999999997</v>
      </c>
      <c r="H26" s="49">
        <f t="shared" si="4"/>
        <v>-0.15849803302467702</v>
      </c>
      <c r="I26" s="11">
        <f t="shared" si="6"/>
        <v>-27389.400000000023</v>
      </c>
      <c r="J26" s="9">
        <f>+אפריל!J26+מאי!J26+יוני!J26</f>
        <v>150000</v>
      </c>
      <c r="K26" s="49">
        <f t="shared" si="5"/>
        <v>-3.0556466666666893E-2</v>
      </c>
      <c r="L26" s="13">
        <f t="shared" si="7"/>
        <v>-4583.4700000000303</v>
      </c>
    </row>
    <row r="27" spans="1:12" x14ac:dyDescent="0.2">
      <c r="A27" s="37" t="s">
        <v>99</v>
      </c>
      <c r="B27" s="36" t="s">
        <v>77</v>
      </c>
      <c r="C27" s="5" t="s">
        <v>26</v>
      </c>
      <c r="D27" s="3" t="s">
        <v>28</v>
      </c>
      <c r="E27" s="9">
        <f>+אפריל!E27+מאי!E27+יוני!E27</f>
        <v>37671.31</v>
      </c>
      <c r="F27" s="9">
        <f>+אפריל!F27+מאי!F27+יוני!F27</f>
        <v>35240.620000000003</v>
      </c>
      <c r="G27" s="9">
        <f>+אפריל!G27+מאי!G27+יוני!G27</f>
        <v>18541.7</v>
      </c>
      <c r="H27" s="49">
        <f t="shared" si="4"/>
        <v>-0.47385431924863974</v>
      </c>
      <c r="I27" s="11">
        <f t="shared" si="6"/>
        <v>-16698.920000000002</v>
      </c>
      <c r="J27" s="9">
        <f>+אפריל!J27+מאי!J27+יוני!J27</f>
        <v>80000</v>
      </c>
      <c r="K27" s="49">
        <f t="shared" si="5"/>
        <v>-0.76822875000000002</v>
      </c>
      <c r="L27" s="13">
        <f t="shared" si="7"/>
        <v>-61458.3</v>
      </c>
    </row>
    <row r="28" spans="1:12" ht="13.5" customHeight="1" x14ac:dyDescent="0.2">
      <c r="A28" s="37" t="s">
        <v>100</v>
      </c>
      <c r="B28" s="36" t="s">
        <v>88</v>
      </c>
      <c r="C28" s="5" t="s">
        <v>22</v>
      </c>
      <c r="D28" s="3" t="s">
        <v>23</v>
      </c>
      <c r="E28" s="9">
        <f>+אפריל!E28+מאי!E28+יוני!E28</f>
        <v>0</v>
      </c>
      <c r="F28" s="9">
        <f>+אפריל!F28+מאי!F28+יוני!F28</f>
        <v>0</v>
      </c>
      <c r="G28" s="9">
        <f>+אפריל!G28+מאי!G28+יוני!G28</f>
        <v>0</v>
      </c>
      <c r="H28" s="49" t="e">
        <f t="shared" si="4"/>
        <v>#DIV/0!</v>
      </c>
      <c r="I28" s="11">
        <f t="shared" si="6"/>
        <v>0</v>
      </c>
      <c r="J28" s="9">
        <f>+אפריל!J28+מאי!J28+יוני!J28</f>
        <v>0</v>
      </c>
      <c r="K28" s="49" t="e">
        <f t="shared" si="5"/>
        <v>#DIV/0!</v>
      </c>
      <c r="L28" s="13">
        <f t="shared" si="7"/>
        <v>0</v>
      </c>
    </row>
    <row r="29" spans="1:12" ht="13.5" customHeight="1" x14ac:dyDescent="0.2">
      <c r="A29" s="37" t="s">
        <v>101</v>
      </c>
      <c r="B29" s="36" t="s">
        <v>89</v>
      </c>
      <c r="C29" s="5" t="s">
        <v>16</v>
      </c>
      <c r="D29" s="3" t="s">
        <v>17</v>
      </c>
      <c r="E29" s="9">
        <f>+אפריל!E29+מאי!E29+יוני!E29</f>
        <v>96419.36</v>
      </c>
      <c r="F29" s="9">
        <f>+אפריל!F29+מאי!F29+יוני!F29</f>
        <v>94956.900000000009</v>
      </c>
      <c r="G29" s="9">
        <f>+אפריל!G29+מאי!G29+יוני!G29</f>
        <v>151082.34</v>
      </c>
      <c r="H29" s="49">
        <f t="shared" si="4"/>
        <v>0.59106226087835623</v>
      </c>
      <c r="I29" s="11">
        <f t="shared" si="6"/>
        <v>56125.439999999988</v>
      </c>
      <c r="J29" s="9">
        <f>+אפריל!J29+מאי!J29+יוני!J29</f>
        <v>119295.228</v>
      </c>
      <c r="K29" s="49">
        <f t="shared" si="5"/>
        <v>0.26645753172960096</v>
      </c>
      <c r="L29" s="13">
        <f t="shared" si="7"/>
        <v>31787.111999999994</v>
      </c>
    </row>
    <row r="30" spans="1:12" x14ac:dyDescent="0.2">
      <c r="A30" s="37" t="s">
        <v>102</v>
      </c>
      <c r="B30" s="36" t="s">
        <v>81</v>
      </c>
      <c r="C30" s="5" t="s">
        <v>29</v>
      </c>
      <c r="D30" s="3" t="s">
        <v>30</v>
      </c>
      <c r="E30" s="9">
        <f>+אפריל!E30+מאי!E30+יוני!E30</f>
        <v>49617.59</v>
      </c>
      <c r="F30" s="9">
        <f>+אפריל!F30+מאי!F30+יוני!F30</f>
        <v>0</v>
      </c>
      <c r="G30" s="9">
        <f>+אפריל!G30+מאי!G30+יוני!G30</f>
        <v>43116.44</v>
      </c>
      <c r="H30" s="49" t="e">
        <f t="shared" si="4"/>
        <v>#DIV/0!</v>
      </c>
      <c r="I30" s="11">
        <f t="shared" si="6"/>
        <v>43116.44</v>
      </c>
      <c r="J30" s="9">
        <f>+אפריל!J30+מאי!J30+יוני!J30</f>
        <v>35000</v>
      </c>
      <c r="K30" s="49">
        <f t="shared" si="5"/>
        <v>0.23189828571428572</v>
      </c>
      <c r="L30" s="13">
        <f t="shared" si="7"/>
        <v>8116.4400000000023</v>
      </c>
    </row>
    <row r="31" spans="1:12" x14ac:dyDescent="0.2">
      <c r="A31" s="37" t="s">
        <v>103</v>
      </c>
      <c r="B31" s="36" t="s">
        <v>76</v>
      </c>
      <c r="C31" s="5" t="s">
        <v>34</v>
      </c>
      <c r="D31" s="3" t="s">
        <v>30</v>
      </c>
      <c r="E31" s="9">
        <f>+אפריל!E31+מאי!E31+יוני!E31</f>
        <v>20354.79</v>
      </c>
      <c r="F31" s="9">
        <f>+אפריל!F31+מאי!F31+יוני!F31</f>
        <v>18835.730000000003</v>
      </c>
      <c r="G31" s="9">
        <f>+אפריל!G31+מאי!G31+יוני!G31</f>
        <v>17809.5</v>
      </c>
      <c r="H31" s="49">
        <f t="shared" si="4"/>
        <v>-5.4483155152468377E-2</v>
      </c>
      <c r="I31" s="11">
        <f t="shared" si="6"/>
        <v>-1026.2300000000032</v>
      </c>
      <c r="J31" s="9">
        <f>+אפריל!J31+מאי!J31+יוני!J31</f>
        <v>0</v>
      </c>
      <c r="K31" s="49" t="e">
        <f t="shared" si="5"/>
        <v>#DIV/0!</v>
      </c>
      <c r="L31" s="13">
        <f t="shared" si="7"/>
        <v>17809.5</v>
      </c>
    </row>
    <row r="32" spans="1:12" ht="13.5" customHeight="1" x14ac:dyDescent="0.2">
      <c r="A32" s="37" t="s">
        <v>85</v>
      </c>
      <c r="B32" s="37" t="s">
        <v>85</v>
      </c>
      <c r="C32" s="5" t="s">
        <v>32</v>
      </c>
      <c r="D32" s="3" t="s">
        <v>33</v>
      </c>
      <c r="E32" s="9">
        <f>+אפריל!E32+מאי!E32+יוני!E32</f>
        <v>0</v>
      </c>
      <c r="F32" s="9">
        <f>+אפריל!F32+מאי!F32+יוני!F32</f>
        <v>0</v>
      </c>
      <c r="G32" s="9">
        <f>+אפריל!G32+מאי!G32+יוני!G32</f>
        <v>0</v>
      </c>
      <c r="H32" s="49" t="e">
        <f t="shared" si="4"/>
        <v>#DIV/0!</v>
      </c>
      <c r="I32" s="11">
        <f t="shared" si="6"/>
        <v>0</v>
      </c>
      <c r="J32" s="9">
        <f>+אפריל!J32+מאי!J32+יוני!J32</f>
        <v>0</v>
      </c>
      <c r="K32" s="49" t="e">
        <f t="shared" si="5"/>
        <v>#DIV/0!</v>
      </c>
      <c r="L32" s="13">
        <f t="shared" si="7"/>
        <v>0</v>
      </c>
    </row>
    <row r="33" spans="1:12" ht="13.5" customHeight="1" x14ac:dyDescent="0.2">
      <c r="B33" s="36"/>
      <c r="C33" s="5" t="s">
        <v>11</v>
      </c>
      <c r="D33" s="3" t="s">
        <v>12</v>
      </c>
      <c r="E33" s="9">
        <f>+אפריל!E33+מאי!E33+יוני!E33</f>
        <v>0</v>
      </c>
      <c r="F33" s="9">
        <f>+אפריל!F33+מאי!F33+יוני!F33</f>
        <v>0</v>
      </c>
      <c r="G33" s="9">
        <f>+אפריל!G33+מאי!G33+יוני!G33</f>
        <v>0</v>
      </c>
      <c r="H33" s="49" t="e">
        <f t="shared" si="4"/>
        <v>#DIV/0!</v>
      </c>
      <c r="I33" s="11">
        <f t="shared" si="6"/>
        <v>0</v>
      </c>
      <c r="J33" s="9">
        <f>+אפריל!J33+מאי!J33+יוני!J33</f>
        <v>0</v>
      </c>
      <c r="K33" s="49" t="e">
        <f t="shared" si="5"/>
        <v>#DIV/0!</v>
      </c>
      <c r="L33" s="13">
        <f t="shared" si="7"/>
        <v>0</v>
      </c>
    </row>
    <row r="34" spans="1:12" ht="13.5" customHeight="1" x14ac:dyDescent="0.2">
      <c r="A34" s="37" t="s">
        <v>104</v>
      </c>
      <c r="B34" s="36" t="s">
        <v>86</v>
      </c>
      <c r="C34" s="5" t="s">
        <v>31</v>
      </c>
      <c r="D34" s="3" t="s">
        <v>49</v>
      </c>
      <c r="E34" s="9">
        <f>+אפריל!E34+מאי!E34+יוני!E34</f>
        <v>0</v>
      </c>
      <c r="F34" s="9">
        <f>+אפריל!F34+מאי!F34+יוני!F34</f>
        <v>19017.88</v>
      </c>
      <c r="G34" s="9">
        <f>+אפריל!G34+מאי!G34+יוני!G34</f>
        <v>0</v>
      </c>
      <c r="H34" s="49">
        <f t="shared" si="4"/>
        <v>-1</v>
      </c>
      <c r="I34" s="11">
        <f t="shared" si="6"/>
        <v>-19017.88</v>
      </c>
      <c r="J34" s="9">
        <f>+אפריל!J34+מאי!J34+יוני!J34</f>
        <v>21207.34</v>
      </c>
      <c r="K34" s="49">
        <f t="shared" si="5"/>
        <v>-1</v>
      </c>
      <c r="L34" s="13">
        <f t="shared" si="7"/>
        <v>-21207.34</v>
      </c>
    </row>
    <row r="35" spans="1:12" ht="13.5" customHeight="1" x14ac:dyDescent="0.2">
      <c r="A35" s="37" t="s">
        <v>105</v>
      </c>
      <c r="B35" s="36" t="s">
        <v>83</v>
      </c>
      <c r="C35" s="5" t="s">
        <v>84</v>
      </c>
      <c r="D35" s="3" t="s">
        <v>48</v>
      </c>
      <c r="E35" s="9">
        <f>+אפריל!E35+מאי!E35+יוני!E35</f>
        <v>0</v>
      </c>
      <c r="F35" s="9">
        <f>+אפריל!F35+מאי!F35+יוני!F35</f>
        <v>30531.53</v>
      </c>
      <c r="G35" s="9">
        <f>+אפריל!G35+מאי!G35+יוני!G35</f>
        <v>0</v>
      </c>
      <c r="H35" s="49">
        <f t="shared" si="4"/>
        <v>-1</v>
      </c>
      <c r="I35" s="11">
        <f t="shared" si="6"/>
        <v>-30531.53</v>
      </c>
      <c r="J35" s="9">
        <f>+אפריל!J35+מאי!J35+יוני!J35</f>
        <v>40000</v>
      </c>
      <c r="K35" s="49">
        <f t="shared" si="5"/>
        <v>-1</v>
      </c>
      <c r="L35" s="13">
        <f t="shared" si="7"/>
        <v>-40000</v>
      </c>
    </row>
    <row r="36" spans="1:12" x14ac:dyDescent="0.2">
      <c r="A36" s="37" t="s">
        <v>107</v>
      </c>
      <c r="B36" s="37" t="s">
        <v>107</v>
      </c>
      <c r="C36" s="5" t="s">
        <v>37</v>
      </c>
      <c r="D36" s="3" t="s">
        <v>17</v>
      </c>
      <c r="E36" s="9">
        <f>+אפריל!E36+מאי!E36+יוני!E36</f>
        <v>41531.96</v>
      </c>
      <c r="F36" s="9">
        <f>+אפריל!F36+מאי!F36+יוני!F36</f>
        <v>0</v>
      </c>
      <c r="G36" s="9">
        <f>+אפריל!G36+מאי!G36+יוני!G36</f>
        <v>0</v>
      </c>
      <c r="H36" s="49" t="e">
        <f t="shared" si="4"/>
        <v>#DIV/0!</v>
      </c>
      <c r="I36" s="11">
        <f t="shared" si="6"/>
        <v>0</v>
      </c>
      <c r="J36" s="9">
        <f>+אפריל!J36+מאי!J36+יוני!J36</f>
        <v>0</v>
      </c>
      <c r="K36" s="49" t="e">
        <f t="shared" si="5"/>
        <v>#DIV/0!</v>
      </c>
      <c r="L36" s="13">
        <f t="shared" si="7"/>
        <v>0</v>
      </c>
    </row>
    <row r="37" spans="1:12" x14ac:dyDescent="0.2">
      <c r="A37" s="37" t="s">
        <v>108</v>
      </c>
      <c r="B37" s="37" t="s">
        <v>108</v>
      </c>
      <c r="C37" s="5" t="s">
        <v>35</v>
      </c>
      <c r="D37" s="3" t="s">
        <v>36</v>
      </c>
      <c r="E37" s="9">
        <f>+אפריל!E37+מאי!E37+יוני!E37</f>
        <v>22310.959999999999</v>
      </c>
      <c r="F37" s="9">
        <f>+אפריל!F37+מאי!F37+יוני!F37</f>
        <v>0</v>
      </c>
      <c r="G37" s="9">
        <f>+אפריל!G37+מאי!G37+יוני!G37</f>
        <v>0</v>
      </c>
      <c r="H37" s="49" t="e">
        <f t="shared" si="4"/>
        <v>#DIV/0!</v>
      </c>
      <c r="I37" s="11">
        <f t="shared" si="6"/>
        <v>0</v>
      </c>
      <c r="J37" s="9">
        <f>+אפריל!J37+מאי!J37+יוני!J37</f>
        <v>0</v>
      </c>
      <c r="K37" s="49" t="e">
        <f t="shared" si="5"/>
        <v>#DIV/0!</v>
      </c>
      <c r="L37" s="13">
        <f t="shared" si="7"/>
        <v>0</v>
      </c>
    </row>
    <row r="38" spans="1:12" ht="13.5" customHeight="1" x14ac:dyDescent="0.2">
      <c r="A38" s="37" t="s">
        <v>109</v>
      </c>
      <c r="B38" s="37" t="s">
        <v>109</v>
      </c>
      <c r="C38" s="5" t="s">
        <v>70</v>
      </c>
      <c r="D38" s="3" t="s">
        <v>38</v>
      </c>
      <c r="E38" s="9">
        <f>+אפריל!E38+מאי!E38+יוני!E38</f>
        <v>0</v>
      </c>
      <c r="F38" s="9">
        <f>+אפריל!F38+מאי!F38+יוני!F38</f>
        <v>248.59</v>
      </c>
      <c r="G38" s="9">
        <f>+אפריל!G38+מאי!G38+יוני!G38</f>
        <v>0</v>
      </c>
      <c r="H38" s="49">
        <f t="shared" si="4"/>
        <v>-1</v>
      </c>
      <c r="I38" s="11">
        <f t="shared" si="6"/>
        <v>-248.59</v>
      </c>
      <c r="J38" s="9">
        <f>+אפריל!J38+מאי!J38+יוני!J38</f>
        <v>200000</v>
      </c>
      <c r="K38" s="49">
        <f t="shared" si="5"/>
        <v>-1</v>
      </c>
      <c r="L38" s="13">
        <f t="shared" si="7"/>
        <v>-200000</v>
      </c>
    </row>
    <row r="39" spans="1:12" ht="13.5" customHeight="1" x14ac:dyDescent="0.2">
      <c r="B39" s="37" t="s">
        <v>91</v>
      </c>
      <c r="C39" s="5" t="s">
        <v>91</v>
      </c>
      <c r="D39" s="3"/>
      <c r="E39" s="9">
        <f>+אפריל!E39+מאי!E39+יוני!E39</f>
        <v>0</v>
      </c>
      <c r="F39" s="9">
        <f>+אפריל!F39+מאי!F39+יוני!F39</f>
        <v>0</v>
      </c>
      <c r="G39" s="9">
        <f>+אפריל!G39+מאי!G39+יוני!G39</f>
        <v>0</v>
      </c>
      <c r="H39" s="49" t="e">
        <f t="shared" si="4"/>
        <v>#DIV/0!</v>
      </c>
      <c r="I39" s="11">
        <f t="shared" si="6"/>
        <v>0</v>
      </c>
      <c r="J39" s="9">
        <f>+אפריל!J39+מאי!J39+יוני!J39</f>
        <v>200000</v>
      </c>
      <c r="K39" s="49">
        <f t="shared" si="5"/>
        <v>-1</v>
      </c>
      <c r="L39" s="13">
        <f t="shared" si="7"/>
        <v>-200000</v>
      </c>
    </row>
    <row r="40" spans="1:12" ht="15" x14ac:dyDescent="0.25">
      <c r="B40" s="268" t="s">
        <v>42</v>
      </c>
      <c r="C40" s="269"/>
      <c r="D40" s="269"/>
      <c r="E40" s="10">
        <f>SUM(E20:E39)</f>
        <v>1771328.7000000004</v>
      </c>
      <c r="F40" s="10">
        <f>SUM(F20:F39)</f>
        <v>1260995.3099999998</v>
      </c>
      <c r="G40" s="10">
        <f>SUM(G20:G39)</f>
        <v>1704934.92</v>
      </c>
      <c r="H40" s="43">
        <f t="shared" si="4"/>
        <v>0.35205492556510798</v>
      </c>
      <c r="I40" s="10">
        <f>SUM(I20:I39)</f>
        <v>443939.61000000004</v>
      </c>
      <c r="J40" s="10">
        <f>SUM(J20:J39)</f>
        <v>2561788.9823999996</v>
      </c>
      <c r="K40" s="43">
        <f t="shared" si="5"/>
        <v>-0.33447487997128478</v>
      </c>
      <c r="L40" s="10">
        <f>SUM(L20:L39)</f>
        <v>-856854.06240000005</v>
      </c>
    </row>
    <row r="41" spans="1:12" ht="16.5" thickBot="1" x14ac:dyDescent="0.3">
      <c r="B41" s="270" t="s">
        <v>69</v>
      </c>
      <c r="C41" s="271"/>
      <c r="D41" s="271"/>
      <c r="E41" s="25">
        <f>E40+E19</f>
        <v>6162064.6900000004</v>
      </c>
      <c r="F41" s="25">
        <f>F40+F19</f>
        <v>6017675.4400000218</v>
      </c>
      <c r="G41" s="25">
        <f>G40+G19</f>
        <v>6855281.327000021</v>
      </c>
      <c r="H41" s="44">
        <f t="shared" si="4"/>
        <v>0.13919093765548718</v>
      </c>
      <c r="I41" s="25">
        <f>I40+I19</f>
        <v>837605.88699999661</v>
      </c>
      <c r="J41" s="25">
        <f>J40+J19</f>
        <v>9579318.5056297556</v>
      </c>
      <c r="K41" s="44">
        <f t="shared" si="5"/>
        <v>-0.28436648985299118</v>
      </c>
      <c r="L41" s="25">
        <f>L40+L19</f>
        <v>-2724037.1786297346</v>
      </c>
    </row>
    <row r="42" spans="1:12" ht="15.75" thickBot="1" x14ac:dyDescent="0.3">
      <c r="B42" s="272" t="s">
        <v>43</v>
      </c>
      <c r="C42" s="273"/>
      <c r="D42" s="274"/>
      <c r="E42" s="16">
        <f>E40/E41</f>
        <v>0.28745701142582458</v>
      </c>
      <c r="F42" s="16">
        <f>F40/F41</f>
        <v>0.20954857445751432</v>
      </c>
      <c r="G42" s="16">
        <f>G40/G41</f>
        <v>0.24870385891896085</v>
      </c>
      <c r="H42" s="45"/>
      <c r="I42" s="6"/>
      <c r="J42" s="15">
        <f>J40-אפריל!J40-מאי!J40-יוני!J40</f>
        <v>0</v>
      </c>
    </row>
    <row r="43" spans="1:12" x14ac:dyDescent="0.2">
      <c r="E43" s="15">
        <f>E41-אפריל!E41-מאי!E41-יוני!E41</f>
        <v>0</v>
      </c>
      <c r="I43" s="6"/>
    </row>
  </sheetData>
  <dataConsolidate/>
  <mergeCells count="6">
    <mergeCell ref="B1:L1"/>
    <mergeCell ref="B19:D19"/>
    <mergeCell ref="B40:D40"/>
    <mergeCell ref="B41:D41"/>
    <mergeCell ref="B42:D42"/>
    <mergeCell ref="B16:D16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7923-15C1-4EC3-90F8-89B35A27E9FD}">
  <dimension ref="A1:Z43"/>
  <sheetViews>
    <sheetView showGridLines="0" rightToLeft="1" zoomScale="85" zoomScaleNormal="85" workbookViewId="0">
      <pane xSplit="5" ySplit="2" topLeftCell="H3" activePane="bottomRight" state="frozen"/>
      <selection activeCell="J13" sqref="J13"/>
      <selection pane="topRight" activeCell="J13" sqref="J13"/>
      <selection pane="bottomLeft" activeCell="J13" sqref="J13"/>
      <selection pane="bottomRight" activeCell="H18" sqref="H18"/>
    </sheetView>
  </sheetViews>
  <sheetFormatPr defaultRowHeight="14.25" outlineLevelRow="1" x14ac:dyDescent="0.2"/>
  <cols>
    <col min="1" max="1" width="2.875" bestFit="1" customWidth="1"/>
    <col min="2" max="2" width="31" hidden="1" customWidth="1"/>
    <col min="3" max="3" width="33" hidden="1" customWidth="1"/>
    <col min="4" max="4" width="26" style="100" customWidth="1"/>
    <col min="5" max="5" width="12.5" style="100" hidden="1" customWidth="1"/>
    <col min="6" max="7" width="9.875" hidden="1" customWidth="1"/>
    <col min="8" max="8" width="9.875" bestFit="1" customWidth="1"/>
    <col min="9" max="9" width="5" bestFit="1" customWidth="1"/>
    <col min="10" max="10" width="10" style="51" bestFit="1" customWidth="1"/>
    <col min="11" max="11" width="14.125" bestFit="1" customWidth="1"/>
    <col min="12" max="12" width="2.5" customWidth="1"/>
    <col min="13" max="13" width="9.875" bestFit="1" customWidth="1"/>
    <col min="14" max="14" width="11" hidden="1" customWidth="1"/>
    <col min="15" max="15" width="7.625" bestFit="1" customWidth="1"/>
    <col min="16" max="16" width="13.625" bestFit="1" customWidth="1"/>
    <col min="17" max="17" width="2.5" customWidth="1"/>
    <col min="18" max="18" width="9.875" bestFit="1" customWidth="1"/>
    <col min="19" max="19" width="10.875" hidden="1" customWidth="1"/>
    <col min="20" max="20" width="7.625" bestFit="1" customWidth="1"/>
    <col min="21" max="21" width="13" bestFit="1" customWidth="1"/>
    <col min="22" max="22" width="20.375" hidden="1" customWidth="1"/>
    <col min="24" max="24" width="9.875" bestFit="1" customWidth="1"/>
    <col min="25" max="25" width="10" bestFit="1" customWidth="1"/>
    <col min="26" max="26" width="9" style="102"/>
  </cols>
  <sheetData>
    <row r="1" spans="1:26" ht="15.75" x14ac:dyDescent="0.25">
      <c r="B1" s="34"/>
      <c r="C1" s="34" t="s">
        <v>178</v>
      </c>
      <c r="D1" s="160" t="s">
        <v>178</v>
      </c>
      <c r="E1" s="138"/>
      <c r="F1" s="34"/>
      <c r="G1" s="34"/>
      <c r="H1" s="34"/>
      <c r="I1" s="34"/>
      <c r="J1" s="34"/>
      <c r="K1" s="34"/>
      <c r="M1" s="34"/>
      <c r="N1" s="34"/>
      <c r="O1" s="34"/>
      <c r="P1" s="34"/>
      <c r="R1" s="34"/>
      <c r="S1" s="34"/>
      <c r="T1" s="34"/>
      <c r="U1" s="34"/>
      <c r="X1" s="34"/>
    </row>
    <row r="2" spans="1:26" s="90" customFormat="1" ht="15" x14ac:dyDescent="0.25">
      <c r="A2" s="133" t="s">
        <v>228</v>
      </c>
      <c r="B2" s="141"/>
      <c r="C2" s="141"/>
      <c r="D2" s="14"/>
      <c r="E2" s="139" t="s">
        <v>10</v>
      </c>
      <c r="F2" s="146">
        <v>7.2023999999999999</v>
      </c>
      <c r="G2" s="146">
        <v>7.2024999999999997</v>
      </c>
      <c r="H2" s="146">
        <v>7.2026000000000003</v>
      </c>
      <c r="I2" s="147" t="s">
        <v>225</v>
      </c>
      <c r="J2" s="147" t="s">
        <v>227</v>
      </c>
      <c r="K2" s="148" t="s">
        <v>192</v>
      </c>
      <c r="M2" s="149" t="s">
        <v>67</v>
      </c>
      <c r="N2" s="147" t="s">
        <v>68</v>
      </c>
      <c r="O2" s="147" t="s">
        <v>223</v>
      </c>
      <c r="P2" s="149" t="s">
        <v>226</v>
      </c>
      <c r="R2" s="148" t="s">
        <v>229</v>
      </c>
      <c r="S2" s="147" t="s">
        <v>231</v>
      </c>
      <c r="T2" s="147" t="s">
        <v>223</v>
      </c>
      <c r="U2" s="149" t="s">
        <v>232</v>
      </c>
      <c r="X2" s="146">
        <v>7.2026000000000003</v>
      </c>
      <c r="Z2" s="102"/>
    </row>
    <row r="3" spans="1:26" outlineLevel="1" x14ac:dyDescent="0.2">
      <c r="A3" s="140">
        <v>5</v>
      </c>
      <c r="B3" s="137" t="s">
        <v>115</v>
      </c>
      <c r="C3" s="137" t="s">
        <v>1</v>
      </c>
      <c r="D3" s="142" t="s">
        <v>1</v>
      </c>
      <c r="E3" s="99" t="s">
        <v>40</v>
      </c>
      <c r="F3" s="86">
        <f>VLOOKUP(B3,'2024'!$A:$O,8,0)</f>
        <v>214594.9</v>
      </c>
      <c r="G3" s="86">
        <f>VLOOKUP($B3,'2025'!$A:$O,8,0)</f>
        <v>83088</v>
      </c>
      <c r="H3" s="86">
        <v>73969</v>
      </c>
      <c r="I3" s="125">
        <f t="shared" ref="I3:I18" si="0">H3/$H$19</f>
        <v>4.4046020666731911E-2</v>
      </c>
      <c r="J3" s="125">
        <f>IFERROR(H3/G3-1,"-")</f>
        <v>-0.10975110725977277</v>
      </c>
      <c r="K3" s="86">
        <f t="shared" ref="K3:K15" si="1">H3-G3</f>
        <v>-9119</v>
      </c>
      <c r="M3" s="89">
        <f>VLOOKUP(C3,'תקציב  '!$B:$S,10,0)*1</f>
        <v>235079.36507936506</v>
      </c>
      <c r="N3" s="125">
        <f t="shared" ref="N3:N41" si="2">IFERROR(H3/M3-1,"-")</f>
        <v>-0.68534456448345704</v>
      </c>
      <c r="O3" s="125">
        <f t="shared" ref="O3:O41" si="3">IFERROR(H3/M3,"-")</f>
        <v>0.3146554355165429</v>
      </c>
      <c r="P3" s="89">
        <f t="shared" ref="P3:P15" si="4">H3-M3</f>
        <v>-161110.36507936506</v>
      </c>
      <c r="R3" s="89">
        <f>_xlfn.XLOOKUP(A3,'תקציב  '!A:A,'תקציב  '!AI:AI)</f>
        <v>200000</v>
      </c>
      <c r="S3" s="125">
        <f>IFERROR(H3/R3-1,"-")</f>
        <v>-0.63015500000000002</v>
      </c>
      <c r="T3" s="125">
        <f>IFERROR(H3/R3,"-")</f>
        <v>0.36984499999999998</v>
      </c>
      <c r="U3" s="89">
        <f>H3-R3</f>
        <v>-126031</v>
      </c>
      <c r="X3" s="86">
        <v>73969</v>
      </c>
      <c r="Y3" s="7">
        <f t="shared" ref="Y3:Y41" si="5">H3-X3</f>
        <v>0</v>
      </c>
      <c r="Z3" s="101">
        <f t="shared" ref="Z3:Z41" si="6">IFERROR((H3/X3)-1,"-")</f>
        <v>0</v>
      </c>
    </row>
    <row r="4" spans="1:26" outlineLevel="1" x14ac:dyDescent="0.2">
      <c r="A4" s="134">
        <v>1</v>
      </c>
      <c r="B4" s="14" t="s">
        <v>0</v>
      </c>
      <c r="C4" s="14" t="s">
        <v>0</v>
      </c>
      <c r="D4" s="142" t="s">
        <v>0</v>
      </c>
      <c r="E4" s="99" t="s">
        <v>40</v>
      </c>
      <c r="F4" s="86">
        <f>VLOOKUP(C4,'2024'!$A:$O,8,0)</f>
        <v>502006.141</v>
      </c>
      <c r="G4" s="86">
        <f>VLOOKUP($B4,'2025'!$A:$O,8,0)</f>
        <v>486312.52000000491</v>
      </c>
      <c r="H4" s="86">
        <v>453851.21600000001</v>
      </c>
      <c r="I4" s="125">
        <f t="shared" si="0"/>
        <v>0.27025294433556502</v>
      </c>
      <c r="J4" s="125">
        <f t="shared" ref="J4:J41" si="7">IFERROR(H4/G4-1,"-")</f>
        <v>-6.6749883387753561E-2</v>
      </c>
      <c r="K4" s="86">
        <f t="shared" si="1"/>
        <v>-32461.304000004893</v>
      </c>
      <c r="M4" s="89">
        <f>VLOOKUP(C4,'תקציב  '!$B:$S,10,0)*1</f>
        <v>605698.41269841266</v>
      </c>
      <c r="N4" s="125">
        <f t="shared" si="2"/>
        <v>-0.25069769627086658</v>
      </c>
      <c r="O4" s="125">
        <f t="shared" si="3"/>
        <v>0.74930230372913342</v>
      </c>
      <c r="P4" s="89">
        <f t="shared" si="4"/>
        <v>-151847.19669841265</v>
      </c>
      <c r="R4" s="89">
        <f>_xlfn.XLOOKUP(A4,'תקציב  '!A:A,'תקציב  '!AI:AI)</f>
        <v>550000</v>
      </c>
      <c r="S4" s="125">
        <f t="shared" ref="S4:S41" si="8">IFERROR(H4/R4-1,"-")</f>
        <v>-0.17481597090909085</v>
      </c>
      <c r="T4" s="125">
        <f t="shared" ref="T4:T41" si="9">IFERROR(H4/R4,"-")</f>
        <v>0.82518402909090915</v>
      </c>
      <c r="U4" s="89">
        <f t="shared" ref="U4:U41" si="10">H4-R4</f>
        <v>-96148.783999999985</v>
      </c>
      <c r="X4" s="86">
        <v>443876.46399999998</v>
      </c>
      <c r="Y4" s="7">
        <f t="shared" si="5"/>
        <v>9974.7520000000368</v>
      </c>
      <c r="Z4" s="101">
        <f t="shared" si="6"/>
        <v>2.2471910112359605E-2</v>
      </c>
    </row>
    <row r="5" spans="1:26" outlineLevel="1" x14ac:dyDescent="0.2">
      <c r="A5" s="134">
        <v>7</v>
      </c>
      <c r="B5" s="14" t="s">
        <v>44</v>
      </c>
      <c r="C5" s="14" t="s">
        <v>44</v>
      </c>
      <c r="D5" s="142" t="s">
        <v>44</v>
      </c>
      <c r="E5" s="99" t="s">
        <v>40</v>
      </c>
      <c r="F5" s="86">
        <f>VLOOKUP(C5,'2024'!$A:$O,8,0)</f>
        <v>95719.441999999995</v>
      </c>
      <c r="G5" s="86">
        <f>VLOOKUP($B5,'2025'!$A:$O,8,0)</f>
        <v>59921.68</v>
      </c>
      <c r="H5" s="86">
        <v>72470.216</v>
      </c>
      <c r="I5" s="125">
        <f t="shared" si="0"/>
        <v>4.3153545832153008E-2</v>
      </c>
      <c r="J5" s="125">
        <f t="shared" si="7"/>
        <v>0.2094156238610132</v>
      </c>
      <c r="K5" s="86">
        <f t="shared" si="1"/>
        <v>12548.536</v>
      </c>
      <c r="M5" s="89">
        <f>VLOOKUP(C5,'תקציב  '!$B:$S,10,0)*1</f>
        <v>78571.428571428565</v>
      </c>
      <c r="N5" s="125">
        <f t="shared" si="2"/>
        <v>-7.7651796363636283E-2</v>
      </c>
      <c r="O5" s="125">
        <f t="shared" si="3"/>
        <v>0.92234820363636372</v>
      </c>
      <c r="P5" s="89">
        <f t="shared" si="4"/>
        <v>-6101.2125714285648</v>
      </c>
      <c r="R5" s="89">
        <f>_xlfn.XLOOKUP(A5,'תקציב  '!A:A,'תקציב  '!AI:AI)</f>
        <v>100000</v>
      </c>
      <c r="S5" s="125">
        <f t="shared" si="8"/>
        <v>-0.27529784000000002</v>
      </c>
      <c r="T5" s="125">
        <f t="shared" si="9"/>
        <v>0.72470215999999998</v>
      </c>
      <c r="U5" s="89">
        <f t="shared" si="10"/>
        <v>-27529.784</v>
      </c>
      <c r="X5" s="86">
        <v>70877.463999999993</v>
      </c>
      <c r="Y5" s="7">
        <f t="shared" si="5"/>
        <v>1592.7520000000077</v>
      </c>
      <c r="Z5" s="101">
        <f t="shared" si="6"/>
        <v>2.2471910112359605E-2</v>
      </c>
    </row>
    <row r="6" spans="1:26" outlineLevel="1" x14ac:dyDescent="0.2">
      <c r="A6" s="134">
        <v>4</v>
      </c>
      <c r="B6" s="14" t="s">
        <v>3</v>
      </c>
      <c r="C6" s="14" t="s">
        <v>3</v>
      </c>
      <c r="D6" s="142" t="s">
        <v>3</v>
      </c>
      <c r="E6" s="99" t="s">
        <v>40</v>
      </c>
      <c r="F6" s="86">
        <f>VLOOKUP(C6,'2024'!$A:$O,8,0)</f>
        <v>157377.696</v>
      </c>
      <c r="G6" s="86">
        <f>VLOOKUP($B6,'2025'!$A:$O,8,0)</f>
        <v>221525.15999999992</v>
      </c>
      <c r="H6" s="86">
        <v>152144.318</v>
      </c>
      <c r="I6" s="125">
        <f t="shared" si="0"/>
        <v>9.0596760466598605E-2</v>
      </c>
      <c r="J6" s="125">
        <f t="shared" si="7"/>
        <v>-0.31319621662839536</v>
      </c>
      <c r="K6" s="86">
        <f t="shared" si="1"/>
        <v>-69380.841999999917</v>
      </c>
      <c r="M6" s="89">
        <f>VLOOKUP(B6,'תקציב  '!$B:$S,10,0)*1</f>
        <v>170873.01587301589</v>
      </c>
      <c r="N6" s="125">
        <f t="shared" si="2"/>
        <v>-0.10960594203437068</v>
      </c>
      <c r="O6" s="125">
        <f t="shared" si="3"/>
        <v>0.89039405796562932</v>
      </c>
      <c r="P6" s="89">
        <f t="shared" si="4"/>
        <v>-18728.697873015888</v>
      </c>
      <c r="R6" s="89">
        <f>_xlfn.XLOOKUP(A6,'תקציב  '!A:A,'תקציב  '!AI:AI)</f>
        <v>200000</v>
      </c>
      <c r="S6" s="125">
        <f t="shared" si="8"/>
        <v>-0.23927841000000005</v>
      </c>
      <c r="T6" s="125">
        <f t="shared" si="9"/>
        <v>0.76072158999999995</v>
      </c>
      <c r="U6" s="89">
        <f t="shared" si="10"/>
        <v>-47855.682000000001</v>
      </c>
      <c r="X6" s="86">
        <v>149138.682</v>
      </c>
      <c r="Y6" s="7">
        <f t="shared" si="5"/>
        <v>3005.6359999999986</v>
      </c>
      <c r="Z6" s="101">
        <f t="shared" si="6"/>
        <v>2.0153295977230146E-2</v>
      </c>
    </row>
    <row r="7" spans="1:26" outlineLevel="1" x14ac:dyDescent="0.2">
      <c r="A7" s="134">
        <v>3</v>
      </c>
      <c r="B7" s="14" t="s">
        <v>112</v>
      </c>
      <c r="C7" s="14" t="s">
        <v>2</v>
      </c>
      <c r="D7" s="142" t="s">
        <v>2</v>
      </c>
      <c r="E7" s="99" t="s">
        <v>40</v>
      </c>
      <c r="F7" s="86">
        <f>VLOOKUP(B7,'2024'!$A:$O,8,0)</f>
        <v>326042</v>
      </c>
      <c r="G7" s="86">
        <f>VLOOKUP($B7,'2025'!$A:$O,8,0)</f>
        <v>329541.7</v>
      </c>
      <c r="H7" s="86">
        <v>392888.3</v>
      </c>
      <c r="I7" s="125">
        <f t="shared" si="0"/>
        <v>0.23395160380047272</v>
      </c>
      <c r="J7" s="125">
        <f t="shared" si="7"/>
        <v>0.19222635557199585</v>
      </c>
      <c r="K7" s="86">
        <f t="shared" si="1"/>
        <v>63346.599999999977</v>
      </c>
      <c r="M7" s="89">
        <f>VLOOKUP(C7,'תקציב  '!$B:$S,10,0)*1</f>
        <v>365000</v>
      </c>
      <c r="N7" s="125">
        <f t="shared" si="2"/>
        <v>7.6406301369863039E-2</v>
      </c>
      <c r="O7" s="125">
        <f t="shared" si="3"/>
        <v>1.076406301369863</v>
      </c>
      <c r="P7" s="89">
        <f t="shared" si="4"/>
        <v>27888.299999999988</v>
      </c>
      <c r="R7" s="89">
        <f>_xlfn.XLOOKUP(A7,'תקציב  '!A:A,'תקציב  '!AI:AI)</f>
        <v>330000</v>
      </c>
      <c r="S7" s="125">
        <f t="shared" si="8"/>
        <v>0.19057060606060605</v>
      </c>
      <c r="T7" s="125">
        <f t="shared" si="9"/>
        <v>1.1905706060606061</v>
      </c>
      <c r="U7" s="89">
        <f t="shared" si="10"/>
        <v>62888.299999999988</v>
      </c>
      <c r="X7" s="86">
        <v>392888.3</v>
      </c>
      <c r="Y7" s="7">
        <f t="shared" si="5"/>
        <v>0</v>
      </c>
      <c r="Z7" s="101">
        <f t="shared" si="6"/>
        <v>0</v>
      </c>
    </row>
    <row r="8" spans="1:26" outlineLevel="1" x14ac:dyDescent="0.2">
      <c r="A8" s="134">
        <v>8</v>
      </c>
      <c r="B8" s="14" t="s">
        <v>113</v>
      </c>
      <c r="C8" s="14" t="s">
        <v>5</v>
      </c>
      <c r="D8" s="142" t="s">
        <v>5</v>
      </c>
      <c r="E8" s="99" t="s">
        <v>40</v>
      </c>
      <c r="F8" s="86">
        <f>VLOOKUP(B8,'2024'!$A:$O,8,0)</f>
        <v>79041.440000000002</v>
      </c>
      <c r="G8" s="86">
        <f>VLOOKUP($B8,'2025'!$A:$O,8,0)</f>
        <v>95914.880000000005</v>
      </c>
      <c r="H8" s="86">
        <v>49165.265999999996</v>
      </c>
      <c r="I8" s="125">
        <f t="shared" si="0"/>
        <v>2.9276241700190237E-2</v>
      </c>
      <c r="J8" s="125">
        <f t="shared" si="7"/>
        <v>-0.48740731365143763</v>
      </c>
      <c r="K8" s="86">
        <f t="shared" si="1"/>
        <v>-46749.614000000009</v>
      </c>
      <c r="M8" s="89">
        <f>VLOOKUP(C8,'תקציב  '!$B:$S,10,0)*1</f>
        <v>107301.58730158729</v>
      </c>
      <c r="N8" s="125">
        <f t="shared" si="2"/>
        <v>-0.54180299437869817</v>
      </c>
      <c r="O8" s="125">
        <f t="shared" si="3"/>
        <v>0.45819700562130178</v>
      </c>
      <c r="P8" s="89">
        <f t="shared" si="4"/>
        <v>-58136.321301587297</v>
      </c>
      <c r="R8" s="89">
        <f>_xlfn.XLOOKUP(A8,'תקציב  '!A:A,'תקציב  '!AI:AI)</f>
        <v>100000</v>
      </c>
      <c r="S8" s="125">
        <f t="shared" si="8"/>
        <v>-0.50834734000000004</v>
      </c>
      <c r="T8" s="125">
        <f t="shared" si="9"/>
        <v>0.49165265999999996</v>
      </c>
      <c r="U8" s="89">
        <f t="shared" si="10"/>
        <v>-50834.734000000004</v>
      </c>
      <c r="X8" s="86">
        <v>47990.773999999998</v>
      </c>
      <c r="Y8" s="7">
        <f t="shared" si="5"/>
        <v>1174.4919999999984</v>
      </c>
      <c r="Z8" s="101">
        <f t="shared" si="6"/>
        <v>2.4473287303097058E-2</v>
      </c>
    </row>
    <row r="9" spans="1:26" outlineLevel="1" x14ac:dyDescent="0.2">
      <c r="A9" s="134">
        <v>6</v>
      </c>
      <c r="B9" s="14" t="s">
        <v>121</v>
      </c>
      <c r="C9" s="14" t="s">
        <v>4</v>
      </c>
      <c r="D9" s="142" t="s">
        <v>4</v>
      </c>
      <c r="E9" s="99" t="s">
        <v>40</v>
      </c>
      <c r="F9" s="86">
        <f>VLOOKUP(B9,'2024'!$A:$O,8,0)</f>
        <v>76209.319999999978</v>
      </c>
      <c r="G9" s="86">
        <f>VLOOKUP($B9,'2025'!$A:$O,8,0)</f>
        <v>81305.009999999995</v>
      </c>
      <c r="H9" s="86">
        <v>65635.87</v>
      </c>
      <c r="I9" s="125">
        <f t="shared" si="0"/>
        <v>3.9083925516080101E-2</v>
      </c>
      <c r="J9" s="125">
        <f t="shared" si="7"/>
        <v>-0.19272047319101249</v>
      </c>
      <c r="K9" s="86">
        <f t="shared" si="1"/>
        <v>-15669.14</v>
      </c>
      <c r="M9" s="89">
        <f>VLOOKUP(C9,'תקציב  '!$B:$S,10,0)*1</f>
        <v>177087.30158730157</v>
      </c>
      <c r="N9" s="125">
        <f t="shared" si="2"/>
        <v>-0.62935868686415986</v>
      </c>
      <c r="O9" s="125">
        <f t="shared" si="3"/>
        <v>0.37064131313584009</v>
      </c>
      <c r="P9" s="89">
        <f t="shared" si="4"/>
        <v>-111451.43158730157</v>
      </c>
      <c r="R9" s="89">
        <f>_xlfn.XLOOKUP(A9,'תקציב  '!A:A,'תקציב  '!AI:AI)</f>
        <v>100000</v>
      </c>
      <c r="S9" s="125">
        <f t="shared" si="8"/>
        <v>-0.34364130000000004</v>
      </c>
      <c r="T9" s="125">
        <f t="shared" si="9"/>
        <v>0.65635869999999996</v>
      </c>
      <c r="U9" s="89">
        <f t="shared" si="10"/>
        <v>-34364.130000000005</v>
      </c>
      <c r="X9" s="86">
        <v>65635.87</v>
      </c>
      <c r="Y9" s="7">
        <f t="shared" si="5"/>
        <v>0</v>
      </c>
      <c r="Z9" s="101">
        <f t="shared" si="6"/>
        <v>0</v>
      </c>
    </row>
    <row r="10" spans="1:26" outlineLevel="1" x14ac:dyDescent="0.2">
      <c r="A10" s="135">
        <v>10</v>
      </c>
      <c r="B10" s="127" t="s">
        <v>120</v>
      </c>
      <c r="C10" s="127" t="s">
        <v>6</v>
      </c>
      <c r="D10" s="132" t="s">
        <v>6</v>
      </c>
      <c r="E10" s="99" t="s">
        <v>40</v>
      </c>
      <c r="F10" s="86">
        <f>VLOOKUP(B10,'2024'!$A:$O,8,0)</f>
        <v>27532.1</v>
      </c>
      <c r="G10" s="86">
        <f>VLOOKUP($B10,'2025'!$A:$O,8,0)</f>
        <v>10971.320000000002</v>
      </c>
      <c r="H10" s="86">
        <v>5105.8</v>
      </c>
      <c r="I10" s="125">
        <f t="shared" si="0"/>
        <v>3.0403300344766025E-3</v>
      </c>
      <c r="J10" s="125">
        <f t="shared" si="7"/>
        <v>-0.53462299887342635</v>
      </c>
      <c r="K10" s="86">
        <f t="shared" si="1"/>
        <v>-5865.5200000000013</v>
      </c>
      <c r="M10" s="89">
        <f>VLOOKUP(C10,'תקציב  '!$B:$S,10,0)*1</f>
        <v>16587.301587301587</v>
      </c>
      <c r="N10" s="125">
        <f t="shared" si="2"/>
        <v>-0.69218622009569375</v>
      </c>
      <c r="O10" s="125">
        <f t="shared" si="3"/>
        <v>0.30781377990430625</v>
      </c>
      <c r="P10" s="89">
        <f t="shared" si="4"/>
        <v>-11481.501587301587</v>
      </c>
      <c r="R10" s="89">
        <f>_xlfn.XLOOKUP(A10,'תקציב  '!A:A,'תקציב  '!AI:AI)</f>
        <v>15000</v>
      </c>
      <c r="S10" s="125">
        <f t="shared" si="8"/>
        <v>-0.65961333333333338</v>
      </c>
      <c r="T10" s="125">
        <f t="shared" si="9"/>
        <v>0.34038666666666667</v>
      </c>
      <c r="U10" s="89">
        <f t="shared" si="10"/>
        <v>-9894.2000000000007</v>
      </c>
      <c r="X10" s="86">
        <v>5105.8</v>
      </c>
      <c r="Y10" s="7">
        <f t="shared" si="5"/>
        <v>0</v>
      </c>
      <c r="Z10" s="101">
        <f t="shared" si="6"/>
        <v>0</v>
      </c>
    </row>
    <row r="11" spans="1:26" outlineLevel="1" x14ac:dyDescent="0.2">
      <c r="A11" s="134">
        <v>11</v>
      </c>
      <c r="B11" s="14" t="s">
        <v>117</v>
      </c>
      <c r="C11" s="14" t="s">
        <v>66</v>
      </c>
      <c r="D11" s="142" t="s">
        <v>66</v>
      </c>
      <c r="E11" s="99" t="s">
        <v>40</v>
      </c>
      <c r="F11" s="86">
        <f>VLOOKUP(B11,'2024'!$A:$O,8,0)</f>
        <v>8417.7099999999991</v>
      </c>
      <c r="G11" s="86">
        <f>VLOOKUP($B11,'2025'!$A:$O,8,0)</f>
        <v>4990.47</v>
      </c>
      <c r="H11" s="86">
        <v>3863.17</v>
      </c>
      <c r="I11" s="125">
        <f t="shared" si="0"/>
        <v>2.3003861842001206E-3</v>
      </c>
      <c r="J11" s="125">
        <f t="shared" si="7"/>
        <v>-0.2258905473833126</v>
      </c>
      <c r="K11" s="86">
        <f t="shared" si="1"/>
        <v>-1127.3000000000002</v>
      </c>
      <c r="M11" s="89">
        <f>VLOOKUP(C11,'תקציב  '!$B:$S,10,0)*1</f>
        <v>8730.1587301587297</v>
      </c>
      <c r="N11" s="125">
        <f t="shared" si="2"/>
        <v>-0.55749143636363629</v>
      </c>
      <c r="O11" s="125">
        <f t="shared" si="3"/>
        <v>0.44250856363636365</v>
      </c>
      <c r="P11" s="89">
        <f t="shared" si="4"/>
        <v>-4866.9887301587296</v>
      </c>
      <c r="R11" s="89">
        <f>_xlfn.XLOOKUP(A11,'תקציב  '!A:A,'תקציב  '!AI:AI)</f>
        <v>10000</v>
      </c>
      <c r="S11" s="125">
        <f t="shared" si="8"/>
        <v>-0.61368299999999998</v>
      </c>
      <c r="T11" s="125">
        <f t="shared" si="9"/>
        <v>0.38631700000000002</v>
      </c>
      <c r="U11" s="89">
        <f t="shared" si="10"/>
        <v>-6136.83</v>
      </c>
      <c r="X11" s="86">
        <v>3863.17</v>
      </c>
      <c r="Y11" s="7">
        <f t="shared" si="5"/>
        <v>0</v>
      </c>
      <c r="Z11" s="101">
        <f t="shared" si="6"/>
        <v>0</v>
      </c>
    </row>
    <row r="12" spans="1:26" outlineLevel="1" x14ac:dyDescent="0.2">
      <c r="A12" s="134">
        <v>14</v>
      </c>
      <c r="B12" s="14" t="s">
        <v>116</v>
      </c>
      <c r="C12" s="14" t="s">
        <v>8</v>
      </c>
      <c r="D12" s="142" t="s">
        <v>8</v>
      </c>
      <c r="E12" s="99" t="s">
        <v>40</v>
      </c>
      <c r="F12" s="86">
        <f>VLOOKUP(B12,'2024'!$A:$O,8,0)</f>
        <v>679.3</v>
      </c>
      <c r="G12" s="86">
        <f>VLOOKUP($B12,'2025'!$A:$O,8,0)</f>
        <v>0</v>
      </c>
      <c r="H12" s="86">
        <v>0</v>
      </c>
      <c r="I12" s="125">
        <f t="shared" si="0"/>
        <v>0</v>
      </c>
      <c r="J12" s="125" t="str">
        <f t="shared" si="7"/>
        <v>-</v>
      </c>
      <c r="K12" s="86">
        <f t="shared" si="1"/>
        <v>0</v>
      </c>
      <c r="M12" s="89">
        <f>VLOOKUP(C12,'תקציב  '!$B:$S,10,0)*1</f>
        <v>0</v>
      </c>
      <c r="N12" s="125" t="str">
        <f t="shared" si="2"/>
        <v>-</v>
      </c>
      <c r="O12" s="125" t="str">
        <f t="shared" si="3"/>
        <v>-</v>
      </c>
      <c r="P12" s="89">
        <f t="shared" si="4"/>
        <v>0</v>
      </c>
      <c r="R12" s="89">
        <f>_xlfn.XLOOKUP(A12,'תקציב  '!A:A,'תקציב  '!AI:AI)</f>
        <v>5000</v>
      </c>
      <c r="S12" s="125">
        <f t="shared" si="8"/>
        <v>-1</v>
      </c>
      <c r="T12" s="125">
        <f t="shared" si="9"/>
        <v>0</v>
      </c>
      <c r="U12" s="89">
        <f t="shared" si="10"/>
        <v>-5000</v>
      </c>
      <c r="X12" s="86">
        <v>0</v>
      </c>
      <c r="Y12" s="7">
        <f t="shared" si="5"/>
        <v>0</v>
      </c>
      <c r="Z12" s="101" t="str">
        <f t="shared" si="6"/>
        <v>-</v>
      </c>
    </row>
    <row r="13" spans="1:26" outlineLevel="1" x14ac:dyDescent="0.2">
      <c r="A13" s="134">
        <v>15</v>
      </c>
      <c r="B13" s="14" t="s">
        <v>119</v>
      </c>
      <c r="C13" s="14" t="s">
        <v>151</v>
      </c>
      <c r="D13" s="142" t="s">
        <v>151</v>
      </c>
      <c r="E13" s="99" t="s">
        <v>40</v>
      </c>
      <c r="F13" s="86">
        <f>VLOOKUP(B13,'2024'!$A:$O,8,0)</f>
        <v>0</v>
      </c>
      <c r="G13" s="86">
        <f>VLOOKUP($B13,'2025'!$A:$O,8,0)</f>
        <v>0</v>
      </c>
      <c r="H13" s="86">
        <v>0</v>
      </c>
      <c r="I13" s="125">
        <f t="shared" si="0"/>
        <v>0</v>
      </c>
      <c r="J13" s="125" t="str">
        <f t="shared" si="7"/>
        <v>-</v>
      </c>
      <c r="K13" s="86">
        <f t="shared" si="1"/>
        <v>0</v>
      </c>
      <c r="M13" s="89">
        <f>VLOOKUP(C13,'תקציב  '!$B:$S,10,0)*1</f>
        <v>0</v>
      </c>
      <c r="N13" s="125" t="str">
        <f t="shared" si="2"/>
        <v>-</v>
      </c>
      <c r="O13" s="125" t="str">
        <f t="shared" si="3"/>
        <v>-</v>
      </c>
      <c r="P13" s="89">
        <f t="shared" si="4"/>
        <v>0</v>
      </c>
      <c r="R13" s="89">
        <f>_xlfn.XLOOKUP(A13,'תקציב  '!A:A,'תקציב  '!AI:AI)</f>
        <v>5000</v>
      </c>
      <c r="S13" s="125">
        <f t="shared" si="8"/>
        <v>-1</v>
      </c>
      <c r="T13" s="125">
        <f t="shared" si="9"/>
        <v>0</v>
      </c>
      <c r="U13" s="89">
        <f t="shared" si="10"/>
        <v>-5000</v>
      </c>
      <c r="X13" s="86">
        <v>0</v>
      </c>
      <c r="Y13" s="7">
        <f t="shared" si="5"/>
        <v>0</v>
      </c>
      <c r="Z13" s="101" t="str">
        <f t="shared" si="6"/>
        <v>-</v>
      </c>
    </row>
    <row r="14" spans="1:26" outlineLevel="1" x14ac:dyDescent="0.2">
      <c r="A14" s="134">
        <v>13</v>
      </c>
      <c r="B14" s="14" t="s">
        <v>114</v>
      </c>
      <c r="C14" s="14" t="s">
        <v>45</v>
      </c>
      <c r="D14" s="142" t="s">
        <v>45</v>
      </c>
      <c r="E14" s="99" t="s">
        <v>40</v>
      </c>
      <c r="F14" s="86">
        <f>VLOOKUP(B14,'2024'!$A:$O,8,0)</f>
        <v>0</v>
      </c>
      <c r="G14" s="86">
        <f>VLOOKUP($B14,'2025'!$A:$O,8,0)</f>
        <v>651.15</v>
      </c>
      <c r="H14" s="86">
        <v>478.2</v>
      </c>
      <c r="I14" s="125">
        <f t="shared" si="0"/>
        <v>2.847518160693155E-4</v>
      </c>
      <c r="J14" s="125">
        <f t="shared" si="7"/>
        <v>-0.26560700299470164</v>
      </c>
      <c r="K14" s="86">
        <f t="shared" si="1"/>
        <v>-172.95</v>
      </c>
      <c r="M14" s="89">
        <f>VLOOKUP(C14,'תקציב  '!$B:$S,10,0)*1</f>
        <v>50000</v>
      </c>
      <c r="N14" s="125">
        <f t="shared" si="2"/>
        <v>-0.99043599999999998</v>
      </c>
      <c r="O14" s="125">
        <f t="shared" si="3"/>
        <v>9.5639999999999996E-3</v>
      </c>
      <c r="P14" s="89">
        <f t="shared" si="4"/>
        <v>-49521.8</v>
      </c>
      <c r="R14" s="89">
        <f>_xlfn.XLOOKUP(A14,'תקציב  '!A:A,'תקציב  '!AI:AI)</f>
        <v>5000</v>
      </c>
      <c r="S14" s="125">
        <f t="shared" si="8"/>
        <v>-0.90436000000000005</v>
      </c>
      <c r="T14" s="125">
        <f t="shared" si="9"/>
        <v>9.5640000000000003E-2</v>
      </c>
      <c r="U14" s="89">
        <f t="shared" si="10"/>
        <v>-4521.8</v>
      </c>
      <c r="X14" s="86">
        <v>478.2</v>
      </c>
      <c r="Y14" s="7">
        <f t="shared" si="5"/>
        <v>0</v>
      </c>
      <c r="Z14" s="101">
        <f t="shared" si="6"/>
        <v>0</v>
      </c>
    </row>
    <row r="15" spans="1:26" outlineLevel="1" x14ac:dyDescent="0.2">
      <c r="A15" s="134">
        <v>9</v>
      </c>
      <c r="B15" s="14" t="s">
        <v>118</v>
      </c>
      <c r="C15" s="14" t="s">
        <v>73</v>
      </c>
      <c r="D15" s="142" t="s">
        <v>73</v>
      </c>
      <c r="E15" s="99" t="s">
        <v>40</v>
      </c>
      <c r="F15" s="86">
        <f>VLOOKUP(B15,'2024'!$A:$O,8,0)</f>
        <v>16671.18</v>
      </c>
      <c r="G15" s="86">
        <f>VLOOKUP($B15,'2025'!$A:$O,8,0)</f>
        <v>7828.72</v>
      </c>
      <c r="H15" s="86">
        <v>10025.73</v>
      </c>
      <c r="I15" s="125">
        <f t="shared" si="0"/>
        <v>5.9699808133011683E-3</v>
      </c>
      <c r="J15" s="125">
        <f t="shared" si="7"/>
        <v>0.2806346375908193</v>
      </c>
      <c r="K15" s="86">
        <f t="shared" si="1"/>
        <v>2197.0099999999993</v>
      </c>
      <c r="M15" s="89">
        <f>VLOOKUP(C15,'תקציב  '!$B:$S,10,0)*1</f>
        <v>17460.317460317459</v>
      </c>
      <c r="N15" s="125">
        <f t="shared" si="2"/>
        <v>-0.42579909999999999</v>
      </c>
      <c r="O15" s="125">
        <f t="shared" si="3"/>
        <v>0.57420090000000001</v>
      </c>
      <c r="P15" s="89">
        <f t="shared" si="4"/>
        <v>-7434.5874603174598</v>
      </c>
      <c r="R15" s="89">
        <f>_xlfn.XLOOKUP(A15,'תקציב  '!A:A,'תקציב  '!AI:AI)</f>
        <v>25000</v>
      </c>
      <c r="S15" s="125">
        <f t="shared" si="8"/>
        <v>-0.59897080000000003</v>
      </c>
      <c r="T15" s="125">
        <f t="shared" si="9"/>
        <v>0.40102919999999997</v>
      </c>
      <c r="U15" s="89">
        <f t="shared" si="10"/>
        <v>-14974.27</v>
      </c>
      <c r="X15" s="86">
        <v>10025.73</v>
      </c>
      <c r="Y15" s="7">
        <f t="shared" si="5"/>
        <v>0</v>
      </c>
      <c r="Z15" s="101">
        <f t="shared" si="6"/>
        <v>0</v>
      </c>
    </row>
    <row r="16" spans="1:26" s="143" customFormat="1" ht="15" x14ac:dyDescent="0.25">
      <c r="A16" s="136"/>
      <c r="B16" s="128"/>
      <c r="C16" s="128"/>
      <c r="D16" s="150" t="s">
        <v>221</v>
      </c>
      <c r="E16" s="151"/>
      <c r="F16" s="152">
        <f>SUM(F3:F15)</f>
        <v>1504291.2290000001</v>
      </c>
      <c r="G16" s="152">
        <f>SUM(G3:G15)</f>
        <v>1382050.610000005</v>
      </c>
      <c r="H16" s="152">
        <f>SUM(H3:H15)</f>
        <v>1279597.0860000001</v>
      </c>
      <c r="I16" s="153">
        <f t="shared" si="0"/>
        <v>0.76195649116583886</v>
      </c>
      <c r="J16" s="153">
        <f t="shared" si="7"/>
        <v>-7.4131528367115673E-2</v>
      </c>
      <c r="K16" s="152">
        <f>SUM(K3:K15)</f>
        <v>-102453.52400000485</v>
      </c>
      <c r="M16" s="152">
        <f>SUM(M3:M15)</f>
        <v>1832388.8888888888</v>
      </c>
      <c r="N16" s="153">
        <f t="shared" si="2"/>
        <v>-0.30167821156353258</v>
      </c>
      <c r="O16" s="153">
        <f t="shared" si="3"/>
        <v>0.69832178843646742</v>
      </c>
      <c r="P16" s="152">
        <f>SUM(P3:P15)</f>
        <v>-552791.80288888875</v>
      </c>
      <c r="R16" s="152">
        <f>SUM(R3:R15)</f>
        <v>1645000</v>
      </c>
      <c r="S16" s="153">
        <f t="shared" si="8"/>
        <v>-0.22212943100303939</v>
      </c>
      <c r="T16" s="153">
        <f t="shared" si="9"/>
        <v>0.77787056899696061</v>
      </c>
      <c r="U16" s="152">
        <f t="shared" si="10"/>
        <v>-365402.91399999987</v>
      </c>
      <c r="X16" s="152">
        <f>SUM(X3:X15)</f>
        <v>1263849.4539999999</v>
      </c>
      <c r="Y16" s="144">
        <f t="shared" si="5"/>
        <v>15747.632000000216</v>
      </c>
      <c r="Z16" s="145">
        <f t="shared" si="6"/>
        <v>1.2460053648130298E-2</v>
      </c>
    </row>
    <row r="17" spans="1:26" outlineLevel="1" x14ac:dyDescent="0.2">
      <c r="A17" s="134">
        <v>2</v>
      </c>
      <c r="B17" s="99" t="s">
        <v>111</v>
      </c>
      <c r="C17" s="99" t="s">
        <v>7</v>
      </c>
      <c r="D17" s="142" t="s">
        <v>7</v>
      </c>
      <c r="E17" s="99" t="s">
        <v>40</v>
      </c>
      <c r="F17" s="86">
        <f>VLOOKUP(B17,'2024'!$A:$O,8,0)</f>
        <v>56033.810000000049</v>
      </c>
      <c r="G17" s="86">
        <f>VLOOKUP($B17,'2025'!$A:$O,8,0)</f>
        <v>163496.61999999839</v>
      </c>
      <c r="H17" s="86">
        <v>398018.32999999699</v>
      </c>
      <c r="I17" s="125">
        <f t="shared" si="0"/>
        <v>0.23700636197485417</v>
      </c>
      <c r="J17" s="125">
        <f t="shared" si="7"/>
        <v>1.4344132007132679</v>
      </c>
      <c r="K17" s="86">
        <f>H17-G17</f>
        <v>234521.70999999859</v>
      </c>
      <c r="M17" s="89">
        <f>VLOOKUP(C17,'תקציב  '!$B:$S,10,0)*1</f>
        <v>977100.84745762718</v>
      </c>
      <c r="N17" s="125">
        <f t="shared" si="2"/>
        <v>-0.59265378692934001</v>
      </c>
      <c r="O17" s="125">
        <f t="shared" si="3"/>
        <v>0.40734621307065993</v>
      </c>
      <c r="P17" s="89">
        <f>H17-M17</f>
        <v>-579082.51745763025</v>
      </c>
      <c r="R17" s="89">
        <f>_xlfn.XLOOKUP(A17,'תקציב  '!A:A,'תקציב  '!AI:AI)</f>
        <v>450000</v>
      </c>
      <c r="S17" s="125">
        <f t="shared" si="8"/>
        <v>-0.11551482222222886</v>
      </c>
      <c r="T17" s="125">
        <f t="shared" si="9"/>
        <v>0.88448517777777114</v>
      </c>
      <c r="U17" s="89">
        <f t="shared" si="10"/>
        <v>-51981.670000003011</v>
      </c>
      <c r="X17" s="86">
        <v>398018.32999999699</v>
      </c>
      <c r="Y17" s="7">
        <f t="shared" si="5"/>
        <v>0</v>
      </c>
      <c r="Z17" s="101">
        <f t="shared" si="6"/>
        <v>0</v>
      </c>
    </row>
    <row r="18" spans="1:26" outlineLevel="1" x14ac:dyDescent="0.2">
      <c r="A18" s="134">
        <v>12</v>
      </c>
      <c r="B18" s="99" t="s">
        <v>110</v>
      </c>
      <c r="C18" s="99" t="s">
        <v>65</v>
      </c>
      <c r="D18" s="142" t="s">
        <v>65</v>
      </c>
      <c r="E18" s="99" t="s">
        <v>40</v>
      </c>
      <c r="F18" s="86">
        <f>VLOOKUP(B18,'2024'!$A:$O,8,0)</f>
        <v>1788.0299999999997</v>
      </c>
      <c r="G18" s="86">
        <f>VLOOKUP($B18,'2025'!$A:$O,8,0)</f>
        <v>1318.1200000000001</v>
      </c>
      <c r="H18" s="86">
        <v>1741.74</v>
      </c>
      <c r="I18" s="125">
        <f t="shared" si="0"/>
        <v>1.0371468593069211E-3</v>
      </c>
      <c r="J18" s="125">
        <f t="shared" si="7"/>
        <v>0.32138196825782162</v>
      </c>
      <c r="K18" s="86">
        <f>H18-G18</f>
        <v>423.61999999999989</v>
      </c>
      <c r="M18" s="89">
        <f>VLOOKUP(C18,'תקציב  '!$B:$S,10,0)*1</f>
        <v>2536.9283333333324</v>
      </c>
      <c r="N18" s="125">
        <f t="shared" si="2"/>
        <v>-0.31344532791295487</v>
      </c>
      <c r="O18" s="125">
        <f t="shared" si="3"/>
        <v>0.68655467208704513</v>
      </c>
      <c r="P18" s="89">
        <f>H18-M18</f>
        <v>-795.18833333333237</v>
      </c>
      <c r="R18" s="89">
        <f>_xlfn.XLOOKUP(A18,'תקציב  '!A:A,'תקציב  '!AI:AI)</f>
        <v>5000</v>
      </c>
      <c r="S18" s="125">
        <f t="shared" si="8"/>
        <v>-0.65165200000000001</v>
      </c>
      <c r="T18" s="125">
        <f t="shared" si="9"/>
        <v>0.34834799999999999</v>
      </c>
      <c r="U18" s="89">
        <f t="shared" si="10"/>
        <v>-3258.26</v>
      </c>
      <c r="X18" s="86">
        <v>1741.74</v>
      </c>
      <c r="Y18" s="7">
        <f t="shared" si="5"/>
        <v>0</v>
      </c>
      <c r="Z18" s="101">
        <f t="shared" si="6"/>
        <v>0</v>
      </c>
    </row>
    <row r="19" spans="1:26" s="143" customFormat="1" ht="15" x14ac:dyDescent="0.25">
      <c r="A19" s="135"/>
      <c r="B19" s="129"/>
      <c r="C19" s="129"/>
      <c r="D19" s="154" t="s">
        <v>41</v>
      </c>
      <c r="E19" s="155"/>
      <c r="F19" s="152">
        <f>F16+F17+F18</f>
        <v>1562113.0690000001</v>
      </c>
      <c r="G19" s="152">
        <f>G16+G17+G18</f>
        <v>1546865.3500000036</v>
      </c>
      <c r="H19" s="152">
        <f>H16+H17+H18</f>
        <v>1679357.1559999972</v>
      </c>
      <c r="I19" s="153">
        <f>H19/$H$41</f>
        <v>0.76817283129015024</v>
      </c>
      <c r="J19" s="153">
        <f t="shared" si="7"/>
        <v>8.5651802854070924E-2</v>
      </c>
      <c r="K19" s="152">
        <f>K16+K17+K18</f>
        <v>132491.80599999375</v>
      </c>
      <c r="M19" s="152">
        <f>M16+M17+M18</f>
        <v>2812026.6646798491</v>
      </c>
      <c r="N19" s="153">
        <f t="shared" si="2"/>
        <v>-0.402794725564527</v>
      </c>
      <c r="O19" s="153">
        <f t="shared" si="3"/>
        <v>0.597205274435473</v>
      </c>
      <c r="P19" s="152">
        <f>P16+P17+P18</f>
        <v>-1132669.5086798521</v>
      </c>
      <c r="R19" s="152">
        <f>R16+R17+R18</f>
        <v>2100000</v>
      </c>
      <c r="S19" s="153">
        <f t="shared" si="8"/>
        <v>-0.20030611619047756</v>
      </c>
      <c r="T19" s="153">
        <f t="shared" si="9"/>
        <v>0.79969388380952244</v>
      </c>
      <c r="U19" s="152">
        <f t="shared" si="10"/>
        <v>-420642.84400000283</v>
      </c>
      <c r="X19" s="152">
        <f>X16+X17+X18</f>
        <v>1663609.5239999969</v>
      </c>
      <c r="Y19" s="144">
        <f t="shared" si="5"/>
        <v>15747.632000000216</v>
      </c>
      <c r="Z19" s="145">
        <f t="shared" si="6"/>
        <v>9.4659424419116789E-3</v>
      </c>
    </row>
    <row r="20" spans="1:26" outlineLevel="1" x14ac:dyDescent="0.2">
      <c r="A20" s="135">
        <v>50</v>
      </c>
      <c r="B20" s="131" t="s">
        <v>92</v>
      </c>
      <c r="C20" s="131" t="s">
        <v>74</v>
      </c>
      <c r="D20" s="132" t="s">
        <v>47</v>
      </c>
      <c r="E20" s="99" t="s">
        <v>38</v>
      </c>
      <c r="F20" s="86">
        <f>VLOOKUP(B20,'2024'!$A:$O,8,0)</f>
        <v>316462.25</v>
      </c>
      <c r="G20" s="86">
        <f>VLOOKUP($B20,'2025'!$A:$O,8,0)</f>
        <v>353503.85</v>
      </c>
      <c r="H20" s="86">
        <v>223994.55000000002</v>
      </c>
      <c r="I20" s="125">
        <f t="shared" ref="I20:I39" si="11">H20/$H$40</f>
        <v>0.44196613577020971</v>
      </c>
      <c r="J20" s="125">
        <f t="shared" si="7"/>
        <v>-0.36635895196049484</v>
      </c>
      <c r="K20" s="86">
        <f t="shared" ref="K20:K39" si="12">H20-G20</f>
        <v>-129509.29999999996</v>
      </c>
      <c r="M20" s="89">
        <f>VLOOKUP(C20,'תקציב  '!$B:$S,10,0)*1</f>
        <v>461212.91617500002</v>
      </c>
      <c r="N20" s="125">
        <f t="shared" si="2"/>
        <v>-0.51433591266769985</v>
      </c>
      <c r="O20" s="125">
        <f t="shared" si="3"/>
        <v>0.4856640873323001</v>
      </c>
      <c r="P20" s="89">
        <f t="shared" ref="P20:P39" si="13">H20-M20</f>
        <v>-237218.366175</v>
      </c>
      <c r="R20" s="89">
        <f>_xlfn.XLOOKUP(A20,'תקציב  '!A:A,'תקציב  '!AI:AI)</f>
        <v>265966.8</v>
      </c>
      <c r="S20" s="125">
        <f t="shared" si="8"/>
        <v>-0.15781011013404667</v>
      </c>
      <c r="T20" s="125">
        <f t="shared" si="9"/>
        <v>0.84218988986595333</v>
      </c>
      <c r="U20" s="89">
        <f t="shared" si="10"/>
        <v>-41972.249999999971</v>
      </c>
      <c r="X20" s="86">
        <v>223994.55000000002</v>
      </c>
      <c r="Y20" s="7">
        <f t="shared" si="5"/>
        <v>0</v>
      </c>
      <c r="Z20" s="101">
        <f t="shared" si="6"/>
        <v>0</v>
      </c>
    </row>
    <row r="21" spans="1:26" outlineLevel="1" x14ac:dyDescent="0.2">
      <c r="A21" s="135">
        <v>20</v>
      </c>
      <c r="B21" s="131" t="s">
        <v>93</v>
      </c>
      <c r="C21" s="131" t="s">
        <v>75</v>
      </c>
      <c r="D21" s="132" t="s">
        <v>13</v>
      </c>
      <c r="E21" s="99" t="s">
        <v>39</v>
      </c>
      <c r="F21" s="86">
        <f>VLOOKUP(B21,'2024'!$A:$O,8,0)</f>
        <v>143527.76999999999</v>
      </c>
      <c r="G21" s="86">
        <f>VLOOKUP($B21,'2025'!$A:$O,8,0)</f>
        <v>187405.66</v>
      </c>
      <c r="H21" s="86">
        <v>0</v>
      </c>
      <c r="I21" s="125">
        <f t="shared" si="11"/>
        <v>0</v>
      </c>
      <c r="J21" s="125">
        <f t="shared" si="7"/>
        <v>-1</v>
      </c>
      <c r="K21" s="86">
        <f t="shared" si="12"/>
        <v>-187405.66</v>
      </c>
      <c r="M21" s="89">
        <f>VLOOKUP(C21,'תקציב  '!$B:$S,10,0)*1</f>
        <v>205800</v>
      </c>
      <c r="N21" s="125">
        <f t="shared" si="2"/>
        <v>-1</v>
      </c>
      <c r="O21" s="125">
        <f t="shared" si="3"/>
        <v>0</v>
      </c>
      <c r="P21" s="89">
        <f t="shared" si="13"/>
        <v>-205800</v>
      </c>
      <c r="R21" s="89">
        <f>_xlfn.XLOOKUP(A21,'תקציב  '!A:A,'תקציב  '!AI:AI)</f>
        <v>0</v>
      </c>
      <c r="S21" s="125" t="str">
        <f t="shared" si="8"/>
        <v>-</v>
      </c>
      <c r="T21" s="125" t="str">
        <f t="shared" si="9"/>
        <v>-</v>
      </c>
      <c r="U21" s="89">
        <f t="shared" si="10"/>
        <v>0</v>
      </c>
      <c r="X21" s="86">
        <v>0</v>
      </c>
      <c r="Y21" s="7">
        <f t="shared" si="5"/>
        <v>0</v>
      </c>
      <c r="Z21" s="101" t="str">
        <f t="shared" si="6"/>
        <v>-</v>
      </c>
    </row>
    <row r="22" spans="1:26" outlineLevel="1" x14ac:dyDescent="0.2">
      <c r="A22" s="135">
        <v>21</v>
      </c>
      <c r="B22" s="131" t="s">
        <v>94</v>
      </c>
      <c r="C22" s="131" t="s">
        <v>80</v>
      </c>
      <c r="D22" s="132" t="s">
        <v>18</v>
      </c>
      <c r="E22" s="99" t="s">
        <v>19</v>
      </c>
      <c r="F22" s="86">
        <f>VLOOKUP(B22,'2024'!$A:$O,8,0)</f>
        <v>61466.820000000007</v>
      </c>
      <c r="G22" s="86">
        <f>VLOOKUP($B22,'2025'!$A:$O,8,0)</f>
        <v>194396.85</v>
      </c>
      <c r="H22" s="86">
        <v>0</v>
      </c>
      <c r="I22" s="125">
        <f t="shared" si="11"/>
        <v>0</v>
      </c>
      <c r="J22" s="125">
        <f t="shared" si="7"/>
        <v>-1</v>
      </c>
      <c r="K22" s="86">
        <f t="shared" si="12"/>
        <v>-194396.85</v>
      </c>
      <c r="M22" s="89">
        <f>VLOOKUP(C22,'תקציב  '!$B:$S,10,0)*1</f>
        <v>13390</v>
      </c>
      <c r="N22" s="125">
        <f t="shared" si="2"/>
        <v>-1</v>
      </c>
      <c r="O22" s="125">
        <f t="shared" si="3"/>
        <v>0</v>
      </c>
      <c r="P22" s="89">
        <f t="shared" si="13"/>
        <v>-13390</v>
      </c>
      <c r="R22" s="89">
        <f>_xlfn.XLOOKUP(A22,'תקציב  '!A:A,'תקציב  '!AI:AI)</f>
        <v>0</v>
      </c>
      <c r="S22" s="125" t="str">
        <f t="shared" si="8"/>
        <v>-</v>
      </c>
      <c r="T22" s="125" t="str">
        <f t="shared" si="9"/>
        <v>-</v>
      </c>
      <c r="U22" s="89">
        <f t="shared" si="10"/>
        <v>0</v>
      </c>
      <c r="X22" s="86">
        <v>0</v>
      </c>
      <c r="Y22" s="7">
        <f t="shared" si="5"/>
        <v>0</v>
      </c>
      <c r="Z22" s="101" t="str">
        <f t="shared" si="6"/>
        <v>-</v>
      </c>
    </row>
    <row r="23" spans="1:26" outlineLevel="1" x14ac:dyDescent="0.2">
      <c r="A23" s="135">
        <v>22</v>
      </c>
      <c r="B23" s="131" t="s">
        <v>95</v>
      </c>
      <c r="C23" s="131" t="s">
        <v>82</v>
      </c>
      <c r="D23" s="132" t="s">
        <v>14</v>
      </c>
      <c r="E23" s="99" t="s">
        <v>15</v>
      </c>
      <c r="F23" s="86">
        <f>VLOOKUP(B23,'2024'!$A:$O,8,0)</f>
        <v>90587.54</v>
      </c>
      <c r="G23" s="86">
        <f>VLOOKUP($B23,'2025'!$A:$O,8,0)</f>
        <v>87907.48</v>
      </c>
      <c r="H23" s="86">
        <v>0</v>
      </c>
      <c r="I23" s="125">
        <f t="shared" si="11"/>
        <v>0</v>
      </c>
      <c r="J23" s="125">
        <f t="shared" si="7"/>
        <v>-1</v>
      </c>
      <c r="K23" s="86">
        <f t="shared" si="12"/>
        <v>-87907.48</v>
      </c>
      <c r="M23" s="89">
        <f>VLOOKUP(C23,'תקציב  '!$B:$S,10,0)*1</f>
        <v>85000</v>
      </c>
      <c r="N23" s="125">
        <f t="shared" si="2"/>
        <v>-1</v>
      </c>
      <c r="O23" s="125">
        <f t="shared" si="3"/>
        <v>0</v>
      </c>
      <c r="P23" s="89">
        <f t="shared" si="13"/>
        <v>-85000</v>
      </c>
      <c r="R23" s="89">
        <f>_xlfn.XLOOKUP(A23,'תקציב  '!A:A,'תקציב  '!AI:AI)</f>
        <v>0</v>
      </c>
      <c r="S23" s="125" t="str">
        <f t="shared" si="8"/>
        <v>-</v>
      </c>
      <c r="T23" s="125" t="str">
        <f t="shared" si="9"/>
        <v>-</v>
      </c>
      <c r="U23" s="89">
        <f t="shared" si="10"/>
        <v>0</v>
      </c>
      <c r="X23" s="86">
        <v>0</v>
      </c>
      <c r="Y23" s="7">
        <f t="shared" si="5"/>
        <v>0</v>
      </c>
      <c r="Z23" s="101" t="str">
        <f t="shared" si="6"/>
        <v>-</v>
      </c>
    </row>
    <row r="24" spans="1:26" outlineLevel="1" x14ac:dyDescent="0.2">
      <c r="A24" s="135">
        <v>23</v>
      </c>
      <c r="B24" s="131" t="s">
        <v>96</v>
      </c>
      <c r="C24" s="131" t="s">
        <v>78</v>
      </c>
      <c r="D24" s="132" t="s">
        <v>24</v>
      </c>
      <c r="E24" s="99" t="s">
        <v>25</v>
      </c>
      <c r="F24" s="86">
        <f>VLOOKUP(B24,'2024'!$A:$O,8,0)</f>
        <v>16222.13</v>
      </c>
      <c r="G24" s="86">
        <f>VLOOKUP($B24,'2025'!$A:$O,8,0)</f>
        <v>30796.16</v>
      </c>
      <c r="H24" s="86">
        <v>19451.36</v>
      </c>
      <c r="I24" s="125">
        <f t="shared" si="11"/>
        <v>3.8379694571476074E-2</v>
      </c>
      <c r="J24" s="125">
        <f t="shared" si="7"/>
        <v>-0.36838359068143556</v>
      </c>
      <c r="K24" s="86">
        <f t="shared" si="12"/>
        <v>-11344.8</v>
      </c>
      <c r="M24" s="89">
        <f>VLOOKUP(C24,'תקציב  '!$B:$S,10,0)*1</f>
        <v>17000</v>
      </c>
      <c r="N24" s="125">
        <f t="shared" si="2"/>
        <v>0.14419764705882354</v>
      </c>
      <c r="O24" s="125">
        <f t="shared" si="3"/>
        <v>1.1441976470588235</v>
      </c>
      <c r="P24" s="89">
        <f t="shared" si="13"/>
        <v>2451.3600000000006</v>
      </c>
      <c r="R24" s="89">
        <f>_xlfn.XLOOKUP(A24,'תקציב  '!A:A,'תקציב  '!AI:AI)</f>
        <v>20000</v>
      </c>
      <c r="S24" s="125">
        <f t="shared" si="8"/>
        <v>-2.7432000000000012E-2</v>
      </c>
      <c r="T24" s="125">
        <f t="shared" si="9"/>
        <v>0.97256799999999999</v>
      </c>
      <c r="U24" s="89">
        <f t="shared" si="10"/>
        <v>-548.63999999999942</v>
      </c>
      <c r="X24" s="86">
        <v>19451.36</v>
      </c>
      <c r="Y24" s="7">
        <f t="shared" si="5"/>
        <v>0</v>
      </c>
      <c r="Z24" s="101">
        <f t="shared" si="6"/>
        <v>0</v>
      </c>
    </row>
    <row r="25" spans="1:26" outlineLevel="1" x14ac:dyDescent="0.2">
      <c r="A25" s="135">
        <v>24</v>
      </c>
      <c r="B25" s="131" t="s">
        <v>97</v>
      </c>
      <c r="C25" s="131" t="s">
        <v>79</v>
      </c>
      <c r="D25" s="132" t="s">
        <v>27</v>
      </c>
      <c r="E25" s="99" t="s">
        <v>46</v>
      </c>
      <c r="F25" s="86">
        <f>VLOOKUP(B25,'2024'!$A:$O,8,0)</f>
        <v>0</v>
      </c>
      <c r="G25" s="86">
        <f>VLOOKUP($B25,'2025'!$A:$O,8,0)</f>
        <v>0</v>
      </c>
      <c r="H25" s="86">
        <v>0</v>
      </c>
      <c r="I25" s="125">
        <f t="shared" si="11"/>
        <v>0</v>
      </c>
      <c r="J25" s="125" t="str">
        <f t="shared" si="7"/>
        <v>-</v>
      </c>
      <c r="K25" s="86">
        <f t="shared" si="12"/>
        <v>0</v>
      </c>
      <c r="M25" s="89">
        <f>VLOOKUP(C25,'תקציב  '!$B:$S,10,0)*1</f>
        <v>5000</v>
      </c>
      <c r="N25" s="125">
        <f t="shared" si="2"/>
        <v>-1</v>
      </c>
      <c r="O25" s="125">
        <f t="shared" si="3"/>
        <v>0</v>
      </c>
      <c r="P25" s="89">
        <f t="shared" si="13"/>
        <v>-5000</v>
      </c>
      <c r="R25" s="89">
        <f>_xlfn.XLOOKUP(A25,'תקציב  '!A:A,'תקציב  '!AI:AI)</f>
        <v>0</v>
      </c>
      <c r="S25" s="125" t="str">
        <f t="shared" si="8"/>
        <v>-</v>
      </c>
      <c r="T25" s="125" t="str">
        <f t="shared" si="9"/>
        <v>-</v>
      </c>
      <c r="U25" s="89">
        <f t="shared" si="10"/>
        <v>0</v>
      </c>
      <c r="X25" s="86">
        <v>0</v>
      </c>
      <c r="Y25" s="7">
        <f t="shared" si="5"/>
        <v>0</v>
      </c>
      <c r="Z25" s="101" t="str">
        <f t="shared" si="6"/>
        <v>-</v>
      </c>
    </row>
    <row r="26" spans="1:26" ht="13.5" customHeight="1" outlineLevel="1" x14ac:dyDescent="0.2">
      <c r="A26" s="135">
        <v>25</v>
      </c>
      <c r="B26" s="131" t="s">
        <v>98</v>
      </c>
      <c r="C26" s="131" t="s">
        <v>87</v>
      </c>
      <c r="D26" s="132" t="s">
        <v>20</v>
      </c>
      <c r="E26" s="99" t="s">
        <v>21</v>
      </c>
      <c r="F26" s="86">
        <f>VLOOKUP(B26,'2024'!$A:$O,8,0)</f>
        <v>0</v>
      </c>
      <c r="G26" s="86">
        <f>VLOOKUP($B26,'2025'!$A:$O,8,0)</f>
        <v>0</v>
      </c>
      <c r="H26" s="86">
        <v>221407.78</v>
      </c>
      <c r="I26" s="125">
        <f t="shared" si="11"/>
        <v>0.43686215113743043</v>
      </c>
      <c r="J26" s="125" t="str">
        <f t="shared" si="7"/>
        <v>-</v>
      </c>
      <c r="K26" s="86">
        <f t="shared" si="12"/>
        <v>221407.78</v>
      </c>
      <c r="M26" s="89">
        <f>VLOOKUP(C26,'תקציב  '!$B:$S,10,0)*1</f>
        <v>150000</v>
      </c>
      <c r="N26" s="125">
        <f t="shared" si="2"/>
        <v>0.47605186666666666</v>
      </c>
      <c r="O26" s="125">
        <f t="shared" si="3"/>
        <v>1.4760518666666667</v>
      </c>
      <c r="P26" s="89">
        <f t="shared" si="13"/>
        <v>71407.78</v>
      </c>
      <c r="R26" s="89">
        <f>_xlfn.XLOOKUP(A26,'תקציב  '!A:A,'תקציב  '!AI:AI)</f>
        <v>240000</v>
      </c>
      <c r="S26" s="125">
        <f t="shared" si="8"/>
        <v>-7.7467583333333367E-2</v>
      </c>
      <c r="T26" s="125">
        <f t="shared" si="9"/>
        <v>0.92253241666666663</v>
      </c>
      <c r="U26" s="89">
        <f t="shared" si="10"/>
        <v>-18592.22</v>
      </c>
      <c r="X26" s="86">
        <v>221407.78</v>
      </c>
      <c r="Y26" s="7">
        <f t="shared" si="5"/>
        <v>0</v>
      </c>
      <c r="Z26" s="101">
        <f t="shared" si="6"/>
        <v>0</v>
      </c>
    </row>
    <row r="27" spans="1:26" outlineLevel="1" x14ac:dyDescent="0.2">
      <c r="A27" s="135">
        <v>26</v>
      </c>
      <c r="B27" s="131" t="s">
        <v>99</v>
      </c>
      <c r="C27" s="131" t="s">
        <v>77</v>
      </c>
      <c r="D27" s="132" t="s">
        <v>26</v>
      </c>
      <c r="E27" s="99" t="s">
        <v>28</v>
      </c>
      <c r="F27" s="86">
        <f>VLOOKUP(B27,'2024'!$A:$O,8,0)</f>
        <v>609.99</v>
      </c>
      <c r="G27" s="86">
        <f>VLOOKUP($B27,'2025'!$A:$O,8,0)</f>
        <v>31010.799999999999</v>
      </c>
      <c r="H27" s="86">
        <v>0</v>
      </c>
      <c r="I27" s="125">
        <f t="shared" si="11"/>
        <v>0</v>
      </c>
      <c r="J27" s="125">
        <f t="shared" si="7"/>
        <v>-1</v>
      </c>
      <c r="K27" s="86">
        <f t="shared" si="12"/>
        <v>-31010.799999999999</v>
      </c>
      <c r="M27" s="89">
        <f>VLOOKUP(C27,'תקציב  '!$B:$S,10,0)*1</f>
        <v>0</v>
      </c>
      <c r="N27" s="125" t="str">
        <f t="shared" si="2"/>
        <v>-</v>
      </c>
      <c r="O27" s="125" t="str">
        <f t="shared" si="3"/>
        <v>-</v>
      </c>
      <c r="P27" s="89">
        <f t="shared" si="13"/>
        <v>0</v>
      </c>
      <c r="R27" s="89">
        <f>_xlfn.XLOOKUP(A27,'תקציב  '!A:A,'תקציב  '!AI:AI)</f>
        <v>0</v>
      </c>
      <c r="S27" s="125" t="str">
        <f t="shared" si="8"/>
        <v>-</v>
      </c>
      <c r="T27" s="125" t="str">
        <f t="shared" si="9"/>
        <v>-</v>
      </c>
      <c r="U27" s="89">
        <f t="shared" si="10"/>
        <v>0</v>
      </c>
      <c r="X27" s="86">
        <v>0</v>
      </c>
      <c r="Y27" s="7">
        <f t="shared" si="5"/>
        <v>0</v>
      </c>
      <c r="Z27" s="101" t="str">
        <f t="shared" si="6"/>
        <v>-</v>
      </c>
    </row>
    <row r="28" spans="1:26" ht="13.5" customHeight="1" outlineLevel="1" x14ac:dyDescent="0.2">
      <c r="A28" s="135">
        <v>27</v>
      </c>
      <c r="B28" s="131" t="s">
        <v>100</v>
      </c>
      <c r="C28" s="131" t="s">
        <v>88</v>
      </c>
      <c r="D28" s="132" t="s">
        <v>22</v>
      </c>
      <c r="E28" s="99" t="s">
        <v>23</v>
      </c>
      <c r="F28" s="86">
        <f>VLOOKUP(B28,'2024'!$A:$O,8,0)</f>
        <v>0</v>
      </c>
      <c r="G28" s="86">
        <f>VLOOKUP($B28,'2025'!$A:$O,8,0)</f>
        <v>0</v>
      </c>
      <c r="H28" s="86">
        <v>0</v>
      </c>
      <c r="I28" s="125">
        <f t="shared" si="11"/>
        <v>0</v>
      </c>
      <c r="J28" s="125" t="str">
        <f t="shared" si="7"/>
        <v>-</v>
      </c>
      <c r="K28" s="86">
        <f t="shared" si="12"/>
        <v>0</v>
      </c>
      <c r="M28" s="89">
        <f>VLOOKUP(C28,'תקציב  '!$B:$S,10,0)*1</f>
        <v>0</v>
      </c>
      <c r="N28" s="125" t="str">
        <f t="shared" si="2"/>
        <v>-</v>
      </c>
      <c r="O28" s="125" t="str">
        <f t="shared" si="3"/>
        <v>-</v>
      </c>
      <c r="P28" s="89">
        <f t="shared" si="13"/>
        <v>0</v>
      </c>
      <c r="R28" s="89">
        <f>_xlfn.XLOOKUP(A28,'תקציב  '!A:A,'תקציב  '!AI:AI)</f>
        <v>0</v>
      </c>
      <c r="S28" s="125" t="str">
        <f t="shared" si="8"/>
        <v>-</v>
      </c>
      <c r="T28" s="125" t="str">
        <f t="shared" si="9"/>
        <v>-</v>
      </c>
      <c r="U28" s="89">
        <f t="shared" si="10"/>
        <v>0</v>
      </c>
      <c r="X28" s="86">
        <v>0</v>
      </c>
      <c r="Y28" s="7">
        <f t="shared" si="5"/>
        <v>0</v>
      </c>
      <c r="Z28" s="101" t="str">
        <f t="shared" si="6"/>
        <v>-</v>
      </c>
    </row>
    <row r="29" spans="1:26" ht="13.5" customHeight="1" outlineLevel="1" x14ac:dyDescent="0.2">
      <c r="A29" s="135">
        <v>28</v>
      </c>
      <c r="B29" s="131" t="s">
        <v>101</v>
      </c>
      <c r="C29" s="131" t="s">
        <v>89</v>
      </c>
      <c r="D29" s="132" t="s">
        <v>16</v>
      </c>
      <c r="E29" s="99" t="s">
        <v>17</v>
      </c>
      <c r="F29" s="86">
        <f>VLOOKUP(B29,'2024'!$A:$O,8,0)</f>
        <v>27604.14</v>
      </c>
      <c r="G29" s="86">
        <f>VLOOKUP($B29,'2025'!$A:$O,8,0)</f>
        <v>56344.520000000011</v>
      </c>
      <c r="H29" s="86">
        <v>41960.14</v>
      </c>
      <c r="I29" s="125">
        <f t="shared" si="11"/>
        <v>8.2792018520883678E-2</v>
      </c>
      <c r="J29" s="125">
        <f t="shared" si="7"/>
        <v>-0.25529332754986656</v>
      </c>
      <c r="K29" s="86">
        <f t="shared" si="12"/>
        <v>-14384.380000000012</v>
      </c>
      <c r="M29" s="89">
        <f>VLOOKUP(C29,'תקציב  '!$B:$S,10,0)*1</f>
        <v>39765.076000000001</v>
      </c>
      <c r="N29" s="125">
        <f t="shared" si="2"/>
        <v>5.5200799817407553E-2</v>
      </c>
      <c r="O29" s="125">
        <f t="shared" si="3"/>
        <v>1.0552007998174076</v>
      </c>
      <c r="P29" s="89">
        <f t="shared" si="13"/>
        <v>2195.0639999999985</v>
      </c>
      <c r="R29" s="89">
        <f>_xlfn.XLOOKUP(A29,'תקציב  '!A:A,'תקציב  '!AI:AI)</f>
        <v>40000</v>
      </c>
      <c r="S29" s="125">
        <f t="shared" si="8"/>
        <v>4.9003499999999978E-2</v>
      </c>
      <c r="T29" s="125">
        <f t="shared" si="9"/>
        <v>1.0490035</v>
      </c>
      <c r="U29" s="89">
        <f t="shared" si="10"/>
        <v>1960.1399999999994</v>
      </c>
      <c r="X29" s="86">
        <v>41960.14</v>
      </c>
      <c r="Y29" s="7">
        <f t="shared" si="5"/>
        <v>0</v>
      </c>
      <c r="Z29" s="101">
        <f t="shared" si="6"/>
        <v>0</v>
      </c>
    </row>
    <row r="30" spans="1:26" outlineLevel="1" x14ac:dyDescent="0.2">
      <c r="A30" s="135">
        <v>29</v>
      </c>
      <c r="B30" s="131" t="s">
        <v>102</v>
      </c>
      <c r="C30" s="131" t="s">
        <v>81</v>
      </c>
      <c r="D30" s="132" t="s">
        <v>29</v>
      </c>
      <c r="E30" s="99" t="s">
        <v>30</v>
      </c>
      <c r="F30" s="86">
        <f>VLOOKUP(B30,'2024'!$A:$O,8,0)</f>
        <v>0</v>
      </c>
      <c r="G30" s="86">
        <f>VLOOKUP($B30,'2025'!$A:$O,8,0)</f>
        <v>0</v>
      </c>
      <c r="H30" s="86">
        <v>0</v>
      </c>
      <c r="I30" s="125">
        <f t="shared" si="11"/>
        <v>0</v>
      </c>
      <c r="J30" s="125" t="str">
        <f t="shared" si="7"/>
        <v>-</v>
      </c>
      <c r="K30" s="86">
        <f t="shared" si="12"/>
        <v>0</v>
      </c>
      <c r="M30" s="89">
        <f>VLOOKUP(C30,'תקציב  '!$B:$S,10,0)*1</f>
        <v>0</v>
      </c>
      <c r="N30" s="125" t="str">
        <f t="shared" si="2"/>
        <v>-</v>
      </c>
      <c r="O30" s="125" t="str">
        <f t="shared" si="3"/>
        <v>-</v>
      </c>
      <c r="P30" s="89">
        <f t="shared" si="13"/>
        <v>0</v>
      </c>
      <c r="R30" s="89">
        <f>_xlfn.XLOOKUP(A30,'תקציב  '!A:A,'תקציב  '!AI:AI)</f>
        <v>0</v>
      </c>
      <c r="S30" s="125" t="str">
        <f t="shared" si="8"/>
        <v>-</v>
      </c>
      <c r="T30" s="125" t="str">
        <f t="shared" si="9"/>
        <v>-</v>
      </c>
      <c r="U30" s="89">
        <f t="shared" si="10"/>
        <v>0</v>
      </c>
      <c r="X30" s="86">
        <v>0</v>
      </c>
      <c r="Y30" s="7">
        <f t="shared" si="5"/>
        <v>0</v>
      </c>
      <c r="Z30" s="101" t="str">
        <f t="shared" si="6"/>
        <v>-</v>
      </c>
    </row>
    <row r="31" spans="1:26" outlineLevel="1" x14ac:dyDescent="0.2">
      <c r="A31" s="135">
        <v>30</v>
      </c>
      <c r="B31" s="131" t="s">
        <v>103</v>
      </c>
      <c r="C31" s="131" t="s">
        <v>76</v>
      </c>
      <c r="D31" s="132" t="s">
        <v>34</v>
      </c>
      <c r="E31" s="99" t="s">
        <v>30</v>
      </c>
      <c r="F31" s="86">
        <f>VLOOKUP(B31,'2024'!$A:$O,8,0)</f>
        <v>0</v>
      </c>
      <c r="G31" s="86">
        <f>VLOOKUP($B31,'2025'!$A:$O,8,0)</f>
        <v>0</v>
      </c>
      <c r="H31" s="86">
        <v>0</v>
      </c>
      <c r="I31" s="125">
        <f t="shared" si="11"/>
        <v>0</v>
      </c>
      <c r="J31" s="125" t="str">
        <f t="shared" si="7"/>
        <v>-</v>
      </c>
      <c r="K31" s="86">
        <f t="shared" si="12"/>
        <v>0</v>
      </c>
      <c r="M31" s="89">
        <f>VLOOKUP(C31,'תקציב  '!$B:$S,10,0)*1</f>
        <v>20000</v>
      </c>
      <c r="N31" s="125">
        <f t="shared" si="2"/>
        <v>-1</v>
      </c>
      <c r="O31" s="125">
        <f t="shared" si="3"/>
        <v>0</v>
      </c>
      <c r="P31" s="89">
        <f t="shared" si="13"/>
        <v>-20000</v>
      </c>
      <c r="R31" s="89">
        <f>_xlfn.XLOOKUP(A31,'תקציב  '!A:A,'תקציב  '!AI:AI)</f>
        <v>0</v>
      </c>
      <c r="S31" s="125" t="str">
        <f t="shared" si="8"/>
        <v>-</v>
      </c>
      <c r="T31" s="125" t="str">
        <f t="shared" si="9"/>
        <v>-</v>
      </c>
      <c r="U31" s="89">
        <f t="shared" si="10"/>
        <v>0</v>
      </c>
      <c r="X31" s="86">
        <v>0</v>
      </c>
      <c r="Y31" s="7">
        <f t="shared" si="5"/>
        <v>0</v>
      </c>
      <c r="Z31" s="101" t="str">
        <f t="shared" si="6"/>
        <v>-</v>
      </c>
    </row>
    <row r="32" spans="1:26" ht="13.5" customHeight="1" outlineLevel="1" x14ac:dyDescent="0.2">
      <c r="A32" s="135">
        <v>31</v>
      </c>
      <c r="B32" s="131" t="s">
        <v>85</v>
      </c>
      <c r="C32" s="131" t="s">
        <v>85</v>
      </c>
      <c r="D32" s="132" t="s">
        <v>32</v>
      </c>
      <c r="E32" s="99" t="s">
        <v>33</v>
      </c>
      <c r="F32" s="86">
        <f>VLOOKUP(B32,'2024'!$A:$O,8,0)</f>
        <v>0</v>
      </c>
      <c r="G32" s="86">
        <f>VLOOKUP($B32,'2025'!$A:$O,8,0)</f>
        <v>15559.58</v>
      </c>
      <c r="H32" s="86">
        <v>0</v>
      </c>
      <c r="I32" s="125">
        <f t="shared" si="11"/>
        <v>0</v>
      </c>
      <c r="J32" s="125">
        <f t="shared" si="7"/>
        <v>-1</v>
      </c>
      <c r="K32" s="86">
        <f t="shared" si="12"/>
        <v>-15559.58</v>
      </c>
      <c r="M32" s="89">
        <f>VLOOKUP(C32,'תקציב  '!$B:$S,10,0)*1</f>
        <v>18000</v>
      </c>
      <c r="N32" s="125">
        <f t="shared" si="2"/>
        <v>-1</v>
      </c>
      <c r="O32" s="125">
        <f t="shared" si="3"/>
        <v>0</v>
      </c>
      <c r="P32" s="89">
        <f t="shared" si="13"/>
        <v>-18000</v>
      </c>
      <c r="R32" s="89">
        <f>_xlfn.XLOOKUP(A32,'תקציב  '!A:A,'תקציב  '!AI:AI)</f>
        <v>0</v>
      </c>
      <c r="S32" s="125" t="str">
        <f t="shared" si="8"/>
        <v>-</v>
      </c>
      <c r="T32" s="125" t="str">
        <f t="shared" si="9"/>
        <v>-</v>
      </c>
      <c r="U32" s="89">
        <f t="shared" si="10"/>
        <v>0</v>
      </c>
      <c r="X32" s="86">
        <v>0</v>
      </c>
      <c r="Y32" s="7">
        <f t="shared" si="5"/>
        <v>0</v>
      </c>
      <c r="Z32" s="101" t="str">
        <f t="shared" si="6"/>
        <v>-</v>
      </c>
    </row>
    <row r="33" spans="1:26" ht="13.5" customHeight="1" outlineLevel="1" x14ac:dyDescent="0.2">
      <c r="A33" s="135"/>
      <c r="B33" s="131"/>
      <c r="C33" s="131"/>
      <c r="D33" s="132" t="s">
        <v>11</v>
      </c>
      <c r="E33" s="99" t="s">
        <v>12</v>
      </c>
      <c r="F33" s="86"/>
      <c r="G33" s="86"/>
      <c r="H33" s="86">
        <v>0</v>
      </c>
      <c r="I33" s="125">
        <f t="shared" si="11"/>
        <v>0</v>
      </c>
      <c r="J33" s="125" t="str">
        <f t="shared" si="7"/>
        <v>-</v>
      </c>
      <c r="K33" s="86">
        <f t="shared" si="12"/>
        <v>0</v>
      </c>
      <c r="M33" s="89"/>
      <c r="N33" s="125" t="str">
        <f t="shared" si="2"/>
        <v>-</v>
      </c>
      <c r="O33" s="125" t="str">
        <f t="shared" si="3"/>
        <v>-</v>
      </c>
      <c r="P33" s="89">
        <f t="shared" si="13"/>
        <v>0</v>
      </c>
      <c r="R33" s="89">
        <f>_xlfn.XLOOKUP(A33,'תקציב  '!A:A,'תקציב  '!AI:AI)</f>
        <v>0</v>
      </c>
      <c r="S33" s="125" t="str">
        <f t="shared" si="8"/>
        <v>-</v>
      </c>
      <c r="T33" s="125" t="str">
        <f t="shared" si="9"/>
        <v>-</v>
      </c>
      <c r="U33" s="89">
        <f t="shared" si="10"/>
        <v>0</v>
      </c>
      <c r="X33" s="86">
        <v>0</v>
      </c>
      <c r="Y33" s="7">
        <f t="shared" si="5"/>
        <v>0</v>
      </c>
      <c r="Z33" s="101" t="str">
        <f t="shared" si="6"/>
        <v>-</v>
      </c>
    </row>
    <row r="34" spans="1:26" ht="13.5" customHeight="1" outlineLevel="1" x14ac:dyDescent="0.2">
      <c r="A34" s="135">
        <v>32</v>
      </c>
      <c r="B34" s="131" t="s">
        <v>104</v>
      </c>
      <c r="C34" s="131" t="s">
        <v>86</v>
      </c>
      <c r="D34" s="132" t="s">
        <v>31</v>
      </c>
      <c r="E34" s="99" t="s">
        <v>49</v>
      </c>
      <c r="F34" s="86">
        <f>VLOOKUP(B34,'2024'!$A:$O,8,0)</f>
        <v>13897.42</v>
      </c>
      <c r="G34" s="86">
        <f>VLOOKUP($B34,'2025'!$A:$O,8,0)</f>
        <v>0</v>
      </c>
      <c r="H34" s="86">
        <v>0</v>
      </c>
      <c r="I34" s="125">
        <f t="shared" si="11"/>
        <v>0</v>
      </c>
      <c r="J34" s="125" t="str">
        <f t="shared" si="7"/>
        <v>-</v>
      </c>
      <c r="K34" s="86">
        <f t="shared" si="12"/>
        <v>0</v>
      </c>
      <c r="M34" s="89">
        <f>VLOOKUP(C34,'תקציב  '!$B:$S,10,0)*1</f>
        <v>0</v>
      </c>
      <c r="N34" s="125" t="str">
        <f t="shared" si="2"/>
        <v>-</v>
      </c>
      <c r="O34" s="125" t="str">
        <f t="shared" si="3"/>
        <v>-</v>
      </c>
      <c r="P34" s="89">
        <f t="shared" si="13"/>
        <v>0</v>
      </c>
      <c r="R34" s="89">
        <f>_xlfn.XLOOKUP(A34,'תקציב  '!A:A,'תקציב  '!AI:AI)</f>
        <v>0</v>
      </c>
      <c r="S34" s="125" t="str">
        <f t="shared" si="8"/>
        <v>-</v>
      </c>
      <c r="T34" s="125" t="str">
        <f t="shared" si="9"/>
        <v>-</v>
      </c>
      <c r="U34" s="89">
        <f t="shared" si="10"/>
        <v>0</v>
      </c>
      <c r="X34" s="86">
        <v>0</v>
      </c>
      <c r="Y34" s="7">
        <f t="shared" si="5"/>
        <v>0</v>
      </c>
      <c r="Z34" s="101" t="str">
        <f t="shared" si="6"/>
        <v>-</v>
      </c>
    </row>
    <row r="35" spans="1:26" ht="13.5" customHeight="1" outlineLevel="1" x14ac:dyDescent="0.2">
      <c r="A35" s="135">
        <v>33</v>
      </c>
      <c r="B35" s="131" t="s">
        <v>105</v>
      </c>
      <c r="C35" s="131" t="s">
        <v>83</v>
      </c>
      <c r="D35" s="132" t="s">
        <v>84</v>
      </c>
      <c r="E35" s="99" t="s">
        <v>48</v>
      </c>
      <c r="F35" s="86">
        <f>VLOOKUP(B35,'2024'!$A:$O,8,0)</f>
        <v>0</v>
      </c>
      <c r="G35" s="86">
        <f>VLOOKUP($B35,'2025'!$A:$O,8,0)</f>
        <v>0</v>
      </c>
      <c r="H35" s="86">
        <v>0</v>
      </c>
      <c r="I35" s="125">
        <f t="shared" si="11"/>
        <v>0</v>
      </c>
      <c r="J35" s="125" t="str">
        <f t="shared" si="7"/>
        <v>-</v>
      </c>
      <c r="K35" s="86">
        <f t="shared" si="12"/>
        <v>0</v>
      </c>
      <c r="M35" s="89">
        <f>VLOOKUP(C35,'תקציב  '!$B:$S,10,0)*1</f>
        <v>0</v>
      </c>
      <c r="N35" s="125" t="str">
        <f t="shared" si="2"/>
        <v>-</v>
      </c>
      <c r="O35" s="125" t="str">
        <f t="shared" si="3"/>
        <v>-</v>
      </c>
      <c r="P35" s="89">
        <f t="shared" si="13"/>
        <v>0</v>
      </c>
      <c r="R35" s="89">
        <f>_xlfn.XLOOKUP(A35,'תקציב  '!A:A,'תקציב  '!AI:AI)</f>
        <v>0</v>
      </c>
      <c r="S35" s="125" t="str">
        <f t="shared" si="8"/>
        <v>-</v>
      </c>
      <c r="T35" s="125" t="str">
        <f t="shared" si="9"/>
        <v>-</v>
      </c>
      <c r="U35" s="89">
        <f t="shared" si="10"/>
        <v>0</v>
      </c>
      <c r="X35" s="86">
        <v>0</v>
      </c>
      <c r="Y35" s="7">
        <f t="shared" si="5"/>
        <v>0</v>
      </c>
      <c r="Z35" s="101" t="str">
        <f t="shared" si="6"/>
        <v>-</v>
      </c>
    </row>
    <row r="36" spans="1:26" outlineLevel="1" x14ac:dyDescent="0.2">
      <c r="A36" s="135"/>
      <c r="B36" s="131" t="s">
        <v>107</v>
      </c>
      <c r="C36" s="131" t="s">
        <v>107</v>
      </c>
      <c r="D36" s="132" t="s">
        <v>37</v>
      </c>
      <c r="E36" s="99" t="s">
        <v>17</v>
      </c>
      <c r="F36" s="86">
        <f>VLOOKUP(B36,'2024'!$A:$O,8,0)</f>
        <v>0</v>
      </c>
      <c r="G36" s="86">
        <f>VLOOKUP($B36,'2025'!$A:$O,8,0)</f>
        <v>0</v>
      </c>
      <c r="H36" s="86">
        <v>0</v>
      </c>
      <c r="I36" s="125">
        <f t="shared" si="11"/>
        <v>0</v>
      </c>
      <c r="J36" s="125" t="str">
        <f t="shared" si="7"/>
        <v>-</v>
      </c>
      <c r="K36" s="86">
        <f t="shared" si="12"/>
        <v>0</v>
      </c>
      <c r="M36" s="89"/>
      <c r="N36" s="125" t="str">
        <f t="shared" si="2"/>
        <v>-</v>
      </c>
      <c r="O36" s="125" t="str">
        <f t="shared" si="3"/>
        <v>-</v>
      </c>
      <c r="P36" s="89">
        <f t="shared" si="13"/>
        <v>0</v>
      </c>
      <c r="R36" s="89">
        <f>_xlfn.XLOOKUP(A36,'תקציב  '!A:A,'תקציב  '!AI:AI)</f>
        <v>0</v>
      </c>
      <c r="S36" s="125" t="str">
        <f t="shared" si="8"/>
        <v>-</v>
      </c>
      <c r="T36" s="125" t="str">
        <f t="shared" si="9"/>
        <v>-</v>
      </c>
      <c r="U36" s="89">
        <f t="shared" si="10"/>
        <v>0</v>
      </c>
      <c r="X36" s="86">
        <v>0</v>
      </c>
      <c r="Y36" s="7">
        <f t="shared" si="5"/>
        <v>0</v>
      </c>
      <c r="Z36" s="101" t="str">
        <f t="shared" si="6"/>
        <v>-</v>
      </c>
    </row>
    <row r="37" spans="1:26" outlineLevel="1" x14ac:dyDescent="0.2">
      <c r="A37" s="135">
        <v>34</v>
      </c>
      <c r="B37" s="131" t="s">
        <v>108</v>
      </c>
      <c r="C37" s="131" t="s">
        <v>108</v>
      </c>
      <c r="D37" s="132" t="s">
        <v>35</v>
      </c>
      <c r="E37" s="99" t="s">
        <v>36</v>
      </c>
      <c r="F37" s="86">
        <f>VLOOKUP(B37,'2024'!$A:$O,8,0)</f>
        <v>0</v>
      </c>
      <c r="G37" s="86">
        <f>VLOOKUP($B37,'2025'!$A:$O,8,0)</f>
        <v>0</v>
      </c>
      <c r="H37" s="86">
        <v>0</v>
      </c>
      <c r="I37" s="125">
        <f t="shared" si="11"/>
        <v>0</v>
      </c>
      <c r="J37" s="125" t="str">
        <f t="shared" si="7"/>
        <v>-</v>
      </c>
      <c r="K37" s="86">
        <f t="shared" si="12"/>
        <v>0</v>
      </c>
      <c r="M37" s="89"/>
      <c r="N37" s="125" t="str">
        <f t="shared" si="2"/>
        <v>-</v>
      </c>
      <c r="O37" s="125" t="str">
        <f t="shared" si="3"/>
        <v>-</v>
      </c>
      <c r="P37" s="89">
        <f t="shared" si="13"/>
        <v>0</v>
      </c>
      <c r="R37" s="89">
        <f>_xlfn.XLOOKUP(A37,'תקציב  '!A:A,'תקציב  '!AI:AI)</f>
        <v>0</v>
      </c>
      <c r="S37" s="125" t="str">
        <f t="shared" si="8"/>
        <v>-</v>
      </c>
      <c r="T37" s="125" t="str">
        <f t="shared" si="9"/>
        <v>-</v>
      </c>
      <c r="U37" s="89">
        <f t="shared" si="10"/>
        <v>0</v>
      </c>
      <c r="X37" s="86">
        <v>0</v>
      </c>
      <c r="Y37" s="7">
        <f t="shared" si="5"/>
        <v>0</v>
      </c>
      <c r="Z37" s="101" t="str">
        <f t="shared" si="6"/>
        <v>-</v>
      </c>
    </row>
    <row r="38" spans="1:26" ht="13.5" customHeight="1" outlineLevel="1" x14ac:dyDescent="0.2">
      <c r="A38" s="135">
        <v>35</v>
      </c>
      <c r="B38" s="131" t="s">
        <v>109</v>
      </c>
      <c r="C38" s="131" t="s">
        <v>109</v>
      </c>
      <c r="D38" s="132" t="s">
        <v>70</v>
      </c>
      <c r="E38" s="99" t="s">
        <v>38</v>
      </c>
      <c r="F38" s="86">
        <f>VLOOKUP(B38,'2024'!$A:$O,8,0)</f>
        <v>0</v>
      </c>
      <c r="G38" s="86">
        <f>VLOOKUP($B38,'2025'!$A:$O,8,0)</f>
        <v>0</v>
      </c>
      <c r="H38" s="86">
        <v>0</v>
      </c>
      <c r="I38" s="125">
        <f t="shared" si="11"/>
        <v>0</v>
      </c>
      <c r="J38" s="125" t="str">
        <f t="shared" si="7"/>
        <v>-</v>
      </c>
      <c r="K38" s="86">
        <f t="shared" si="12"/>
        <v>0</v>
      </c>
      <c r="M38" s="89">
        <f>VLOOKUP(C38,'תקציב  '!$B:$S,10,0)*1</f>
        <v>0</v>
      </c>
      <c r="N38" s="125" t="str">
        <f t="shared" si="2"/>
        <v>-</v>
      </c>
      <c r="O38" s="125" t="str">
        <f t="shared" si="3"/>
        <v>-</v>
      </c>
      <c r="P38" s="89">
        <f t="shared" si="13"/>
        <v>0</v>
      </c>
      <c r="R38" s="89">
        <f>_xlfn.XLOOKUP(A38,'תקציב  '!A:A,'תקציב  '!AI:AI)</f>
        <v>0</v>
      </c>
      <c r="S38" s="125" t="str">
        <f t="shared" si="8"/>
        <v>-</v>
      </c>
      <c r="T38" s="125" t="str">
        <f t="shared" si="9"/>
        <v>-</v>
      </c>
      <c r="U38" s="89">
        <f t="shared" si="10"/>
        <v>0</v>
      </c>
      <c r="X38" s="86">
        <v>0</v>
      </c>
      <c r="Y38" s="7">
        <f t="shared" si="5"/>
        <v>0</v>
      </c>
      <c r="Z38" s="101" t="str">
        <f t="shared" si="6"/>
        <v>-</v>
      </c>
    </row>
    <row r="39" spans="1:26" ht="13.5" customHeight="1" outlineLevel="1" x14ac:dyDescent="0.2">
      <c r="A39" s="135">
        <v>36</v>
      </c>
      <c r="B39" s="131" t="s">
        <v>91</v>
      </c>
      <c r="C39" s="131" t="s">
        <v>91</v>
      </c>
      <c r="D39" s="132" t="s">
        <v>91</v>
      </c>
      <c r="E39" s="99"/>
      <c r="F39" s="86"/>
      <c r="G39" s="86"/>
      <c r="H39" s="86">
        <v>0</v>
      </c>
      <c r="I39" s="125">
        <f t="shared" si="11"/>
        <v>0</v>
      </c>
      <c r="J39" s="125" t="str">
        <f t="shared" si="7"/>
        <v>-</v>
      </c>
      <c r="K39" s="86">
        <f t="shared" si="12"/>
        <v>0</v>
      </c>
      <c r="M39" s="89">
        <f>VLOOKUP(C39,'תקציב  '!$B:$S,10,0)*1</f>
        <v>0</v>
      </c>
      <c r="N39" s="125" t="str">
        <f t="shared" si="2"/>
        <v>-</v>
      </c>
      <c r="O39" s="125" t="str">
        <f t="shared" si="3"/>
        <v>-</v>
      </c>
      <c r="P39" s="89">
        <f t="shared" si="13"/>
        <v>0</v>
      </c>
      <c r="R39" s="89">
        <f>_xlfn.XLOOKUP(A39,'תקציב  '!A:A,'תקציב  '!AI:AI)</f>
        <v>0</v>
      </c>
      <c r="S39" s="125" t="str">
        <f t="shared" si="8"/>
        <v>-</v>
      </c>
      <c r="T39" s="125" t="str">
        <f t="shared" si="9"/>
        <v>-</v>
      </c>
      <c r="U39" s="89">
        <f t="shared" si="10"/>
        <v>0</v>
      </c>
      <c r="X39" s="86">
        <v>0</v>
      </c>
      <c r="Y39" s="7">
        <f t="shared" si="5"/>
        <v>0</v>
      </c>
      <c r="Z39" s="101" t="str">
        <f t="shared" si="6"/>
        <v>-</v>
      </c>
    </row>
    <row r="40" spans="1:26" s="143" customFormat="1" ht="15" x14ac:dyDescent="0.25">
      <c r="A40" s="135"/>
      <c r="B40" s="130"/>
      <c r="C40" s="130"/>
      <c r="D40" s="156" t="s">
        <v>42</v>
      </c>
      <c r="E40" s="156"/>
      <c r="F40" s="157">
        <f>SUM(F20:F39)</f>
        <v>670378.06000000006</v>
      </c>
      <c r="G40" s="157">
        <f>SUM(G20:G39)</f>
        <v>956924.9</v>
      </c>
      <c r="H40" s="157">
        <f>SUM(H20:H39)</f>
        <v>506813.83000000007</v>
      </c>
      <c r="I40" s="97">
        <f>H40/$H$41</f>
        <v>0.23182716870984982</v>
      </c>
      <c r="J40" s="97">
        <f t="shared" si="7"/>
        <v>-0.47037240853488083</v>
      </c>
      <c r="K40" s="157">
        <f>SUM(K20:K39)</f>
        <v>-450111.06999999995</v>
      </c>
      <c r="M40" s="157">
        <f>SUM(M20:M39)</f>
        <v>1015167.992175</v>
      </c>
      <c r="N40" s="97">
        <f t="shared" si="2"/>
        <v>-0.50075865875740422</v>
      </c>
      <c r="O40" s="97">
        <f t="shared" si="3"/>
        <v>0.49924134124259584</v>
      </c>
      <c r="P40" s="157">
        <f>SUM(P20:P39)</f>
        <v>-508354.16217499995</v>
      </c>
      <c r="R40" s="157">
        <f>SUM(R20:R39)</f>
        <v>565966.80000000005</v>
      </c>
      <c r="S40" s="97">
        <f t="shared" si="8"/>
        <v>-0.10451667836346579</v>
      </c>
      <c r="T40" s="97">
        <f t="shared" si="9"/>
        <v>0.89548332163653421</v>
      </c>
      <c r="U40" s="157">
        <f t="shared" si="10"/>
        <v>-59152.969999999972</v>
      </c>
      <c r="X40" s="157">
        <f>SUM(X20:X39)</f>
        <v>506813.83000000007</v>
      </c>
      <c r="Y40" s="144">
        <f t="shared" si="5"/>
        <v>0</v>
      </c>
      <c r="Z40" s="145">
        <f t="shared" si="6"/>
        <v>0</v>
      </c>
    </row>
    <row r="41" spans="1:26" s="143" customFormat="1" ht="15" x14ac:dyDescent="0.25">
      <c r="A41" s="135"/>
      <c r="B41" s="130"/>
      <c r="C41" s="130"/>
      <c r="D41" s="158" t="s">
        <v>69</v>
      </c>
      <c r="E41" s="158"/>
      <c r="F41" s="159">
        <f>F40+F19</f>
        <v>2232491.1290000002</v>
      </c>
      <c r="G41" s="159">
        <f>G40+G19</f>
        <v>2503790.2500000037</v>
      </c>
      <c r="H41" s="159">
        <f>H40+H19</f>
        <v>2186170.9859999972</v>
      </c>
      <c r="I41" s="159"/>
      <c r="J41" s="50">
        <f t="shared" si="7"/>
        <v>-0.12685538015814468</v>
      </c>
      <c r="K41" s="159">
        <f>K40+K19</f>
        <v>-317619.26400000619</v>
      </c>
      <c r="M41" s="159">
        <f>M40+M19</f>
        <v>3827194.6568548493</v>
      </c>
      <c r="N41" s="50">
        <f t="shared" si="2"/>
        <v>-0.42877977683095669</v>
      </c>
      <c r="O41" s="50">
        <f t="shared" si="3"/>
        <v>0.57122022316904331</v>
      </c>
      <c r="P41" s="159">
        <f>P40+P19</f>
        <v>-1641023.6708548521</v>
      </c>
      <c r="R41" s="159">
        <f>R40+R19</f>
        <v>2665966.7999999998</v>
      </c>
      <c r="S41" s="50">
        <f t="shared" si="8"/>
        <v>-0.17997066355064983</v>
      </c>
      <c r="T41" s="50">
        <f t="shared" si="9"/>
        <v>0.82002933644935017</v>
      </c>
      <c r="U41" s="159">
        <f t="shared" si="10"/>
        <v>-479795.81400000257</v>
      </c>
      <c r="X41" s="159">
        <f>X40+X19</f>
        <v>2170423.353999997</v>
      </c>
      <c r="Y41" s="144">
        <f t="shared" si="5"/>
        <v>15747.632000000216</v>
      </c>
      <c r="Z41" s="145">
        <f t="shared" si="6"/>
        <v>7.2555577560378115E-3</v>
      </c>
    </row>
    <row r="42" spans="1:26" ht="15" hidden="1" x14ac:dyDescent="0.25">
      <c r="C42" s="279" t="s">
        <v>43</v>
      </c>
      <c r="D42" s="279"/>
      <c r="E42" s="279"/>
      <c r="F42" s="123">
        <f>F40/F41</f>
        <v>0.3002825190621396</v>
      </c>
      <c r="G42" s="123">
        <f>G40/G41</f>
        <v>0.38219052095118533</v>
      </c>
      <c r="H42" s="123">
        <f>H40/H41</f>
        <v>0.23182716870984982</v>
      </c>
      <c r="I42" s="122"/>
      <c r="J42" s="124"/>
      <c r="K42" s="115"/>
      <c r="M42" s="121">
        <f>M41-'תקציב  '!K41*1</f>
        <v>0</v>
      </c>
      <c r="N42" s="121"/>
      <c r="O42" s="121"/>
      <c r="P42" s="122"/>
      <c r="R42" s="122"/>
      <c r="S42" s="122"/>
      <c r="T42" s="122"/>
      <c r="U42" s="122"/>
      <c r="X42" s="123">
        <f>X40/X41</f>
        <v>0.23350920412184284</v>
      </c>
    </row>
    <row r="43" spans="1:26" x14ac:dyDescent="0.2">
      <c r="F43" s="47">
        <f>F41-'2024'!H38</f>
        <v>0</v>
      </c>
      <c r="K43" s="6"/>
    </row>
  </sheetData>
  <dataConsolidate/>
  <mergeCells count="1">
    <mergeCell ref="C42:E42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BE45-64A3-4934-A1CF-9C5CD6072B6B}">
  <dimension ref="A1:R42"/>
  <sheetViews>
    <sheetView showGridLines="0" rightToLeft="1" workbookViewId="0">
      <pane xSplit="5" ySplit="2" topLeftCell="F3" activePane="bottomRight" state="frozen"/>
      <selection activeCell="J13" sqref="J13"/>
      <selection pane="topRight" activeCell="J13" sqref="J13"/>
      <selection pane="bottomLeft" activeCell="J13" sqref="J13"/>
      <selection pane="bottomRight" activeCell="F29" sqref="F29"/>
    </sheetView>
  </sheetViews>
  <sheetFormatPr defaultRowHeight="14.25" x14ac:dyDescent="0.2"/>
  <cols>
    <col min="1" max="1" width="2.875" bestFit="1" customWidth="1"/>
    <col min="2" max="2" width="31" hidden="1" customWidth="1"/>
    <col min="3" max="3" width="33" style="90" hidden="1" customWidth="1"/>
    <col min="4" max="4" width="28" bestFit="1" customWidth="1"/>
    <col min="5" max="5" width="12.5" style="1" bestFit="1" customWidth="1"/>
    <col min="6" max="8" width="10.875" bestFit="1" customWidth="1"/>
    <col min="9" max="9" width="10.75" style="51" bestFit="1" customWidth="1"/>
    <col min="10" max="10" width="11.875" bestFit="1" customWidth="1"/>
    <col min="11" max="11" width="3.875" customWidth="1"/>
    <col min="12" max="12" width="10.875" bestFit="1" customWidth="1"/>
    <col min="13" max="13" width="7.125" style="51" bestFit="1" customWidth="1"/>
    <col min="14" max="14" width="11" bestFit="1" customWidth="1"/>
    <col min="15" max="15" width="4.25" customWidth="1"/>
    <col min="16" max="16" width="10.875" bestFit="1" customWidth="1"/>
    <col min="17" max="17" width="6.75" style="51" bestFit="1" customWidth="1"/>
    <col min="18" max="18" width="14" bestFit="1" customWidth="1"/>
  </cols>
  <sheetData>
    <row r="1" spans="1:18" s="126" customFormat="1" ht="16.5" thickBot="1" x14ac:dyDescent="0.3">
      <c r="A1"/>
      <c r="D1" s="34" t="s">
        <v>177</v>
      </c>
      <c r="E1" s="174"/>
      <c r="F1" s="174"/>
      <c r="G1" s="174"/>
      <c r="H1" s="174"/>
      <c r="I1" s="175"/>
      <c r="J1" s="174"/>
      <c r="L1" s="34"/>
      <c r="M1" s="170"/>
      <c r="N1" s="34"/>
      <c r="P1" s="34"/>
      <c r="Q1" s="175"/>
      <c r="R1" s="34"/>
    </row>
    <row r="2" spans="1:18" ht="15" x14ac:dyDescent="0.25">
      <c r="A2" s="133" t="s">
        <v>228</v>
      </c>
      <c r="C2" s="20"/>
      <c r="D2" s="149"/>
      <c r="E2" s="146" t="s">
        <v>10</v>
      </c>
      <c r="F2" s="146" t="s">
        <v>142</v>
      </c>
      <c r="G2" s="146" t="s">
        <v>200</v>
      </c>
      <c r="H2" s="146" t="s">
        <v>214</v>
      </c>
      <c r="I2" s="171" t="s">
        <v>191</v>
      </c>
      <c r="J2" s="146" t="s">
        <v>192</v>
      </c>
      <c r="L2" s="149" t="s">
        <v>67</v>
      </c>
      <c r="M2" s="147" t="s">
        <v>224</v>
      </c>
      <c r="N2" s="149" t="s">
        <v>71</v>
      </c>
      <c r="P2" s="148" t="s">
        <v>229</v>
      </c>
      <c r="Q2" s="171" t="s">
        <v>223</v>
      </c>
      <c r="R2" s="148" t="s">
        <v>232</v>
      </c>
    </row>
    <row r="3" spans="1:18" x14ac:dyDescent="0.2">
      <c r="A3" s="140">
        <v>5</v>
      </c>
      <c r="B3" s="37" t="s">
        <v>115</v>
      </c>
      <c r="C3" s="2" t="s">
        <v>1</v>
      </c>
      <c r="D3" s="89" t="s">
        <v>1</v>
      </c>
      <c r="E3" s="3" t="s">
        <v>40</v>
      </c>
      <c r="F3" s="86">
        <f>ינואר!E3+פברואר!E3+מרץ!E3+אפריל!E3+מאי!E3+יוני!E3+יולי!F3</f>
        <v>1124872.8599999999</v>
      </c>
      <c r="G3" s="86">
        <f>ינואר!F3+פברואר!F3+מרץ!F3+אפריל!F3+מאי!F3+יוני!F3+יולי!G3</f>
        <v>909905.40000000014</v>
      </c>
      <c r="H3" s="86">
        <f>ינואר!G3+פברואר!G3+מרץ!G3+אפריל!G3+מאי!G3+יוני!G3+יולי!H3</f>
        <v>814412.29999999993</v>
      </c>
      <c r="I3" s="172">
        <f>IFERROR(H3/G3-1,"-")</f>
        <v>-0.10494838254614181</v>
      </c>
      <c r="J3" s="86">
        <f t="shared" ref="J3:J15" si="0">H3-G3</f>
        <v>-95493.10000000021</v>
      </c>
      <c r="L3" s="89">
        <f>ינואר!J3+פברואר!J3+מרץ!J3+אפריל!J3+מאי!J3+יוני!J3+יולי!M3</f>
        <v>1369841.2698412698</v>
      </c>
      <c r="M3" s="125">
        <f>IFERROR(H3/L3,"-")</f>
        <v>0.59453041599072998</v>
      </c>
      <c r="N3" s="89">
        <f t="shared" ref="N3:N15" si="1">H3-L3</f>
        <v>-555428.96984126989</v>
      </c>
      <c r="P3" s="89">
        <f>_xlfn.XLOOKUP($A3,'תקציב  '!A:A,'תקציב  '!AR:AR)</f>
        <v>940443.29999999993</v>
      </c>
      <c r="Q3" s="172">
        <f>IFERROR(H3/P3,"-")</f>
        <v>0.86598766773073932</v>
      </c>
      <c r="R3" s="89">
        <f>H3-P3</f>
        <v>-126031</v>
      </c>
    </row>
    <row r="4" spans="1:18" x14ac:dyDescent="0.2">
      <c r="A4" s="134">
        <v>1</v>
      </c>
      <c r="B4" s="2" t="s">
        <v>0</v>
      </c>
      <c r="C4" s="2" t="s">
        <v>0</v>
      </c>
      <c r="D4" s="89" t="s">
        <v>0</v>
      </c>
      <c r="E4" s="3" t="s">
        <v>40</v>
      </c>
      <c r="F4" s="86">
        <f>ינואר!E4+פברואר!E4+מרץ!E4+אפריל!E4+מאי!E4+יוני!E4+יולי!F4</f>
        <v>3281964.2310000001</v>
      </c>
      <c r="G4" s="86">
        <f>ינואר!F4+פברואר!F4+מרץ!F4+אפריל!F4+מאי!F4+יוני!F4+יולי!G4</f>
        <v>3732961.1426000372</v>
      </c>
      <c r="H4" s="86">
        <f>ינואר!G4+פברואר!G4+מרץ!G4+אפריל!G4+מאי!G4+יוני!G4+יולי!H4</f>
        <v>3228789.1090000006</v>
      </c>
      <c r="I4" s="172">
        <f t="shared" ref="I4:I41" si="2">IFERROR(H4/G4-1,"-")</f>
        <v>-0.13505954504762852</v>
      </c>
      <c r="J4" s="86">
        <f t="shared" si="0"/>
        <v>-504172.03360003652</v>
      </c>
      <c r="L4" s="89">
        <f>ינואר!J4+פברואר!J4+מרץ!J4+אפריל!J4+מאי!J4+יוני!J4+יולי!M4</f>
        <v>3925603.1746031744</v>
      </c>
      <c r="M4" s="125">
        <f t="shared" ref="M4:M41" si="3">IFERROR(H4/L4,"-")</f>
        <v>0.82249503207271779</v>
      </c>
      <c r="N4" s="89">
        <f t="shared" si="1"/>
        <v>-696814.0656031738</v>
      </c>
      <c r="P4" s="89">
        <f>_xlfn.XLOOKUP($A4,'תקציב  '!A:A,'תקציב  '!AR:AR)</f>
        <v>3324937.8930000006</v>
      </c>
      <c r="Q4" s="172">
        <f t="shared" ref="Q4:Q41" si="4">IFERROR(H4/P4,"-")</f>
        <v>0.97108253233769504</v>
      </c>
      <c r="R4" s="89">
        <f t="shared" ref="R4:R42" si="5">H4-P4</f>
        <v>-96148.783999999985</v>
      </c>
    </row>
    <row r="5" spans="1:18" x14ac:dyDescent="0.2">
      <c r="A5" s="134">
        <v>7</v>
      </c>
      <c r="B5" s="2" t="s">
        <v>44</v>
      </c>
      <c r="C5" s="2" t="s">
        <v>44</v>
      </c>
      <c r="D5" s="89" t="s">
        <v>44</v>
      </c>
      <c r="E5" s="3" t="s">
        <v>40</v>
      </c>
      <c r="F5" s="86">
        <f>ינואר!E5+פברואר!E5+מרץ!E5+אפריל!E5+מאי!E5+יוני!E5+יולי!F5</f>
        <v>639510.32600000012</v>
      </c>
      <c r="G5" s="86">
        <f>ינואר!F5+פברואר!F5+מרץ!F5+אפריל!F5+מאי!F5+יוני!F5+יולי!G5</f>
        <v>481568.54000000004</v>
      </c>
      <c r="H5" s="86">
        <f>ינואר!G5+פברואר!G5+מרץ!G5+אפריל!G5+מאי!G5+יוני!G5+יולי!H5</f>
        <v>509744.78100000002</v>
      </c>
      <c r="I5" s="172">
        <f t="shared" si="2"/>
        <v>5.8509305861217609E-2</v>
      </c>
      <c r="J5" s="86">
        <f t="shared" si="0"/>
        <v>28176.24099999998</v>
      </c>
      <c r="L5" s="89">
        <f>ינואר!J5+פברואר!J5+מרץ!J5+אפריל!J5+מאי!J5+יוני!J5+יולי!M5</f>
        <v>517857.1428571429</v>
      </c>
      <c r="M5" s="125">
        <f t="shared" si="3"/>
        <v>0.98433474951724131</v>
      </c>
      <c r="N5" s="89">
        <f t="shared" si="1"/>
        <v>-8112.3618571428815</v>
      </c>
      <c r="P5" s="89">
        <f>_xlfn.XLOOKUP($A5,'תקציב  '!A:A,'תקציב  '!AR:AR)</f>
        <v>537274.56499999994</v>
      </c>
      <c r="Q5" s="172">
        <f t="shared" si="4"/>
        <v>0.94876030656690413</v>
      </c>
      <c r="R5" s="89">
        <f t="shared" si="5"/>
        <v>-27529.783999999927</v>
      </c>
    </row>
    <row r="6" spans="1:18" x14ac:dyDescent="0.2">
      <c r="A6" s="134">
        <v>4</v>
      </c>
      <c r="B6" s="2" t="s">
        <v>3</v>
      </c>
      <c r="C6" s="2" t="s">
        <v>3</v>
      </c>
      <c r="D6" s="89" t="s">
        <v>3</v>
      </c>
      <c r="E6" s="3" t="s">
        <v>40</v>
      </c>
      <c r="F6" s="86">
        <f>ינואר!E6+פברואר!E6+מרץ!E6+אפריל!E6+מאי!E6+יוני!E6+יולי!F6</f>
        <v>1159511.1129999999</v>
      </c>
      <c r="G6" s="86">
        <f>ינואר!F6+פברואר!F6+מרץ!F6+אפריל!F6+מאי!F6+יוני!F6+יולי!G6</f>
        <v>1164312.5394000015</v>
      </c>
      <c r="H6" s="86">
        <f>ינואר!G6+פברואר!G6+מרץ!G6+אפריל!G6+מאי!G6+יוני!G6+יולי!H6</f>
        <v>1070668.2960000001</v>
      </c>
      <c r="I6" s="172">
        <f t="shared" si="2"/>
        <v>-8.0428785425826099E-2</v>
      </c>
      <c r="J6" s="86">
        <f t="shared" si="0"/>
        <v>-93644.243400001433</v>
      </c>
      <c r="L6" s="89">
        <f>ינואר!J6+פברואר!J6+מרץ!J6+אפריל!J6+מאי!J6+יוני!J6+יולי!M6</f>
        <v>1119253.9682539683</v>
      </c>
      <c r="M6" s="125">
        <f t="shared" si="3"/>
        <v>0.95659102077631075</v>
      </c>
      <c r="N6" s="89">
        <f t="shared" si="1"/>
        <v>-48585.672253968194</v>
      </c>
      <c r="P6" s="89">
        <f>_xlfn.XLOOKUP($A6,'תקציב  '!A:A,'תקציב  '!AR:AR)</f>
        <v>1118523.9780000001</v>
      </c>
      <c r="Q6" s="172">
        <f t="shared" si="4"/>
        <v>0.95721532757342465</v>
      </c>
      <c r="R6" s="89">
        <f t="shared" si="5"/>
        <v>-47855.68200000003</v>
      </c>
    </row>
    <row r="7" spans="1:18" x14ac:dyDescent="0.2">
      <c r="A7" s="134">
        <v>3</v>
      </c>
      <c r="B7" s="37" t="s">
        <v>112</v>
      </c>
      <c r="C7" s="2" t="s">
        <v>2</v>
      </c>
      <c r="D7" s="89" t="s">
        <v>2</v>
      </c>
      <c r="E7" s="3" t="s">
        <v>40</v>
      </c>
      <c r="F7" s="86">
        <f>ינואר!E7+פברואר!E7+מרץ!E7+אפריל!E7+מאי!E7+יוני!E7+יולי!F7</f>
        <v>2403631</v>
      </c>
      <c r="G7" s="86">
        <f>ינואר!F7+פברואר!F7+מרץ!F7+אפריל!F7+מאי!F7+יוני!F7+יולי!G7</f>
        <v>2338087.2000000002</v>
      </c>
      <c r="H7" s="86">
        <f>ינואר!G7+פברואר!G7+מרץ!G7+אפריל!G7+מאי!G7+יוני!G7+יולי!H7</f>
        <v>2135299.15</v>
      </c>
      <c r="I7" s="172">
        <f t="shared" si="2"/>
        <v>-8.6732458053745964E-2</v>
      </c>
      <c r="J7" s="86">
        <f t="shared" si="0"/>
        <v>-202788.05000000028</v>
      </c>
      <c r="L7" s="89">
        <f>ינואר!J7+פברואר!J7+מרץ!J7+אפריל!J7+מאי!J7+יוני!J7+יולי!M7</f>
        <v>2555000</v>
      </c>
      <c r="M7" s="125">
        <f t="shared" si="3"/>
        <v>0.8357335225048923</v>
      </c>
      <c r="N7" s="89">
        <f t="shared" si="1"/>
        <v>-419700.85000000009</v>
      </c>
      <c r="P7" s="89">
        <f>_xlfn.XLOOKUP($A7,'תקציב  '!A:A,'תקציב  '!AR:AR)</f>
        <v>2072410.85</v>
      </c>
      <c r="Q7" s="172">
        <f t="shared" si="4"/>
        <v>1.0303454790347193</v>
      </c>
      <c r="R7" s="89">
        <f t="shared" si="5"/>
        <v>62888.299999999814</v>
      </c>
    </row>
    <row r="8" spans="1:18" x14ac:dyDescent="0.2">
      <c r="A8" s="134">
        <v>8</v>
      </c>
      <c r="B8" s="37" t="s">
        <v>113</v>
      </c>
      <c r="C8" s="2" t="s">
        <v>5</v>
      </c>
      <c r="D8" s="89" t="s">
        <v>5</v>
      </c>
      <c r="E8" s="3" t="s">
        <v>40</v>
      </c>
      <c r="F8" s="86">
        <f>ינואר!E8+פברואר!E8+מרץ!E8+אפריל!E8+מאי!E8+יוני!E8+יולי!F8</f>
        <v>492434.94</v>
      </c>
      <c r="G8" s="86">
        <f>ינואר!F8+פברואר!F8+מרץ!F8+אפריל!F8+מאי!F8+יוני!F8+יולי!G8</f>
        <v>523578.05</v>
      </c>
      <c r="H8" s="86">
        <f>ינואר!G8+פברואר!G8+מרץ!G8+אפריל!G8+מאי!G8+יוני!G8+יולי!H8</f>
        <v>392262.87700000004</v>
      </c>
      <c r="I8" s="172">
        <f t="shared" si="2"/>
        <v>-0.25080343417757855</v>
      </c>
      <c r="J8" s="86">
        <f t="shared" si="0"/>
        <v>-131315.17299999995</v>
      </c>
      <c r="L8" s="89">
        <f>ינואר!J8+פברואר!J8+מרץ!J8+אפריל!J8+מאי!J8+יוני!J8+יולי!M8</f>
        <v>715396.82539682544</v>
      </c>
      <c r="M8" s="125">
        <f t="shared" si="3"/>
        <v>0.54831509321056138</v>
      </c>
      <c r="N8" s="89">
        <f t="shared" si="1"/>
        <v>-323133.94839682541</v>
      </c>
      <c r="P8" s="89">
        <f>_xlfn.XLOOKUP($A8,'תקציב  '!A:A,'תקציב  '!AR:AR)</f>
        <v>443097.61100000003</v>
      </c>
      <c r="Q8" s="172">
        <f t="shared" si="4"/>
        <v>0.88527418623342569</v>
      </c>
      <c r="R8" s="89">
        <f t="shared" si="5"/>
        <v>-50834.733999999997</v>
      </c>
    </row>
    <row r="9" spans="1:18" x14ac:dyDescent="0.2">
      <c r="A9" s="134">
        <v>6</v>
      </c>
      <c r="B9" s="37" t="s">
        <v>121</v>
      </c>
      <c r="C9" s="2" t="s">
        <v>4</v>
      </c>
      <c r="D9" s="89" t="s">
        <v>4</v>
      </c>
      <c r="E9" s="3" t="s">
        <v>40</v>
      </c>
      <c r="F9" s="86">
        <f>ינואר!E9+פברואר!E9+מרץ!E9+אפריל!E9+מאי!E9+יוני!E9+יולי!F9</f>
        <v>587623.03999999992</v>
      </c>
      <c r="G9" s="86">
        <f>ינואר!F9+פברואר!F9+מרץ!F9+אפריל!F9+מאי!F9+יוני!F9+יולי!G9</f>
        <v>499249.85000000009</v>
      </c>
      <c r="H9" s="86">
        <f>ינואר!G9+פברואר!G9+מרץ!G9+אפריל!G9+מאי!G9+יוני!G9+יולי!H9</f>
        <v>540913.43999999994</v>
      </c>
      <c r="I9" s="172">
        <f t="shared" si="2"/>
        <v>8.3452383611131387E-2</v>
      </c>
      <c r="J9" s="86">
        <f t="shared" si="0"/>
        <v>41663.589999999851</v>
      </c>
      <c r="L9" s="89">
        <f>ינואר!J9+פברואר!J9+מרץ!J9+אפריל!J9+מאי!J9+יוני!J9+יולי!M9</f>
        <v>1107075.3968253967</v>
      </c>
      <c r="M9" s="125">
        <f t="shared" si="3"/>
        <v>0.48859674919260315</v>
      </c>
      <c r="N9" s="89">
        <f t="shared" si="1"/>
        <v>-566161.95682539674</v>
      </c>
      <c r="P9" s="89">
        <f>_xlfn.XLOOKUP($A9,'תקציב  '!A:A,'תקציב  '!AR:AR)</f>
        <v>575277.56999999995</v>
      </c>
      <c r="Q9" s="172">
        <f t="shared" si="4"/>
        <v>0.94026513149122082</v>
      </c>
      <c r="R9" s="89">
        <f t="shared" si="5"/>
        <v>-34364.130000000005</v>
      </c>
    </row>
    <row r="10" spans="1:18" x14ac:dyDescent="0.2">
      <c r="A10" s="135">
        <v>10</v>
      </c>
      <c r="B10" s="37" t="s">
        <v>120</v>
      </c>
      <c r="C10" s="4" t="s">
        <v>6</v>
      </c>
      <c r="D10" s="89" t="s">
        <v>6</v>
      </c>
      <c r="E10" s="3" t="s">
        <v>40</v>
      </c>
      <c r="F10" s="86">
        <f>ינואר!E10+פברואר!E10+מרץ!E10+אפריל!E10+מאי!E10+יוני!E10+יולי!F10</f>
        <v>119998.88</v>
      </c>
      <c r="G10" s="86">
        <f>ינואר!F10+פברואר!F10+מרץ!F10+אפריל!F10+מאי!F10+יוני!F10+יולי!G10</f>
        <v>106529.25000000001</v>
      </c>
      <c r="H10" s="86">
        <f>ינואר!G10+פברואר!G10+מרץ!G10+אפריל!G10+מאי!G10+יוני!G10+יולי!H10</f>
        <v>66340.88</v>
      </c>
      <c r="I10" s="172">
        <f t="shared" si="2"/>
        <v>-0.37725197539642874</v>
      </c>
      <c r="J10" s="86">
        <f t="shared" si="0"/>
        <v>-40188.37000000001</v>
      </c>
      <c r="L10" s="89">
        <f>ינואר!J10+פברואר!J10+מרץ!J10+אפריל!J10+מאי!J10+יוני!J10+יולי!M10</f>
        <v>109325.39682539682</v>
      </c>
      <c r="M10" s="125">
        <f t="shared" si="3"/>
        <v>0.6068203905626135</v>
      </c>
      <c r="N10" s="89">
        <f t="shared" si="1"/>
        <v>-42984.516825396815</v>
      </c>
      <c r="P10" s="89">
        <f>_xlfn.XLOOKUP($A10,'תקציב  '!A:A,'תקציב  '!AR:AR)</f>
        <v>76235.08</v>
      </c>
      <c r="Q10" s="172">
        <f t="shared" si="4"/>
        <v>0.87021460461509326</v>
      </c>
      <c r="R10" s="89">
        <f t="shared" si="5"/>
        <v>-9894.1999999999971</v>
      </c>
    </row>
    <row r="11" spans="1:18" x14ac:dyDescent="0.2">
      <c r="A11" s="134">
        <v>11</v>
      </c>
      <c r="B11" s="37" t="s">
        <v>117</v>
      </c>
      <c r="C11" s="2" t="s">
        <v>66</v>
      </c>
      <c r="D11" s="89" t="s">
        <v>66</v>
      </c>
      <c r="E11" s="3" t="s">
        <v>40</v>
      </c>
      <c r="F11" s="86">
        <f>ינואר!E11+פברואר!E11+מרץ!E11+אפריל!E11+מאי!E11+יוני!E11+יולי!F11</f>
        <v>41895.050000000003</v>
      </c>
      <c r="G11" s="86">
        <f>ינואר!F11+פברואר!F11+מרץ!F11+אפריל!F11+מאי!F11+יוני!F11+יולי!G11</f>
        <v>40628.090000000004</v>
      </c>
      <c r="H11" s="86">
        <f>ינואר!G11+פברואר!G11+מרץ!G11+אפריל!G11+מאי!G11+יוני!G11+יולי!H11</f>
        <v>37878.58</v>
      </c>
      <c r="I11" s="172">
        <f t="shared" si="2"/>
        <v>-6.7675098681724943E-2</v>
      </c>
      <c r="J11" s="86">
        <f t="shared" si="0"/>
        <v>-2749.510000000002</v>
      </c>
      <c r="L11" s="89">
        <f>ינואר!J11+פברואר!J11+מרץ!J11+אפריל!J11+מאי!J11+יוני!J11+יולי!M11</f>
        <v>55539.68253968253</v>
      </c>
      <c r="M11" s="125">
        <f t="shared" si="3"/>
        <v>0.68200929979994296</v>
      </c>
      <c r="N11" s="89">
        <f t="shared" si="1"/>
        <v>-17661.102539682528</v>
      </c>
      <c r="P11" s="89">
        <f>_xlfn.XLOOKUP($A11,'תקציב  '!A:A,'תקציב  '!AR:AR)</f>
        <v>44015.41</v>
      </c>
      <c r="Q11" s="172">
        <f t="shared" si="4"/>
        <v>0.86057542119907549</v>
      </c>
      <c r="R11" s="89">
        <f t="shared" si="5"/>
        <v>-6136.8300000000017</v>
      </c>
    </row>
    <row r="12" spans="1:18" x14ac:dyDescent="0.2">
      <c r="A12" s="134">
        <v>14</v>
      </c>
      <c r="B12" s="37" t="s">
        <v>116</v>
      </c>
      <c r="C12" s="2" t="s">
        <v>8</v>
      </c>
      <c r="D12" s="89" t="s">
        <v>8</v>
      </c>
      <c r="E12" s="3" t="s">
        <v>40</v>
      </c>
      <c r="F12" s="86">
        <f>ינואר!E12+פברואר!E12+מרץ!E12+אפריל!E12+מאי!E12+יוני!E12+יולי!F12</f>
        <v>1529.6999999999998</v>
      </c>
      <c r="G12" s="86">
        <f>ינואר!F12+פברואר!F12+מרץ!F12+אפריל!F12+מאי!F12+יוני!F12+יולי!G12</f>
        <v>2977.14</v>
      </c>
      <c r="H12" s="86">
        <f>ינואר!G12+פברואר!G12+מרץ!G12+אפריל!G12+מאי!G12+יוני!G12+יולי!H12</f>
        <v>3576.15</v>
      </c>
      <c r="I12" s="172">
        <f t="shared" si="2"/>
        <v>0.20120316814123629</v>
      </c>
      <c r="J12" s="86">
        <f t="shared" si="0"/>
        <v>599.01000000000022</v>
      </c>
      <c r="L12" s="89">
        <f>ינואר!J12+פברואר!J12+מרץ!J12+אפריל!J12+מאי!J12+יוני!J12+יולי!M12</f>
        <v>0</v>
      </c>
      <c r="M12" s="125" t="str">
        <f t="shared" si="3"/>
        <v>-</v>
      </c>
      <c r="N12" s="89">
        <f t="shared" si="1"/>
        <v>3576.15</v>
      </c>
      <c r="P12" s="89">
        <f>_xlfn.XLOOKUP($A12,'תקציב  '!A:A,'תקציב  '!AR:AR)</f>
        <v>8576.15</v>
      </c>
      <c r="Q12" s="172">
        <f t="shared" si="4"/>
        <v>0.41698780921509071</v>
      </c>
      <c r="R12" s="89">
        <f t="shared" si="5"/>
        <v>-5000</v>
      </c>
    </row>
    <row r="13" spans="1:18" x14ac:dyDescent="0.2">
      <c r="A13" s="134">
        <v>15</v>
      </c>
      <c r="B13" s="37" t="s">
        <v>119</v>
      </c>
      <c r="C13" s="2" t="s">
        <v>151</v>
      </c>
      <c r="D13" s="89" t="s">
        <v>151</v>
      </c>
      <c r="E13" s="3" t="s">
        <v>40</v>
      </c>
      <c r="F13" s="86">
        <f>ינואר!E13+פברואר!E13+מרץ!E13+אפריל!E13+מאי!E13+יוני!E13+יולי!F13</f>
        <v>1597.46</v>
      </c>
      <c r="G13" s="86">
        <f>ינואר!F13+פברואר!F13+מרץ!F13+אפריל!F13+מאי!F13+יוני!F13+יולי!G13</f>
        <v>0</v>
      </c>
      <c r="H13" s="86">
        <f>ינואר!G13+פברואר!G13+מרץ!G13+אפריל!G13+מאי!G13+יוני!G13+יולי!H13</f>
        <v>1896.82</v>
      </c>
      <c r="I13" s="172" t="str">
        <f t="shared" si="2"/>
        <v>-</v>
      </c>
      <c r="J13" s="86">
        <f t="shared" si="0"/>
        <v>1896.82</v>
      </c>
      <c r="L13" s="89">
        <f>ינואר!J13+פברואר!J13+מרץ!J13+אפריל!J13+מאי!J13+יוני!J13+יולי!M13</f>
        <v>12500</v>
      </c>
      <c r="M13" s="125">
        <f t="shared" si="3"/>
        <v>0.15174560000000001</v>
      </c>
      <c r="N13" s="89">
        <f t="shared" si="1"/>
        <v>-10603.18</v>
      </c>
      <c r="P13" s="89">
        <f>_xlfn.XLOOKUP($A13,'תקציב  '!A:A,'תקציב  '!AR:AR)</f>
        <v>6896.82</v>
      </c>
      <c r="Q13" s="172">
        <f t="shared" si="4"/>
        <v>0.27502820140296541</v>
      </c>
      <c r="R13" s="89">
        <f t="shared" si="5"/>
        <v>-5000</v>
      </c>
    </row>
    <row r="14" spans="1:18" x14ac:dyDescent="0.2">
      <c r="A14" s="134">
        <v>13</v>
      </c>
      <c r="B14" s="37" t="s">
        <v>114</v>
      </c>
      <c r="C14" s="2" t="s">
        <v>45</v>
      </c>
      <c r="D14" s="89" t="s">
        <v>45</v>
      </c>
      <c r="E14" s="3" t="s">
        <v>40</v>
      </c>
      <c r="F14" s="86">
        <f>ינואר!E14+פברואר!E14+מרץ!E14+אפריל!E14+מאי!E14+יוני!E14+יולי!F14</f>
        <v>5854.85</v>
      </c>
      <c r="G14" s="86">
        <f>ינואר!F14+פברואר!F14+מרץ!F14+אפריל!F14+מאי!F14+יוני!F14+יולי!G14</f>
        <v>11718.66</v>
      </c>
      <c r="H14" s="86">
        <f>ינואר!G14+פברואר!G14+מרץ!G14+אפריל!G14+מאי!G14+יוני!G14+יולי!H14</f>
        <v>8226.92</v>
      </c>
      <c r="I14" s="172">
        <f t="shared" si="2"/>
        <v>-0.29796410169763432</v>
      </c>
      <c r="J14" s="86">
        <f t="shared" si="0"/>
        <v>-3491.74</v>
      </c>
      <c r="L14" s="89">
        <f>ינואר!J14+פברואר!J14+מרץ!J14+אפריל!J14+מאי!J14+יוני!J14+יולי!M14</f>
        <v>200000</v>
      </c>
      <c r="M14" s="125">
        <f t="shared" si="3"/>
        <v>4.11346E-2</v>
      </c>
      <c r="N14" s="89">
        <f t="shared" si="1"/>
        <v>-191773.08</v>
      </c>
      <c r="P14" s="89">
        <f>_xlfn.XLOOKUP($A14,'תקציב  '!A:A,'תקציב  '!AR:AR)</f>
        <v>12748.720000000001</v>
      </c>
      <c r="Q14" s="172">
        <f t="shared" si="4"/>
        <v>0.64531341185624902</v>
      </c>
      <c r="R14" s="89">
        <f t="shared" si="5"/>
        <v>-4521.8000000000011</v>
      </c>
    </row>
    <row r="15" spans="1:18" x14ac:dyDescent="0.2">
      <c r="A15" s="134">
        <v>9</v>
      </c>
      <c r="B15" s="37" t="s">
        <v>118</v>
      </c>
      <c r="C15" s="2" t="s">
        <v>73</v>
      </c>
      <c r="D15" s="89" t="s">
        <v>73</v>
      </c>
      <c r="E15" s="3" t="s">
        <v>40</v>
      </c>
      <c r="F15" s="86">
        <f>ינואר!E15+פברואר!E15+מרץ!E15+אפריל!E15+מאי!E15+יוני!E15+יולי!F15</f>
        <v>48588.56</v>
      </c>
      <c r="G15" s="86">
        <f>ינואר!F15+פברואר!F15+מרץ!F15+אפריל!F15+מאי!F15+יוני!F15+יולי!G15</f>
        <v>61986.23000000001</v>
      </c>
      <c r="H15" s="86">
        <f>ינואר!G15+פברואר!G15+מרץ!G15+אפריל!G15+מאי!G15+יוני!G15+יולי!H15</f>
        <v>99136.83</v>
      </c>
      <c r="I15" s="172">
        <f t="shared" si="2"/>
        <v>0.5993363364734392</v>
      </c>
      <c r="J15" s="86">
        <f t="shared" si="0"/>
        <v>37150.599999999991</v>
      </c>
      <c r="L15" s="89">
        <f>ינואר!J15+פברואר!J15+מרץ!J15+אפריל!J15+מאי!J15+יוני!J15+יולי!M15</f>
        <v>115079.36507936506</v>
      </c>
      <c r="M15" s="125">
        <f t="shared" si="3"/>
        <v>0.86146486758620711</v>
      </c>
      <c r="N15" s="89">
        <f t="shared" si="1"/>
        <v>-15942.535079365058</v>
      </c>
      <c r="P15" s="89">
        <f>_xlfn.XLOOKUP($A15,'תקציב  '!A:A,'תקציב  '!AR:AR)</f>
        <v>114111.1</v>
      </c>
      <c r="Q15" s="172">
        <f t="shared" si="4"/>
        <v>0.86877464155546658</v>
      </c>
      <c r="R15" s="89">
        <f t="shared" si="5"/>
        <v>-14974.270000000004</v>
      </c>
    </row>
    <row r="16" spans="1:18" ht="15" x14ac:dyDescent="0.25">
      <c r="A16" s="136"/>
      <c r="C16" s="161" t="s">
        <v>221</v>
      </c>
      <c r="D16" s="152" t="s">
        <v>221</v>
      </c>
      <c r="E16" s="152"/>
      <c r="F16" s="152">
        <f>SUM(F3:F15)</f>
        <v>9909012.0100000016</v>
      </c>
      <c r="G16" s="152">
        <f>SUM(G3:G15)</f>
        <v>9873502.0920000393</v>
      </c>
      <c r="H16" s="152">
        <f>SUM(H3:H15)</f>
        <v>8909146.1330000013</v>
      </c>
      <c r="I16" s="173">
        <f t="shared" si="2"/>
        <v>-9.7671115072878067E-2</v>
      </c>
      <c r="J16" s="152">
        <f>SUM(J3:J15)</f>
        <v>-964355.95900003857</v>
      </c>
      <c r="L16" s="152">
        <f>SUM(L3:L15)</f>
        <v>11802472.222222224</v>
      </c>
      <c r="M16" s="173">
        <f t="shared" si="3"/>
        <v>0.75485423437180066</v>
      </c>
      <c r="N16" s="152">
        <f>SUM(N3:N15)</f>
        <v>-2893326.0892222221</v>
      </c>
      <c r="P16" s="152">
        <f>SUM(P3:P15)</f>
        <v>9274549.0470000021</v>
      </c>
      <c r="Q16" s="173">
        <f t="shared" si="4"/>
        <v>0.9606015438434502</v>
      </c>
      <c r="R16" s="152">
        <f t="shared" si="5"/>
        <v>-365402.9140000008</v>
      </c>
    </row>
    <row r="17" spans="1:18" x14ac:dyDescent="0.2">
      <c r="A17" s="134">
        <v>2</v>
      </c>
      <c r="B17" s="37" t="s">
        <v>111</v>
      </c>
      <c r="C17" s="2" t="s">
        <v>7</v>
      </c>
      <c r="D17" s="89" t="s">
        <v>7</v>
      </c>
      <c r="E17" s="3" t="s">
        <v>40</v>
      </c>
      <c r="F17" s="86">
        <f>ינואר!E17+פברואר!E17+מרץ!E17+אפריל!E17+מאי!E17+יוני!E17+יולי!F17</f>
        <v>329800.8299999999</v>
      </c>
      <c r="G17" s="86">
        <f>ינואר!F17+פברואר!F17+מרץ!F17+אפריל!F17+מאי!F17+יוני!F17+יולי!G17</f>
        <v>777178.22999999847</v>
      </c>
      <c r="H17" s="86">
        <f>ינואר!G17+פברואר!G17+מרץ!G17+אפריל!G17+מאי!G17+יוני!G17+יולי!H17</f>
        <v>2629256.5300000277</v>
      </c>
      <c r="I17" s="172">
        <f t="shared" si="2"/>
        <v>2.3830805193810343</v>
      </c>
      <c r="J17" s="86">
        <f>H17-G17</f>
        <v>1852078.3000000292</v>
      </c>
      <c r="L17" s="89">
        <f>ינואר!J17+פברואר!J17+מרץ!J17+אפריל!J17+מאי!J17+יוני!J17+יולי!M17</f>
        <v>4142090.677966102</v>
      </c>
      <c r="M17" s="125">
        <f t="shared" si="3"/>
        <v>0.63476556512545401</v>
      </c>
      <c r="N17" s="89">
        <f>H17-L17</f>
        <v>-1512834.1479660743</v>
      </c>
      <c r="P17" s="89">
        <f>_xlfn.XLOOKUP($A17,'תקציב  '!A:A,'תקציב  '!AR:AR)</f>
        <v>2681238.2000000309</v>
      </c>
      <c r="Q17" s="172">
        <f t="shared" si="4"/>
        <v>0.98061281164799063</v>
      </c>
      <c r="R17" s="89">
        <f t="shared" si="5"/>
        <v>-51981.670000003185</v>
      </c>
    </row>
    <row r="18" spans="1:18" x14ac:dyDescent="0.2">
      <c r="A18" s="134">
        <v>12</v>
      </c>
      <c r="B18" s="37" t="s">
        <v>110</v>
      </c>
      <c r="C18" s="14" t="s">
        <v>65</v>
      </c>
      <c r="D18" s="89" t="s">
        <v>65</v>
      </c>
      <c r="E18" s="3" t="s">
        <v>40</v>
      </c>
      <c r="F18" s="86">
        <f>ינואר!E18+פברואר!E18+מרץ!E18+אפריל!E18+מאי!E18+יוני!E18+יולי!F18</f>
        <v>17917.620000000003</v>
      </c>
      <c r="G18" s="86">
        <f>ינואר!F18+פברואר!F18+מרץ!F18+אפריל!F18+מאי!F18+יוני!F18+יולי!G18</f>
        <v>18647.27</v>
      </c>
      <c r="H18" s="86">
        <f>ינואר!G18+פברואר!G18+מרץ!G18+אפריל!G18+מאי!G18+יוני!G18+יולי!H18</f>
        <v>11548.760000000002</v>
      </c>
      <c r="I18" s="172">
        <f t="shared" si="2"/>
        <v>-0.38067288133866239</v>
      </c>
      <c r="J18" s="86">
        <f>H18-G18</f>
        <v>-7098.5099999999984</v>
      </c>
      <c r="L18" s="89">
        <f>ינואר!J18+פברואר!J18+מרץ!J18+אפריל!J18+מאי!J18+יוני!J18+יולי!M18</f>
        <v>17758.498333333329</v>
      </c>
      <c r="M18" s="125">
        <f t="shared" si="3"/>
        <v>0.65032300497630313</v>
      </c>
      <c r="N18" s="89">
        <f>H18-L18</f>
        <v>-6209.7383333333273</v>
      </c>
      <c r="P18" s="89">
        <f>_xlfn.XLOOKUP($A18,'תקציב  '!A:A,'תקציב  '!AR:AR)</f>
        <v>14807.020000000002</v>
      </c>
      <c r="Q18" s="172">
        <f t="shared" si="4"/>
        <v>0.77995167157199763</v>
      </c>
      <c r="R18" s="89">
        <f t="shared" si="5"/>
        <v>-3258.26</v>
      </c>
    </row>
    <row r="19" spans="1:18" s="93" customFormat="1" ht="15" x14ac:dyDescent="0.25">
      <c r="A19" s="135"/>
      <c r="C19" s="162" t="s">
        <v>41</v>
      </c>
      <c r="D19" s="152" t="s">
        <v>41</v>
      </c>
      <c r="E19" s="152"/>
      <c r="F19" s="152">
        <f>F16+F17+F18</f>
        <v>10256730.460000001</v>
      </c>
      <c r="G19" s="152">
        <f>G16+G17+G18</f>
        <v>10669327.592000037</v>
      </c>
      <c r="H19" s="152">
        <f>H16+H17+H18</f>
        <v>11549951.423000028</v>
      </c>
      <c r="I19" s="173">
        <f t="shared" si="2"/>
        <v>8.2537894108743126E-2</v>
      </c>
      <c r="J19" s="152">
        <f>J16+J17+J18</f>
        <v>880623.83099999058</v>
      </c>
      <c r="L19" s="152">
        <f>L16+L17+L18</f>
        <v>15962321.39852166</v>
      </c>
      <c r="M19" s="173">
        <f t="shared" si="3"/>
        <v>0.72357592198774545</v>
      </c>
      <c r="N19" s="152">
        <f>N16+N17+N18</f>
        <v>-4412369.9755216297</v>
      </c>
      <c r="P19" s="152">
        <f>P16+P17+P18</f>
        <v>11970594.267000033</v>
      </c>
      <c r="Q19" s="173">
        <f t="shared" si="4"/>
        <v>0.96486032066431215</v>
      </c>
      <c r="R19" s="152">
        <f t="shared" si="5"/>
        <v>-420642.84400000423</v>
      </c>
    </row>
    <row r="20" spans="1:18" x14ac:dyDescent="0.2">
      <c r="A20" s="135">
        <v>50</v>
      </c>
      <c r="B20" s="37" t="s">
        <v>92</v>
      </c>
      <c r="C20" s="91" t="s">
        <v>74</v>
      </c>
      <c r="D20" s="89" t="s">
        <v>47</v>
      </c>
      <c r="E20" s="3" t="s">
        <v>38</v>
      </c>
      <c r="F20" s="86">
        <f>ינואר!E20+פברואר!E20+מרץ!E20+אפריל!E20+מאי!E20+יוני!E20+יולי!F20</f>
        <v>2374449.3200000003</v>
      </c>
      <c r="G20" s="86">
        <f>ינואר!F20+פברואר!F20+מרץ!F20+אפריל!F20+מאי!F20+יוני!F20+יולי!G20</f>
        <v>1528486.7200000002</v>
      </c>
      <c r="H20" s="86">
        <f>ינואר!G20+פברואר!G20+מרץ!G20+אפריל!G20+מאי!G20+יוני!G20+יולי!H20</f>
        <v>1478351.96</v>
      </c>
      <c r="I20" s="172">
        <f t="shared" si="2"/>
        <v>-3.2800258807613503E-2</v>
      </c>
      <c r="J20" s="86">
        <f t="shared" ref="J20:J39" si="6">H20-G20</f>
        <v>-50134.760000000242</v>
      </c>
      <c r="L20" s="89">
        <f>ינואר!J20+פברואר!J20+מרץ!J20+אפריל!J20+מאי!J20+יוני!J20+יולי!M20</f>
        <v>2572708.8094124999</v>
      </c>
      <c r="M20" s="125">
        <f t="shared" si="3"/>
        <v>0.57462856060169298</v>
      </c>
      <c r="N20" s="89">
        <f t="shared" ref="N20:N39" si="7">H20-L20</f>
        <v>-1094356.8494124999</v>
      </c>
      <c r="P20" s="89">
        <f>_xlfn.XLOOKUP($A20,'תקציב  '!A:A,'תקציב  '!AR:AR)</f>
        <v>1520324.21</v>
      </c>
      <c r="Q20" s="172">
        <f t="shared" si="4"/>
        <v>0.97239256618823433</v>
      </c>
      <c r="R20" s="89">
        <f t="shared" si="5"/>
        <v>-41972.25</v>
      </c>
    </row>
    <row r="21" spans="1:18" x14ac:dyDescent="0.2">
      <c r="A21" s="135">
        <v>20</v>
      </c>
      <c r="B21" s="37" t="s">
        <v>93</v>
      </c>
      <c r="C21" s="91" t="s">
        <v>75</v>
      </c>
      <c r="D21" s="89" t="s">
        <v>13</v>
      </c>
      <c r="E21" s="3" t="s">
        <v>39</v>
      </c>
      <c r="F21" s="86">
        <f>ינואר!E21+פברואר!E21+מרץ!E21+אפריל!E21+מאי!E21+יוני!E21+יולי!F21</f>
        <v>583923.41</v>
      </c>
      <c r="G21" s="86">
        <f>ינואר!F21+פברואר!F21+מרץ!F21+אפריל!F21+מאי!F21+יוני!F21+יולי!G21</f>
        <v>617670.46</v>
      </c>
      <c r="H21" s="86">
        <f>ינואר!G21+פברואר!G21+מרץ!G21+אפריל!G21+מאי!G21+יוני!G21+יולי!H21</f>
        <v>342081.02</v>
      </c>
      <c r="I21" s="172">
        <f t="shared" si="2"/>
        <v>-0.44617552213845546</v>
      </c>
      <c r="J21" s="86">
        <f t="shared" si="6"/>
        <v>-275589.43999999994</v>
      </c>
      <c r="L21" s="89">
        <f>ינואר!J21+פברואר!J21+מרץ!J21+אפריל!J21+מאי!J21+יוני!J21+יולי!M21</f>
        <v>676200</v>
      </c>
      <c r="M21" s="125">
        <f t="shared" si="3"/>
        <v>0.50588734102336586</v>
      </c>
      <c r="N21" s="89">
        <f t="shared" si="7"/>
        <v>-334118.98</v>
      </c>
      <c r="P21" s="89">
        <f>_xlfn.XLOOKUP($A21,'תקציב  '!A:A,'תקציב  '!AR:AR)</f>
        <v>342081.02</v>
      </c>
      <c r="Q21" s="172">
        <f t="shared" si="4"/>
        <v>1</v>
      </c>
      <c r="R21" s="89">
        <f t="shared" si="5"/>
        <v>0</v>
      </c>
    </row>
    <row r="22" spans="1:18" x14ac:dyDescent="0.2">
      <c r="A22" s="135">
        <v>21</v>
      </c>
      <c r="B22" s="37" t="s">
        <v>94</v>
      </c>
      <c r="C22" s="91" t="s">
        <v>80</v>
      </c>
      <c r="D22" s="89" t="s">
        <v>18</v>
      </c>
      <c r="E22" s="3" t="s">
        <v>19</v>
      </c>
      <c r="F22" s="86">
        <f>ינואר!E22+פברואר!E22+מרץ!E22+אפריל!E22+מאי!E22+יוני!E22+יולי!F22</f>
        <v>380388.9</v>
      </c>
      <c r="G22" s="86">
        <f>ינואר!F22+פברואר!F22+מרץ!F22+אפריל!F22+מאי!F22+יוני!F22+יולי!G22</f>
        <v>276483.18</v>
      </c>
      <c r="H22" s="86">
        <f>ינואר!G22+פברואר!G22+מרץ!G22+אפריל!G22+מאי!G22+יוני!G22+יולי!H22</f>
        <v>333276.52</v>
      </c>
      <c r="I22" s="172">
        <f t="shared" si="2"/>
        <v>0.20541336366284568</v>
      </c>
      <c r="J22" s="86">
        <f t="shared" si="6"/>
        <v>56793.340000000026</v>
      </c>
      <c r="L22" s="89">
        <f>ינואר!J22+פברואר!J22+מרץ!J22+אפריל!J22+מאי!J22+יוני!J22+יולי!M22</f>
        <v>315000.27</v>
      </c>
      <c r="M22" s="125">
        <f t="shared" si="3"/>
        <v>1.0580197915385914</v>
      </c>
      <c r="N22" s="89">
        <f t="shared" si="7"/>
        <v>18276.25</v>
      </c>
      <c r="P22" s="89">
        <f>_xlfn.XLOOKUP($A22,'תקציב  '!A:A,'תקציב  '!AR:AR)</f>
        <v>333276.52</v>
      </c>
      <c r="Q22" s="172">
        <f t="shared" si="4"/>
        <v>1</v>
      </c>
      <c r="R22" s="89">
        <f t="shared" si="5"/>
        <v>0</v>
      </c>
    </row>
    <row r="23" spans="1:18" x14ac:dyDescent="0.2">
      <c r="A23" s="135">
        <v>22</v>
      </c>
      <c r="B23" s="37" t="s">
        <v>95</v>
      </c>
      <c r="C23" s="91" t="s">
        <v>82</v>
      </c>
      <c r="D23" s="89" t="s">
        <v>14</v>
      </c>
      <c r="E23" s="3" t="s">
        <v>15</v>
      </c>
      <c r="F23" s="86">
        <f>ינואר!E23+פברואר!E23+מרץ!E23+אפריל!E23+מאי!E23+יוני!E23+יולי!F23</f>
        <v>326928.15999999997</v>
      </c>
      <c r="G23" s="86">
        <f>ינואר!F23+פברואר!F23+מרץ!F23+אפריל!F23+מאי!F23+יוני!F23+יולי!G23</f>
        <v>262177.55</v>
      </c>
      <c r="H23" s="86">
        <f>ינואר!G23+פברואר!G23+מרץ!G23+אפריל!G23+מאי!G23+יוני!G23+יולי!H23</f>
        <v>307053.13</v>
      </c>
      <c r="I23" s="172">
        <f t="shared" si="2"/>
        <v>0.17116484611287275</v>
      </c>
      <c r="J23" s="86">
        <f t="shared" si="6"/>
        <v>44875.580000000016</v>
      </c>
      <c r="L23" s="89">
        <f>ינואר!J23+פברואר!J23+מרץ!J23+אפריל!J23+מאי!J23+יוני!J23+יולי!M23</f>
        <v>332158.96999999997</v>
      </c>
      <c r="M23" s="125">
        <f t="shared" si="3"/>
        <v>0.92441619143990006</v>
      </c>
      <c r="N23" s="89">
        <f t="shared" si="7"/>
        <v>-25105.839999999967</v>
      </c>
      <c r="P23" s="89">
        <f>_xlfn.XLOOKUP($A23,'תקציב  '!A:A,'תקציב  '!AR:AR)</f>
        <v>307053.13</v>
      </c>
      <c r="Q23" s="172">
        <f t="shared" si="4"/>
        <v>1</v>
      </c>
      <c r="R23" s="89">
        <f t="shared" si="5"/>
        <v>0</v>
      </c>
    </row>
    <row r="24" spans="1:18" x14ac:dyDescent="0.2">
      <c r="A24" s="135">
        <v>23</v>
      </c>
      <c r="B24" s="37" t="s">
        <v>96</v>
      </c>
      <c r="C24" s="91" t="s">
        <v>78</v>
      </c>
      <c r="D24" s="89" t="s">
        <v>24</v>
      </c>
      <c r="E24" s="3" t="s">
        <v>25</v>
      </c>
      <c r="F24" s="86">
        <f>ינואר!E24+פברואר!E24+מרץ!E24+אפריל!E24+מאי!E24+יוני!E24+יולי!F24</f>
        <v>80639.3</v>
      </c>
      <c r="G24" s="86">
        <f>ינואר!F24+פברואר!F24+מרץ!F24+אפריל!F24+מאי!F24+יוני!F24+יולי!G24</f>
        <v>72684.259999999995</v>
      </c>
      <c r="H24" s="86">
        <f>ינואר!G24+פברואר!G24+מרץ!G24+אפריל!G24+מאי!G24+יוני!G24+יולי!H24</f>
        <v>96129.95</v>
      </c>
      <c r="I24" s="172">
        <f t="shared" si="2"/>
        <v>0.32256901287844175</v>
      </c>
      <c r="J24" s="86">
        <f t="shared" si="6"/>
        <v>23445.690000000002</v>
      </c>
      <c r="L24" s="89">
        <f>ינואר!J24+פברואר!J24+מרץ!J24+אפריל!J24+מאי!J24+יוני!J24+יולי!M24</f>
        <v>86774.92</v>
      </c>
      <c r="M24" s="125">
        <f t="shared" si="3"/>
        <v>1.1078079933695129</v>
      </c>
      <c r="N24" s="89">
        <f t="shared" si="7"/>
        <v>9355.0299999999988</v>
      </c>
      <c r="P24" s="89">
        <f>_xlfn.XLOOKUP($A24,'תקציב  '!A:A,'תקציב  '!AR:AR)</f>
        <v>96678.59</v>
      </c>
      <c r="Q24" s="172">
        <f t="shared" si="4"/>
        <v>0.99432511376096822</v>
      </c>
      <c r="R24" s="89">
        <f t="shared" si="5"/>
        <v>-548.63999999999942</v>
      </c>
    </row>
    <row r="25" spans="1:18" x14ac:dyDescent="0.2">
      <c r="A25" s="135">
        <v>24</v>
      </c>
      <c r="B25" s="37" t="s">
        <v>97</v>
      </c>
      <c r="C25" s="91" t="s">
        <v>79</v>
      </c>
      <c r="D25" s="89" t="s">
        <v>27</v>
      </c>
      <c r="E25" s="3" t="s">
        <v>46</v>
      </c>
      <c r="F25" s="86">
        <f>ינואר!E25+פברואר!E25+מרץ!E25+אפריל!E25+מאי!E25+יוני!E25+יולי!F25</f>
        <v>116140.04999999999</v>
      </c>
      <c r="G25" s="86">
        <f>ינואר!F25+פברואר!F25+מרץ!F25+אפריל!F25+מאי!F25+יוני!F25+יולי!G25</f>
        <v>52899.82</v>
      </c>
      <c r="H25" s="86">
        <f>ינואר!G25+פברואר!G25+מרץ!G25+אפריל!G25+מאי!G25+יוני!G25+יולי!H25</f>
        <v>0</v>
      </c>
      <c r="I25" s="172">
        <f t="shared" si="2"/>
        <v>-1</v>
      </c>
      <c r="J25" s="86">
        <f t="shared" si="6"/>
        <v>-52899.82</v>
      </c>
      <c r="L25" s="89">
        <f>ינואר!J25+פברואר!J25+מרץ!J25+אפריל!J25+מאי!J25+יוני!J25+יולי!M25</f>
        <v>25000</v>
      </c>
      <c r="M25" s="125">
        <f t="shared" si="3"/>
        <v>0</v>
      </c>
      <c r="N25" s="89">
        <f t="shared" si="7"/>
        <v>-25000</v>
      </c>
      <c r="P25" s="89">
        <f>_xlfn.XLOOKUP($A25,'תקציב  '!A:A,'תקציב  '!AR:AR)</f>
        <v>0</v>
      </c>
      <c r="Q25" s="172" t="str">
        <f t="shared" si="4"/>
        <v>-</v>
      </c>
      <c r="R25" s="89">
        <f t="shared" si="5"/>
        <v>0</v>
      </c>
    </row>
    <row r="26" spans="1:18" ht="13.5" customHeight="1" x14ac:dyDescent="0.2">
      <c r="A26" s="135">
        <v>25</v>
      </c>
      <c r="B26" s="37" t="s">
        <v>98</v>
      </c>
      <c r="C26" s="91" t="s">
        <v>87</v>
      </c>
      <c r="D26" s="89" t="s">
        <v>20</v>
      </c>
      <c r="E26" s="3" t="s">
        <v>21</v>
      </c>
      <c r="F26" s="86">
        <f>ינואר!E26+פברואר!E26+מרץ!E26+אפריל!E26+מאי!E26+יוני!E26+יולי!F26</f>
        <v>249206.12</v>
      </c>
      <c r="G26" s="86">
        <f>ינואר!F26+פברואר!F26+מרץ!F26+אפריל!F26+מאי!F26+יוני!F26+יולי!G26</f>
        <v>172805.93</v>
      </c>
      <c r="H26" s="86">
        <f>ינואר!G26+פברואר!G26+מרץ!G26+אפריל!G26+מאי!G26+יוני!G26+יולי!H26</f>
        <v>365555.25</v>
      </c>
      <c r="I26" s="172">
        <f t="shared" si="2"/>
        <v>1.115409176062419</v>
      </c>
      <c r="J26" s="86">
        <f t="shared" si="6"/>
        <v>192749.32</v>
      </c>
      <c r="L26" s="89">
        <f>ינואר!J26+פברואר!J26+מרץ!J26+אפריל!J26+מאי!J26+יוני!J26+יולי!M26</f>
        <v>300000</v>
      </c>
      <c r="M26" s="125">
        <f t="shared" si="3"/>
        <v>1.2185174999999999</v>
      </c>
      <c r="N26" s="89">
        <f t="shared" si="7"/>
        <v>65555.25</v>
      </c>
      <c r="P26" s="89">
        <f>_xlfn.XLOOKUP($A26,'תקציב  '!A:A,'תקציב  '!AR:AR)</f>
        <v>384147.47</v>
      </c>
      <c r="Q26" s="172">
        <f t="shared" si="4"/>
        <v>0.95160134726385159</v>
      </c>
      <c r="R26" s="89">
        <f t="shared" si="5"/>
        <v>-18592.219999999972</v>
      </c>
    </row>
    <row r="27" spans="1:18" x14ac:dyDescent="0.2">
      <c r="A27" s="135">
        <v>26</v>
      </c>
      <c r="B27" s="37" t="s">
        <v>99</v>
      </c>
      <c r="C27" s="91" t="s">
        <v>77</v>
      </c>
      <c r="D27" s="89" t="s">
        <v>26</v>
      </c>
      <c r="E27" s="3" t="s">
        <v>28</v>
      </c>
      <c r="F27" s="86">
        <f>ינואר!E27+פברואר!E27+מרץ!E27+אפריל!E27+מאי!E27+יוני!E27+יולי!F27</f>
        <v>100776.78</v>
      </c>
      <c r="G27" s="86">
        <f>ינואר!F27+פברואר!F27+מרץ!F27+אפריל!F27+מאי!F27+יוני!F27+יולי!G27</f>
        <v>66251.42</v>
      </c>
      <c r="H27" s="86">
        <f>ינואר!G27+פברואר!G27+מרץ!G27+אפריל!G27+מאי!G27+יוני!G27+יולי!H27</f>
        <v>60694.009999999995</v>
      </c>
      <c r="I27" s="172">
        <f t="shared" si="2"/>
        <v>-8.3883636003575512E-2</v>
      </c>
      <c r="J27" s="86">
        <f t="shared" si="6"/>
        <v>-5557.4100000000035</v>
      </c>
      <c r="L27" s="89">
        <f>ינואר!J27+פברואר!J27+מרץ!J27+אפריל!J27+מאי!J27+יוני!J27+יולי!M27</f>
        <v>120000</v>
      </c>
      <c r="M27" s="125">
        <f t="shared" si="3"/>
        <v>0.5057834166666666</v>
      </c>
      <c r="N27" s="89">
        <f t="shared" si="7"/>
        <v>-59305.990000000005</v>
      </c>
      <c r="P27" s="89">
        <f>_xlfn.XLOOKUP($A27,'תקציב  '!A:A,'תקציב  '!AR:AR)</f>
        <v>60694.009999999995</v>
      </c>
      <c r="Q27" s="172">
        <f t="shared" si="4"/>
        <v>1</v>
      </c>
      <c r="R27" s="89">
        <f t="shared" si="5"/>
        <v>0</v>
      </c>
    </row>
    <row r="28" spans="1:18" ht="13.5" customHeight="1" x14ac:dyDescent="0.2">
      <c r="A28" s="135">
        <v>27</v>
      </c>
      <c r="B28" s="37" t="s">
        <v>100</v>
      </c>
      <c r="C28" s="91" t="s">
        <v>88</v>
      </c>
      <c r="D28" s="89" t="s">
        <v>22</v>
      </c>
      <c r="E28" s="3" t="s">
        <v>23</v>
      </c>
      <c r="F28" s="86">
        <f>ינואר!E28+פברואר!E28+מרץ!E28+אפריל!E28+מאי!E28+יוני!E28+יולי!F28</f>
        <v>171813.81000000003</v>
      </c>
      <c r="G28" s="86">
        <f>ינואר!F28+פברואר!F28+מרץ!F28+אפריל!F28+מאי!F28+יוני!F28+יולי!G28</f>
        <v>0.22</v>
      </c>
      <c r="H28" s="86">
        <f>ינואר!G28+פברואר!G28+מרץ!G28+אפריל!G28+מאי!G28+יוני!G28+יולי!H28</f>
        <v>0</v>
      </c>
      <c r="I28" s="172">
        <f t="shared" si="2"/>
        <v>-1</v>
      </c>
      <c r="J28" s="86">
        <f t="shared" si="6"/>
        <v>-0.22</v>
      </c>
      <c r="L28" s="89">
        <f>ינואר!J28+פברואר!J28+מרץ!J28+אפריל!J28+מאי!J28+יוני!J28+יולי!M28</f>
        <v>0</v>
      </c>
      <c r="M28" s="125" t="str">
        <f t="shared" si="3"/>
        <v>-</v>
      </c>
      <c r="N28" s="89">
        <f t="shared" si="7"/>
        <v>0</v>
      </c>
      <c r="P28" s="89">
        <f>_xlfn.XLOOKUP($A28,'תקציב  '!A:A,'תקציב  '!AR:AR)</f>
        <v>0</v>
      </c>
      <c r="Q28" s="172" t="str">
        <f t="shared" si="4"/>
        <v>-</v>
      </c>
      <c r="R28" s="89">
        <f t="shared" si="5"/>
        <v>0</v>
      </c>
    </row>
    <row r="29" spans="1:18" ht="13.5" customHeight="1" x14ac:dyDescent="0.2">
      <c r="A29" s="135">
        <v>28</v>
      </c>
      <c r="B29" s="37" t="s">
        <v>101</v>
      </c>
      <c r="C29" s="91" t="s">
        <v>89</v>
      </c>
      <c r="D29" s="89" t="s">
        <v>16</v>
      </c>
      <c r="E29" s="3" t="s">
        <v>17</v>
      </c>
      <c r="F29" s="86">
        <f>ינואר!E29+פברואר!E29+מרץ!E29+אפריל!E29+מאי!E29+יוני!E29+יולי!F29</f>
        <v>199444.78999999998</v>
      </c>
      <c r="G29" s="86">
        <f>ינואר!F29+פברואר!F29+מרץ!F29+אפריל!F29+מאי!F29+יוני!F29+יולי!G29</f>
        <v>244647.59000000003</v>
      </c>
      <c r="H29" s="86">
        <f>ינואר!G29+פברואר!G29+מרץ!G29+אפריל!G29+מאי!G29+יוני!G29+יולי!H29</f>
        <v>245167.22999999998</v>
      </c>
      <c r="I29" s="172">
        <f t="shared" si="2"/>
        <v>2.1240348208619864E-3</v>
      </c>
      <c r="J29" s="86">
        <f t="shared" si="6"/>
        <v>519.63999999995576</v>
      </c>
      <c r="L29" s="89">
        <f>ינואר!J29+פברואר!J29+מרץ!J29+אפריל!J29+מאי!J29+יוני!J29+יולי!M29</f>
        <v>251174.62</v>
      </c>
      <c r="M29" s="125">
        <f t="shared" si="3"/>
        <v>0.97608281441811273</v>
      </c>
      <c r="N29" s="89">
        <f t="shared" si="7"/>
        <v>-6007.390000000014</v>
      </c>
      <c r="P29" s="89">
        <f>_xlfn.XLOOKUP($A29,'תקציב  '!A:A,'תקציב  '!AR:AR)</f>
        <v>243207.09</v>
      </c>
      <c r="Q29" s="172">
        <f t="shared" si="4"/>
        <v>1.0080595512244317</v>
      </c>
      <c r="R29" s="89">
        <f t="shared" si="5"/>
        <v>1960.1399999999849</v>
      </c>
    </row>
    <row r="30" spans="1:18" x14ac:dyDescent="0.2">
      <c r="A30" s="135">
        <v>29</v>
      </c>
      <c r="B30" s="37" t="s">
        <v>102</v>
      </c>
      <c r="C30" s="91" t="s">
        <v>81</v>
      </c>
      <c r="D30" s="89" t="s">
        <v>29</v>
      </c>
      <c r="E30" s="3" t="s">
        <v>30</v>
      </c>
      <c r="F30" s="86">
        <f>ינואר!E30+פברואר!E30+מרץ!E30+אפריל!E30+מאי!E30+יוני!E30+יולי!F30</f>
        <v>49617.59</v>
      </c>
      <c r="G30" s="86">
        <f>ינואר!F30+פברואר!F30+מרץ!F30+אפריל!F30+מאי!F30+יוני!F30+יולי!G30</f>
        <v>32010.18</v>
      </c>
      <c r="H30" s="86">
        <f>ינואר!G30+פברואר!G30+מרץ!G30+אפריל!G30+מאי!G30+יוני!G30+יולי!H30</f>
        <v>43116.44</v>
      </c>
      <c r="I30" s="172">
        <f t="shared" si="2"/>
        <v>0.34696024827101879</v>
      </c>
      <c r="J30" s="86">
        <f t="shared" si="6"/>
        <v>11106.260000000002</v>
      </c>
      <c r="L30" s="89">
        <f>ינואר!J30+פברואר!J30+מרץ!J30+אפריל!J30+מאי!J30+יוני!J30+יולי!M30</f>
        <v>35000</v>
      </c>
      <c r="M30" s="125">
        <f t="shared" si="3"/>
        <v>1.2318982857142857</v>
      </c>
      <c r="N30" s="89">
        <f t="shared" si="7"/>
        <v>8116.4400000000023</v>
      </c>
      <c r="P30" s="89">
        <f>_xlfn.XLOOKUP($A30,'תקציב  '!A:A,'תקציב  '!AR:AR)</f>
        <v>43116.44</v>
      </c>
      <c r="Q30" s="172">
        <f t="shared" si="4"/>
        <v>1</v>
      </c>
      <c r="R30" s="89">
        <f t="shared" si="5"/>
        <v>0</v>
      </c>
    </row>
    <row r="31" spans="1:18" x14ac:dyDescent="0.2">
      <c r="A31" s="135">
        <v>30</v>
      </c>
      <c r="B31" s="37" t="s">
        <v>103</v>
      </c>
      <c r="C31" s="91" t="s">
        <v>76</v>
      </c>
      <c r="D31" s="89" t="s">
        <v>34</v>
      </c>
      <c r="E31" s="3" t="s">
        <v>30</v>
      </c>
      <c r="F31" s="86">
        <f>ינואר!E31+פברואר!E31+מרץ!E31+אפריל!E31+מאי!E31+יוני!E31+יולי!F31</f>
        <v>20354.79</v>
      </c>
      <c r="G31" s="86">
        <f>ינואר!F31+פברואר!F31+מרץ!F31+אפריל!F31+מאי!F31+יוני!F31+יולי!G31</f>
        <v>38733.300000000003</v>
      </c>
      <c r="H31" s="86">
        <f>ינואר!G31+פברואר!G31+מרץ!G31+אפריל!G31+מאי!G31+יוני!G31+יולי!H31</f>
        <v>17809.5</v>
      </c>
      <c r="I31" s="172">
        <f t="shared" si="2"/>
        <v>-0.54020184182602571</v>
      </c>
      <c r="J31" s="86">
        <f t="shared" si="6"/>
        <v>-20923.800000000003</v>
      </c>
      <c r="L31" s="89">
        <f>ינואר!J31+פברואר!J31+מרץ!J31+אפריל!J31+מאי!J31+יוני!J31+יולי!M31</f>
        <v>40000</v>
      </c>
      <c r="M31" s="125">
        <f t="shared" si="3"/>
        <v>0.44523750000000001</v>
      </c>
      <c r="N31" s="89">
        <f t="shared" si="7"/>
        <v>-22190.5</v>
      </c>
      <c r="P31" s="89">
        <f>_xlfn.XLOOKUP($A31,'תקציב  '!A:A,'תקציב  '!AR:AR)</f>
        <v>17809.5</v>
      </c>
      <c r="Q31" s="172">
        <f t="shared" si="4"/>
        <v>1</v>
      </c>
      <c r="R31" s="89">
        <f t="shared" si="5"/>
        <v>0</v>
      </c>
    </row>
    <row r="32" spans="1:18" ht="13.5" customHeight="1" x14ac:dyDescent="0.2">
      <c r="A32" s="135">
        <v>31</v>
      </c>
      <c r="B32" s="37" t="s">
        <v>85</v>
      </c>
      <c r="C32" s="92" t="s">
        <v>85</v>
      </c>
      <c r="D32" s="89" t="s">
        <v>32</v>
      </c>
      <c r="E32" s="3" t="s">
        <v>33</v>
      </c>
      <c r="F32" s="86">
        <f>ינואר!E32+פברואר!E32+מרץ!E32+אפריל!E32+מאי!E32+יוני!E32+יולי!F32</f>
        <v>0</v>
      </c>
      <c r="G32" s="86">
        <f>ינואר!F32+פברואר!F32+מרץ!F32+אפריל!F32+מאי!F32+יוני!F32+יולי!G32</f>
        <v>31584.080000000002</v>
      </c>
      <c r="H32" s="86">
        <f>ינואר!G32+פברואר!G32+מרץ!G32+אפריל!G32+מאי!G32+יוני!G32+יולי!H32</f>
        <v>0</v>
      </c>
      <c r="I32" s="172">
        <f t="shared" si="2"/>
        <v>-1</v>
      </c>
      <c r="J32" s="86">
        <f t="shared" si="6"/>
        <v>-31584.080000000002</v>
      </c>
      <c r="L32" s="89">
        <f>ינואר!J32+פברואר!J32+מרץ!J32+אפריל!J32+מאי!J32+יוני!J32+יולי!M32</f>
        <v>36000</v>
      </c>
      <c r="M32" s="125">
        <f t="shared" si="3"/>
        <v>0</v>
      </c>
      <c r="N32" s="89">
        <f t="shared" si="7"/>
        <v>-36000</v>
      </c>
      <c r="P32" s="89">
        <f>_xlfn.XLOOKUP($A32,'תקציב  '!A:A,'תקציב  '!AR:AR)</f>
        <v>0</v>
      </c>
      <c r="Q32" s="172" t="str">
        <f t="shared" si="4"/>
        <v>-</v>
      </c>
      <c r="R32" s="89">
        <f t="shared" si="5"/>
        <v>0</v>
      </c>
    </row>
    <row r="33" spans="1:18" ht="13.5" customHeight="1" x14ac:dyDescent="0.2">
      <c r="A33" s="135"/>
      <c r="C33" s="91"/>
      <c r="D33" s="89" t="s">
        <v>11</v>
      </c>
      <c r="E33" s="3" t="s">
        <v>12</v>
      </c>
      <c r="F33" s="86">
        <f>ינואר!E33+פברואר!E33+מרץ!E33+אפריל!E33+מאי!E33+יוני!E33+יולי!F33</f>
        <v>0</v>
      </c>
      <c r="G33" s="86">
        <f>ינואר!F33+פברואר!F33+מרץ!F33+אפריל!F33+מאי!F33+יוני!F33+יולי!G33</f>
        <v>0</v>
      </c>
      <c r="H33" s="86">
        <f>ינואר!G33+פברואר!G33+מרץ!G33+אפריל!G33+מאי!G33+יוני!G33+יולי!H33</f>
        <v>0</v>
      </c>
      <c r="I33" s="172" t="str">
        <f t="shared" si="2"/>
        <v>-</v>
      </c>
      <c r="J33" s="86">
        <f t="shared" si="6"/>
        <v>0</v>
      </c>
      <c r="L33" s="89">
        <f>ינואר!J33+פברואר!J33+מרץ!J33+אפריל!J33+מאי!J33+יוני!J33+יולי!M33</f>
        <v>0</v>
      </c>
      <c r="M33" s="125" t="str">
        <f t="shared" si="3"/>
        <v>-</v>
      </c>
      <c r="N33" s="89">
        <f t="shared" si="7"/>
        <v>0</v>
      </c>
      <c r="P33" s="89">
        <f>_xlfn.XLOOKUP($A33,'תקציב  '!A:A,'תקציב  '!AR:AR)</f>
        <v>0</v>
      </c>
      <c r="Q33" s="172" t="str">
        <f t="shared" si="4"/>
        <v>-</v>
      </c>
      <c r="R33" s="89">
        <f t="shared" si="5"/>
        <v>0</v>
      </c>
    </row>
    <row r="34" spans="1:18" ht="13.5" customHeight="1" x14ac:dyDescent="0.2">
      <c r="A34" s="135">
        <v>32</v>
      </c>
      <c r="B34" s="37" t="s">
        <v>104</v>
      </c>
      <c r="C34" s="91" t="s">
        <v>86</v>
      </c>
      <c r="D34" s="89" t="s">
        <v>31</v>
      </c>
      <c r="E34" s="3" t="s">
        <v>49</v>
      </c>
      <c r="F34" s="86">
        <f>ינואר!E34+פברואר!E34+מרץ!E34+אפריל!E34+מאי!E34+יוני!E34+יולי!F34</f>
        <v>33839.240000000005</v>
      </c>
      <c r="G34" s="86">
        <f>ינואר!F34+פברואר!F34+מרץ!F34+אפריל!F34+מאי!F34+יוני!F34+יולי!G34</f>
        <v>39713.57</v>
      </c>
      <c r="H34" s="86">
        <f>ינואר!G34+פברואר!G34+מרץ!G34+אפריל!G34+מאי!G34+יוני!G34+יולי!H34</f>
        <v>18792.66</v>
      </c>
      <c r="I34" s="172">
        <f t="shared" si="2"/>
        <v>-0.5267949972767495</v>
      </c>
      <c r="J34" s="86">
        <f t="shared" si="6"/>
        <v>-20920.91</v>
      </c>
      <c r="L34" s="89">
        <f>ינואר!J34+פברואר!J34+מרץ!J34+אפריל!J34+מאי!J34+יוני!J34+יולי!M34</f>
        <v>40000</v>
      </c>
      <c r="M34" s="125">
        <f t="shared" si="3"/>
        <v>0.46981649999999997</v>
      </c>
      <c r="N34" s="89">
        <f t="shared" si="7"/>
        <v>-21207.34</v>
      </c>
      <c r="P34" s="89">
        <f>_xlfn.XLOOKUP($A34,'תקציב  '!A:A,'תקציב  '!AR:AR)</f>
        <v>18792.66</v>
      </c>
      <c r="Q34" s="172">
        <f t="shared" si="4"/>
        <v>1</v>
      </c>
      <c r="R34" s="89">
        <f t="shared" si="5"/>
        <v>0</v>
      </c>
    </row>
    <row r="35" spans="1:18" ht="13.5" customHeight="1" x14ac:dyDescent="0.2">
      <c r="A35" s="135">
        <v>33</v>
      </c>
      <c r="B35" s="37" t="s">
        <v>105</v>
      </c>
      <c r="C35" s="91" t="s">
        <v>83</v>
      </c>
      <c r="D35" s="89" t="s">
        <v>84</v>
      </c>
      <c r="E35" s="3" t="s">
        <v>48</v>
      </c>
      <c r="F35" s="86">
        <f>ינואר!E35+פברואר!E35+מרץ!E35+אפריל!E35+מאי!E35+יוני!E35+יולי!F35</f>
        <v>34034.18</v>
      </c>
      <c r="G35" s="86">
        <f>ינואר!F35+פברואר!F35+מרץ!F35+אפריל!F35+מאי!F35+יוני!F35+יולי!G35</f>
        <v>30531.53</v>
      </c>
      <c r="H35" s="86">
        <f>ינואר!G35+פברואר!G35+מרץ!G35+אפריל!G35+מאי!G35+יוני!G35+יולי!H35</f>
        <v>0</v>
      </c>
      <c r="I35" s="172">
        <f t="shared" si="2"/>
        <v>-1</v>
      </c>
      <c r="J35" s="86">
        <f t="shared" si="6"/>
        <v>-30531.53</v>
      </c>
      <c r="L35" s="89">
        <f>ינואר!J35+פברואר!J35+מרץ!J35+אפריל!J35+מאי!J35+יוני!J35+יולי!M35</f>
        <v>40000</v>
      </c>
      <c r="M35" s="125">
        <f t="shared" si="3"/>
        <v>0</v>
      </c>
      <c r="N35" s="89">
        <f t="shared" si="7"/>
        <v>-40000</v>
      </c>
      <c r="P35" s="89">
        <f>_xlfn.XLOOKUP($A35,'תקציב  '!A:A,'תקציב  '!AR:AR)</f>
        <v>0</v>
      </c>
      <c r="Q35" s="172" t="str">
        <f t="shared" si="4"/>
        <v>-</v>
      </c>
      <c r="R35" s="89">
        <f t="shared" si="5"/>
        <v>0</v>
      </c>
    </row>
    <row r="36" spans="1:18" x14ac:dyDescent="0.2">
      <c r="A36" s="135"/>
      <c r="B36" s="37" t="s">
        <v>107</v>
      </c>
      <c r="C36" s="92" t="s">
        <v>107</v>
      </c>
      <c r="D36" s="89" t="s">
        <v>37</v>
      </c>
      <c r="E36" s="3" t="s">
        <v>17</v>
      </c>
      <c r="F36" s="86">
        <f>ינואר!E36+פברואר!E36+מרץ!E36+אפריל!E36+מאי!E36+יוני!E36+יולי!F36</f>
        <v>41531.96</v>
      </c>
      <c r="G36" s="86">
        <f>ינואר!F36+פברואר!F36+מרץ!F36+אפריל!F36+מאי!F36+יוני!F36+יולי!G36</f>
        <v>0</v>
      </c>
      <c r="H36" s="86">
        <f>ינואר!G36+פברואר!G36+מרץ!G36+אפריל!G36+מאי!G36+יוני!G36+יולי!H36</f>
        <v>0</v>
      </c>
      <c r="I36" s="172" t="str">
        <f t="shared" si="2"/>
        <v>-</v>
      </c>
      <c r="J36" s="86">
        <f t="shared" si="6"/>
        <v>0</v>
      </c>
      <c r="L36" s="89">
        <f>ינואר!J36+פברואר!J36+מרץ!J36+אפריל!J36+מאי!J36+יוני!J36+יולי!M36</f>
        <v>0</v>
      </c>
      <c r="M36" s="125" t="str">
        <f t="shared" si="3"/>
        <v>-</v>
      </c>
      <c r="N36" s="89">
        <f t="shared" si="7"/>
        <v>0</v>
      </c>
      <c r="P36" s="89">
        <f>_xlfn.XLOOKUP($A36,'תקציב  '!A:A,'תקציב  '!AR:AR)</f>
        <v>0</v>
      </c>
      <c r="Q36" s="172" t="str">
        <f t="shared" si="4"/>
        <v>-</v>
      </c>
      <c r="R36" s="89">
        <f t="shared" si="5"/>
        <v>0</v>
      </c>
    </row>
    <row r="37" spans="1:18" x14ac:dyDescent="0.2">
      <c r="A37" s="135">
        <v>34</v>
      </c>
      <c r="B37" s="37" t="s">
        <v>108</v>
      </c>
      <c r="C37" s="92" t="s">
        <v>108</v>
      </c>
      <c r="D37" s="89" t="s">
        <v>35</v>
      </c>
      <c r="E37" s="3" t="s">
        <v>36</v>
      </c>
      <c r="F37" s="86">
        <f>ינואר!E37+פברואר!E37+מרץ!E37+אפריל!E37+מאי!E37+יוני!E37+יולי!F37</f>
        <v>22310.959999999999</v>
      </c>
      <c r="G37" s="86">
        <f>ינואר!F37+פברואר!F37+מרץ!F37+אפריל!F37+מאי!F37+יוני!F37+יולי!G37</f>
        <v>0</v>
      </c>
      <c r="H37" s="86">
        <f>ינואר!G37+פברואר!G37+מרץ!G37+אפריל!G37+מאי!G37+יוני!G37+יולי!H37</f>
        <v>0</v>
      </c>
      <c r="I37" s="172" t="str">
        <f t="shared" si="2"/>
        <v>-</v>
      </c>
      <c r="J37" s="86">
        <f t="shared" si="6"/>
        <v>0</v>
      </c>
      <c r="L37" s="89">
        <f>ינואר!J37+פברואר!J37+מרץ!J37+אפריל!J37+מאי!J37+יוני!J37+יולי!M37</f>
        <v>0</v>
      </c>
      <c r="M37" s="125" t="str">
        <f t="shared" si="3"/>
        <v>-</v>
      </c>
      <c r="N37" s="89">
        <f t="shared" si="7"/>
        <v>0</v>
      </c>
      <c r="P37" s="89">
        <f>_xlfn.XLOOKUP($A37,'תקציב  '!A:A,'תקציב  '!AR:AR)</f>
        <v>0</v>
      </c>
      <c r="Q37" s="172" t="str">
        <f t="shared" si="4"/>
        <v>-</v>
      </c>
      <c r="R37" s="89">
        <f t="shared" si="5"/>
        <v>0</v>
      </c>
    </row>
    <row r="38" spans="1:18" ht="13.5" customHeight="1" x14ac:dyDescent="0.2">
      <c r="A38" s="135">
        <v>35</v>
      </c>
      <c r="B38" s="37" t="s">
        <v>109</v>
      </c>
      <c r="C38" s="92" t="s">
        <v>109</v>
      </c>
      <c r="D38" s="89" t="s">
        <v>70</v>
      </c>
      <c r="E38" s="3" t="s">
        <v>38</v>
      </c>
      <c r="F38" s="86">
        <f>ינואר!E38+פברואר!E38+מרץ!E38+אפריל!E38+מאי!E38+יוני!E38+יולי!F38</f>
        <v>0</v>
      </c>
      <c r="G38" s="86">
        <f>ינואר!F38+פברואר!F38+מרץ!F38+אפריל!F38+מאי!F38+יוני!F38+יולי!G38</f>
        <v>248.59</v>
      </c>
      <c r="H38" s="86">
        <f>ינואר!G38+פברואר!G38+מרץ!G38+אפריל!G38+מאי!G38+יוני!G38+יולי!H38</f>
        <v>0</v>
      </c>
      <c r="I38" s="172">
        <f t="shared" si="2"/>
        <v>-1</v>
      </c>
      <c r="J38" s="86">
        <f t="shared" si="6"/>
        <v>-248.59</v>
      </c>
      <c r="L38" s="89">
        <f>ינואר!J38+פברואר!J38+מרץ!J38+אפריל!J38+מאי!J38+יוני!J38+יולי!M38</f>
        <v>200000</v>
      </c>
      <c r="M38" s="125">
        <f t="shared" si="3"/>
        <v>0</v>
      </c>
      <c r="N38" s="89">
        <f t="shared" si="7"/>
        <v>-200000</v>
      </c>
      <c r="P38" s="89">
        <f>_xlfn.XLOOKUP($A38,'תקציב  '!A:A,'תקציב  '!AR:AR)</f>
        <v>0</v>
      </c>
      <c r="Q38" s="172" t="str">
        <f t="shared" si="4"/>
        <v>-</v>
      </c>
      <c r="R38" s="89">
        <f t="shared" si="5"/>
        <v>0</v>
      </c>
    </row>
    <row r="39" spans="1:18" ht="13.5" customHeight="1" x14ac:dyDescent="0.2">
      <c r="A39" s="135">
        <v>36</v>
      </c>
      <c r="C39" s="92" t="s">
        <v>91</v>
      </c>
      <c r="D39" s="89" t="s">
        <v>91</v>
      </c>
      <c r="E39" s="3"/>
      <c r="F39" s="86">
        <f>ינואר!E39+פברואר!E39+מרץ!E39+אפריל!E39+מאי!E39+יוני!E39+יולי!F39</f>
        <v>0</v>
      </c>
      <c r="G39" s="86">
        <f>ינואר!F39+פברואר!F39+מרץ!F39+אפריל!F39+מאי!F39+יוני!F39+יולי!G39</f>
        <v>0</v>
      </c>
      <c r="H39" s="86">
        <f>ינואר!G39+פברואר!G39+מרץ!G39+אפריל!G39+מאי!G39+יוני!G39+יולי!H39</f>
        <v>0</v>
      </c>
      <c r="I39" s="172" t="str">
        <f t="shared" si="2"/>
        <v>-</v>
      </c>
      <c r="J39" s="86">
        <f t="shared" si="6"/>
        <v>0</v>
      </c>
      <c r="L39" s="89">
        <f>ינואר!J39+פברואר!J39+מרץ!J39+אפריל!J39+מאי!J39+יוני!J39+יולי!M39</f>
        <v>200000</v>
      </c>
      <c r="M39" s="125">
        <f t="shared" si="3"/>
        <v>0</v>
      </c>
      <c r="N39" s="89">
        <f t="shared" si="7"/>
        <v>-200000</v>
      </c>
      <c r="P39" s="89">
        <f>_xlfn.XLOOKUP($A39,'תקציב  '!A:A,'תקציב  '!AR:AR)</f>
        <v>0</v>
      </c>
      <c r="Q39" s="172" t="str">
        <f t="shared" si="4"/>
        <v>-</v>
      </c>
      <c r="R39" s="89">
        <f t="shared" si="5"/>
        <v>0</v>
      </c>
    </row>
    <row r="40" spans="1:18" s="93" customFormat="1" ht="15" x14ac:dyDescent="0.25">
      <c r="A40" s="135"/>
      <c r="C40" s="163" t="s">
        <v>42</v>
      </c>
      <c r="D40" s="157" t="s">
        <v>42</v>
      </c>
      <c r="E40" s="157"/>
      <c r="F40" s="157">
        <f>SUM(F20:F39)</f>
        <v>4785399.3599999994</v>
      </c>
      <c r="G40" s="157">
        <f>SUM(G20:G39)</f>
        <v>3466928.3999999994</v>
      </c>
      <c r="H40" s="157">
        <f>SUM(H20:H39)</f>
        <v>3308027.67</v>
      </c>
      <c r="I40" s="97">
        <f t="shared" si="2"/>
        <v>-4.5833288625170221E-2</v>
      </c>
      <c r="J40" s="157">
        <f>SUM(J20:J39)</f>
        <v>-158900.73000000019</v>
      </c>
      <c r="L40" s="157">
        <f>SUM(L20:L39)</f>
        <v>5270017.5894125002</v>
      </c>
      <c r="M40" s="97">
        <f t="shared" si="3"/>
        <v>0.62770714022773832</v>
      </c>
      <c r="N40" s="157">
        <f>SUM(N20:N39)</f>
        <v>-1961989.9194125</v>
      </c>
      <c r="P40" s="157">
        <f>SUM(P20:P39)</f>
        <v>3367180.6399999992</v>
      </c>
      <c r="Q40" s="97">
        <f t="shared" si="4"/>
        <v>0.98243249284065759</v>
      </c>
      <c r="R40" s="157">
        <f t="shared" si="5"/>
        <v>-59152.969999999274</v>
      </c>
    </row>
    <row r="41" spans="1:18" s="93" customFormat="1" ht="15.75" thickBot="1" x14ac:dyDescent="0.3">
      <c r="A41" s="135"/>
      <c r="C41" s="165" t="s">
        <v>69</v>
      </c>
      <c r="D41" s="159" t="s">
        <v>69</v>
      </c>
      <c r="E41" s="159"/>
      <c r="F41" s="159">
        <f>F40+F19</f>
        <v>15042129.82</v>
      </c>
      <c r="G41" s="159">
        <f>G40+G19</f>
        <v>14136255.992000036</v>
      </c>
      <c r="H41" s="159">
        <f>H40+H19</f>
        <v>14857979.093000028</v>
      </c>
      <c r="I41" s="50">
        <f t="shared" si="2"/>
        <v>5.1054756040668003E-2</v>
      </c>
      <c r="J41" s="159">
        <f>J40+J19</f>
        <v>721723.10099999036</v>
      </c>
      <c r="L41" s="159">
        <f>L40+L19</f>
        <v>21232338.987934161</v>
      </c>
      <c r="M41" s="50">
        <f t="shared" si="3"/>
        <v>0.69978060831844613</v>
      </c>
      <c r="N41" s="159">
        <f>N40+N19</f>
        <v>-6374359.8949341299</v>
      </c>
      <c r="P41" s="159">
        <f>P40+P19</f>
        <v>15337774.907000031</v>
      </c>
      <c r="Q41" s="50">
        <f t="shared" si="4"/>
        <v>0.96871803003308987</v>
      </c>
      <c r="R41" s="159">
        <f t="shared" si="5"/>
        <v>-479795.81400000304</v>
      </c>
    </row>
    <row r="42" spans="1:18" s="93" customFormat="1" ht="15.75" thickBot="1" x14ac:dyDescent="0.3">
      <c r="A42"/>
      <c r="C42" s="166" t="s">
        <v>43</v>
      </c>
      <c r="D42" s="177" t="s">
        <v>43</v>
      </c>
      <c r="E42" s="178"/>
      <c r="F42" s="179">
        <f>F40/F41</f>
        <v>0.31813309798971001</v>
      </c>
      <c r="G42" s="179">
        <f>G40/G41</f>
        <v>0.24525082185565947</v>
      </c>
      <c r="H42" s="179">
        <f>H40/H41</f>
        <v>0.22264317706292208</v>
      </c>
      <c r="I42" s="179"/>
      <c r="J42" s="179"/>
      <c r="L42" s="180">
        <f>L40-ינואר!J40-פברואר!J40-מרץ!J40-אפריל!J40-מאי!J40-יוני!J40-יולי!M40</f>
        <v>0</v>
      </c>
      <c r="M42" s="181"/>
      <c r="N42" s="180"/>
      <c r="P42" s="179">
        <f>P40/P41</f>
        <v>0.21953514511829525</v>
      </c>
      <c r="Q42" s="179"/>
      <c r="R42" s="179">
        <f t="shared" si="5"/>
        <v>3.1080319446268323E-3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9D9F-945E-4415-89E9-5758D522D18A}">
  <dimension ref="A1:Y44"/>
  <sheetViews>
    <sheetView showGridLines="0" rightToLeft="1" zoomScale="85" zoomScaleNormal="85" workbookViewId="0">
      <pane xSplit="5" ySplit="2" topLeftCell="F3" activePane="bottomRight" state="frozen"/>
      <selection activeCell="J13" sqref="J13"/>
      <selection pane="topRight" activeCell="J13" sqref="J13"/>
      <selection pane="bottomLeft" activeCell="J13" sqref="J13"/>
      <selection pane="bottomRight" activeCell="R16" sqref="R16"/>
    </sheetView>
  </sheetViews>
  <sheetFormatPr defaultRowHeight="14.25" outlineLevelRow="1" x14ac:dyDescent="0.2"/>
  <cols>
    <col min="1" max="1" width="2.875" bestFit="1" customWidth="1"/>
    <col min="2" max="2" width="31" hidden="1" customWidth="1"/>
    <col min="3" max="3" width="26" style="100" hidden="1" customWidth="1"/>
    <col min="4" max="4" width="26" style="100" customWidth="1"/>
    <col min="5" max="5" width="13.375" hidden="1" customWidth="1"/>
    <col min="6" max="7" width="9.875" hidden="1" customWidth="1"/>
    <col min="8" max="8" width="10.375" bestFit="1" customWidth="1"/>
    <col min="9" max="9" width="6.875" bestFit="1" customWidth="1"/>
    <col min="10" max="10" width="10.75" style="51" bestFit="1" customWidth="1"/>
    <col min="11" max="11" width="11.875" bestFit="1" customWidth="1"/>
    <col min="12" max="12" width="4.25" customWidth="1"/>
    <col min="13" max="13" width="10.375" bestFit="1" customWidth="1"/>
    <col min="14" max="14" width="11" hidden="1" customWidth="1"/>
    <col min="15" max="15" width="7.625" bestFit="1" customWidth="1"/>
    <col min="16" max="16" width="11" bestFit="1" customWidth="1"/>
    <col min="17" max="17" width="3" customWidth="1"/>
    <col min="18" max="18" width="10.375" bestFit="1" customWidth="1"/>
    <col min="19" max="19" width="10.875" hidden="1" customWidth="1"/>
    <col min="20" max="20" width="7.625" bestFit="1" customWidth="1"/>
    <col min="21" max="21" width="13" bestFit="1" customWidth="1"/>
    <col min="22" max="22" width="3.5" customWidth="1"/>
    <col min="23" max="23" width="10.375" bestFit="1" customWidth="1"/>
    <col min="24" max="24" width="10.5" bestFit="1" customWidth="1"/>
    <col min="25" max="25" width="9" style="102"/>
  </cols>
  <sheetData>
    <row r="1" spans="1:25" ht="15.75" x14ac:dyDescent="0.25">
      <c r="C1" s="160" t="s">
        <v>176</v>
      </c>
      <c r="D1" s="160" t="s">
        <v>176</v>
      </c>
      <c r="E1" s="34"/>
      <c r="F1" s="34"/>
      <c r="G1" s="34"/>
      <c r="H1" s="34"/>
      <c r="I1" s="34"/>
      <c r="J1" s="170"/>
      <c r="K1" s="34"/>
      <c r="M1" s="34"/>
      <c r="N1" s="34"/>
      <c r="O1" s="34"/>
      <c r="P1" s="34"/>
      <c r="R1" s="34"/>
      <c r="S1" s="34"/>
      <c r="T1" s="34"/>
      <c r="U1" s="34"/>
      <c r="W1" s="34"/>
    </row>
    <row r="2" spans="1:25" ht="15" x14ac:dyDescent="0.25">
      <c r="A2" s="133" t="s">
        <v>228</v>
      </c>
      <c r="C2" s="14"/>
      <c r="D2" s="14"/>
      <c r="E2" s="146" t="s">
        <v>10</v>
      </c>
      <c r="F2" s="146">
        <v>8.2024000000000008</v>
      </c>
      <c r="G2" s="146">
        <v>8.2025000000000006</v>
      </c>
      <c r="H2" s="146">
        <v>8.2026000000000003</v>
      </c>
      <c r="I2" s="147" t="s">
        <v>225</v>
      </c>
      <c r="J2" s="171" t="s">
        <v>191</v>
      </c>
      <c r="K2" s="146" t="s">
        <v>192</v>
      </c>
      <c r="M2" s="146" t="s">
        <v>67</v>
      </c>
      <c r="N2" s="147" t="s">
        <v>68</v>
      </c>
      <c r="O2" s="147" t="s">
        <v>223</v>
      </c>
      <c r="P2" s="146" t="s">
        <v>71</v>
      </c>
      <c r="R2" s="148" t="s">
        <v>229</v>
      </c>
      <c r="S2" s="147" t="s">
        <v>231</v>
      </c>
      <c r="T2" s="147" t="s">
        <v>223</v>
      </c>
      <c r="U2" s="149" t="s">
        <v>232</v>
      </c>
      <c r="V2" s="90"/>
      <c r="W2" s="149">
        <v>8.2026000000000003</v>
      </c>
      <c r="X2" s="90"/>
    </row>
    <row r="3" spans="1:25" outlineLevel="1" x14ac:dyDescent="0.2">
      <c r="A3" s="140">
        <v>5</v>
      </c>
      <c r="B3" s="37" t="s">
        <v>115</v>
      </c>
      <c r="C3" s="142" t="s">
        <v>1</v>
      </c>
      <c r="D3" s="142" t="s">
        <v>1</v>
      </c>
      <c r="E3" s="86" t="s">
        <v>40</v>
      </c>
      <c r="F3" s="86">
        <f>VLOOKUP(B3,'2024'!$A:$O,9,0)</f>
        <v>301190.59999999998</v>
      </c>
      <c r="G3" s="86">
        <f>VLOOKUP($B3,'2025'!$A:$O,9,0)</f>
        <v>243929.09999999998</v>
      </c>
      <c r="H3" s="263">
        <v>299421.55</v>
      </c>
      <c r="I3" s="125">
        <f>IFERROR(H3/$H$19,"")</f>
        <v>0.15164878459441247</v>
      </c>
      <c r="J3" s="172">
        <f>IFERROR(H3/G3-1,"")</f>
        <v>0.22749417761144541</v>
      </c>
      <c r="K3" s="86">
        <f t="shared" ref="K3:K15" si="0">H3-G3</f>
        <v>55492.450000000012</v>
      </c>
      <c r="M3" s="86">
        <f>VLOOKUP(C3,'תקציב  '!$B:$S,11,0)*1</f>
        <v>235079.36507936506</v>
      </c>
      <c r="N3" s="125">
        <f t="shared" ref="N3:N41" si="1">IFERROR(H3/M3-1,"-")</f>
        <v>0.27370409520594197</v>
      </c>
      <c r="O3" s="125">
        <f t="shared" ref="O3:O41" si="2">IFERROR(H3/M3,"-")</f>
        <v>1.273704095205942</v>
      </c>
      <c r="P3" s="86">
        <f t="shared" ref="P3:P15" si="3">H3-M3</f>
        <v>64342.184920634929</v>
      </c>
      <c r="R3" s="89">
        <f>_xlfn.XLOOKUP(A3,'תקציב  '!A:A,'תקציב  '!AJ:AJ)</f>
        <v>200000</v>
      </c>
      <c r="S3" s="125">
        <f>IFERROR(H3/R3-1,"-")</f>
        <v>0.49710774999999985</v>
      </c>
      <c r="T3" s="125">
        <f>IFERROR(H3/R3,"-")</f>
        <v>1.4971077499999998</v>
      </c>
      <c r="U3" s="89">
        <f>H3-R3</f>
        <v>99421.549999999988</v>
      </c>
      <c r="W3" s="86">
        <v>299421.55</v>
      </c>
      <c r="X3" s="7">
        <f t="shared" ref="X3:X41" si="4">H3-W3</f>
        <v>0</v>
      </c>
      <c r="Y3" s="101">
        <f t="shared" ref="Y3:Y41" si="5">IFERROR((H3/W3)-1,"-")</f>
        <v>0</v>
      </c>
    </row>
    <row r="4" spans="1:25" outlineLevel="1" x14ac:dyDescent="0.2">
      <c r="A4" s="134">
        <v>1</v>
      </c>
      <c r="B4" s="2" t="s">
        <v>0</v>
      </c>
      <c r="C4" s="142" t="s">
        <v>0</v>
      </c>
      <c r="D4" s="142" t="s">
        <v>0</v>
      </c>
      <c r="E4" s="86" t="s">
        <v>40</v>
      </c>
      <c r="F4" s="86">
        <f>VLOOKUP(C4,'2024'!$A:$O,9,0)</f>
        <v>429300.05300000001</v>
      </c>
      <c r="G4" s="86">
        <f>VLOOKUP($B4,'2025'!$A:$O,9,0)</f>
        <v>495074.58</v>
      </c>
      <c r="H4" s="263">
        <v>588822.68900000001</v>
      </c>
      <c r="I4" s="125">
        <f t="shared" ref="I4:I41" si="6">IFERROR(H4/$H$19,"")</f>
        <v>0.29822250645774739</v>
      </c>
      <c r="J4" s="172">
        <f t="shared" ref="J4:J39" si="7">IFERROR(H4/G4-1,"")</f>
        <v>0.18936158871255326</v>
      </c>
      <c r="K4" s="86">
        <f t="shared" si="0"/>
        <v>93748.108999999997</v>
      </c>
      <c r="M4" s="86">
        <f>VLOOKUP(C4,'תקציב  '!$B:$S,11,0)*1</f>
        <v>605698.41269841266</v>
      </c>
      <c r="N4" s="125">
        <f t="shared" si="1"/>
        <v>-2.7861594722083827E-2</v>
      </c>
      <c r="O4" s="125">
        <f t="shared" si="2"/>
        <v>0.97213840527791617</v>
      </c>
      <c r="P4" s="86">
        <f t="shared" si="3"/>
        <v>-16875.72369841265</v>
      </c>
      <c r="R4" s="89">
        <f>_xlfn.XLOOKUP(A4,'תקציב  '!A:A,'תקציב  '!AJ:AJ)</f>
        <v>550000</v>
      </c>
      <c r="S4" s="125">
        <f t="shared" ref="S4:S41" si="8">IFERROR(H4/R4-1,"-")</f>
        <v>7.0586707272727311E-2</v>
      </c>
      <c r="T4" s="125">
        <f t="shared" ref="T4:T41" si="9">IFERROR(H4/R4,"-")</f>
        <v>1.0705867072727273</v>
      </c>
      <c r="U4" s="89">
        <f t="shared" ref="U4:U41" si="10">H4-R4</f>
        <v>38822.689000000013</v>
      </c>
      <c r="W4" s="86">
        <v>546513.51300000004</v>
      </c>
      <c r="X4" s="7">
        <f t="shared" si="4"/>
        <v>42309.175999999978</v>
      </c>
      <c r="Y4" s="101">
        <f t="shared" si="5"/>
        <v>7.7416523093363887E-2</v>
      </c>
    </row>
    <row r="5" spans="1:25" outlineLevel="1" x14ac:dyDescent="0.2">
      <c r="A5" s="134">
        <v>7</v>
      </c>
      <c r="B5" s="2" t="s">
        <v>44</v>
      </c>
      <c r="C5" s="142" t="s">
        <v>44</v>
      </c>
      <c r="D5" s="142" t="s">
        <v>44</v>
      </c>
      <c r="E5" s="86" t="s">
        <v>40</v>
      </c>
      <c r="F5" s="86">
        <f>VLOOKUP(C5,'2024'!$A:$O,9,0)</f>
        <v>96254.066999999995</v>
      </c>
      <c r="G5" s="86">
        <f>VLOOKUP($B5,'2025'!$A:$O,9,0)</f>
        <v>73631.740000000005</v>
      </c>
      <c r="H5" s="263">
        <v>70518.812000000005</v>
      </c>
      <c r="I5" s="125">
        <f t="shared" si="6"/>
        <v>3.5715839861365589E-2</v>
      </c>
      <c r="J5" s="172">
        <f t="shared" si="7"/>
        <v>-4.2276985441332737E-2</v>
      </c>
      <c r="K5" s="86">
        <f t="shared" si="0"/>
        <v>-3112.9279999999999</v>
      </c>
      <c r="M5" s="86">
        <f>VLOOKUP(C5,'תקציב  '!$B:$S,11,0)*1</f>
        <v>78571.428571428565</v>
      </c>
      <c r="N5" s="125">
        <f t="shared" si="1"/>
        <v>-0.10248784727272708</v>
      </c>
      <c r="O5" s="125">
        <f t="shared" si="2"/>
        <v>0.89751215272727292</v>
      </c>
      <c r="P5" s="86">
        <f t="shared" si="3"/>
        <v>-8052.6165714285598</v>
      </c>
      <c r="R5" s="89">
        <f>_xlfn.XLOOKUP(A5,'תקציב  '!A:A,'תקציב  '!AJ:AJ)</f>
        <v>100000</v>
      </c>
      <c r="S5" s="125">
        <f t="shared" si="8"/>
        <v>-0.29481187999999992</v>
      </c>
      <c r="T5" s="125">
        <f t="shared" si="9"/>
        <v>0.70518812000000008</v>
      </c>
      <c r="U5" s="89">
        <f t="shared" si="10"/>
        <v>-29481.187999999995</v>
      </c>
      <c r="W5" s="86">
        <v>67219.623999999996</v>
      </c>
      <c r="X5" s="7">
        <f t="shared" si="4"/>
        <v>3299.1880000000092</v>
      </c>
      <c r="Y5" s="101">
        <f t="shared" si="5"/>
        <v>4.9080726783000239E-2</v>
      </c>
    </row>
    <row r="6" spans="1:25" outlineLevel="1" x14ac:dyDescent="0.2">
      <c r="A6" s="134">
        <v>4</v>
      </c>
      <c r="B6" s="2" t="s">
        <v>3</v>
      </c>
      <c r="C6" s="142" t="s">
        <v>3</v>
      </c>
      <c r="D6" s="142" t="s">
        <v>3</v>
      </c>
      <c r="E6" s="86" t="s">
        <v>40</v>
      </c>
      <c r="F6" s="86">
        <f>VLOOKUP(C6,'2024'!$A:$O,9,0)</f>
        <v>112372.337</v>
      </c>
      <c r="G6" s="86">
        <f>VLOOKUP($B6,'2025'!$A:$O,9,0)</f>
        <v>179847.31999999998</v>
      </c>
      <c r="H6" s="263">
        <v>160218.08399999997</v>
      </c>
      <c r="I6" s="125">
        <f t="shared" si="6"/>
        <v>8.1146055481462434E-2</v>
      </c>
      <c r="J6" s="172">
        <f t="shared" si="7"/>
        <v>-0.10914388938350605</v>
      </c>
      <c r="K6" s="86">
        <f t="shared" si="0"/>
        <v>-19629.236000000004</v>
      </c>
      <c r="M6" s="86">
        <f>VLOOKUP(B6,'תקציב  '!$B:$S,11,0)*1</f>
        <v>170873.01587301589</v>
      </c>
      <c r="N6" s="125">
        <f t="shared" si="1"/>
        <v>-6.2355848397585012E-2</v>
      </c>
      <c r="O6" s="125">
        <f t="shared" si="2"/>
        <v>0.93764415160241499</v>
      </c>
      <c r="P6" s="86">
        <f t="shared" si="3"/>
        <v>-10654.931873015914</v>
      </c>
      <c r="R6" s="89">
        <f>_xlfn.XLOOKUP(A6,'תקציב  '!A:A,'תקציב  '!AJ:AJ)</f>
        <v>200000</v>
      </c>
      <c r="S6" s="125">
        <f t="shared" si="8"/>
        <v>-0.19890958000000014</v>
      </c>
      <c r="T6" s="125">
        <f t="shared" si="9"/>
        <v>0.80109041999999986</v>
      </c>
      <c r="U6" s="89">
        <f t="shared" si="10"/>
        <v>-39781.916000000027</v>
      </c>
      <c r="W6" s="86">
        <v>155738.791</v>
      </c>
      <c r="X6" s="7">
        <f t="shared" si="4"/>
        <v>4479.292999999976</v>
      </c>
      <c r="Y6" s="101">
        <f t="shared" si="5"/>
        <v>2.8761575528090333E-2</v>
      </c>
    </row>
    <row r="7" spans="1:25" outlineLevel="1" x14ac:dyDescent="0.2">
      <c r="A7" s="134">
        <v>3</v>
      </c>
      <c r="B7" s="37" t="s">
        <v>112</v>
      </c>
      <c r="C7" s="142" t="s">
        <v>2</v>
      </c>
      <c r="D7" s="142" t="s">
        <v>2</v>
      </c>
      <c r="E7" s="86" t="s">
        <v>40</v>
      </c>
      <c r="F7" s="86">
        <f>VLOOKUP(B7,'2024'!$A:$O,9,0)</f>
        <v>416484</v>
      </c>
      <c r="G7" s="86">
        <f>VLOOKUP($B7,'2025'!$A:$O,9,0)</f>
        <v>273604.39999999997</v>
      </c>
      <c r="H7" s="263">
        <v>295436</v>
      </c>
      <c r="I7" s="125">
        <f t="shared" si="6"/>
        <v>0.14963021307395824</v>
      </c>
      <c r="J7" s="172">
        <f t="shared" si="7"/>
        <v>7.9792576435174345E-2</v>
      </c>
      <c r="K7" s="86">
        <f t="shared" si="0"/>
        <v>21831.600000000035</v>
      </c>
      <c r="M7" s="86">
        <f>VLOOKUP(C7,'תקציב  '!$B:$S,11,0)*1</f>
        <v>365000</v>
      </c>
      <c r="N7" s="125">
        <f t="shared" si="1"/>
        <v>-0.19058630136986299</v>
      </c>
      <c r="O7" s="125">
        <f t="shared" si="2"/>
        <v>0.80941369863013701</v>
      </c>
      <c r="P7" s="86">
        <f t="shared" si="3"/>
        <v>-69564</v>
      </c>
      <c r="R7" s="89">
        <f>_xlfn.XLOOKUP(A7,'תקציב  '!A:A,'תקציב  '!AJ:AJ)</f>
        <v>330000</v>
      </c>
      <c r="S7" s="125">
        <f t="shared" si="8"/>
        <v>-0.10473939393939391</v>
      </c>
      <c r="T7" s="125">
        <f t="shared" si="9"/>
        <v>0.89526060606060609</v>
      </c>
      <c r="U7" s="89">
        <f t="shared" si="10"/>
        <v>-34564</v>
      </c>
      <c r="W7" s="86">
        <v>295436</v>
      </c>
      <c r="X7" s="7">
        <f t="shared" si="4"/>
        <v>0</v>
      </c>
      <c r="Y7" s="101">
        <f t="shared" si="5"/>
        <v>0</v>
      </c>
    </row>
    <row r="8" spans="1:25" outlineLevel="1" x14ac:dyDescent="0.2">
      <c r="A8" s="134">
        <v>8</v>
      </c>
      <c r="B8" s="37" t="s">
        <v>113</v>
      </c>
      <c r="C8" s="142" t="s">
        <v>5</v>
      </c>
      <c r="D8" s="142" t="s">
        <v>5</v>
      </c>
      <c r="E8" s="86" t="s">
        <v>40</v>
      </c>
      <c r="F8" s="86">
        <f>VLOOKUP(B8,'2024'!$A:$O,9,0)</f>
        <v>64245.400000000023</v>
      </c>
      <c r="G8" s="86">
        <f>VLOOKUP($B8,'2025'!$A:$O,9,0)</f>
        <v>81013.089999999982</v>
      </c>
      <c r="H8" s="263">
        <v>73310.60100000001</v>
      </c>
      <c r="I8" s="125">
        <f t="shared" si="6"/>
        <v>3.7129804249346518E-2</v>
      </c>
      <c r="J8" s="172">
        <f t="shared" si="7"/>
        <v>-9.5077091862561636E-2</v>
      </c>
      <c r="K8" s="86">
        <f t="shared" si="0"/>
        <v>-7702.4889999999723</v>
      </c>
      <c r="M8" s="86">
        <f>VLOOKUP(C8,'תקציב  '!$B:$S,11,0)*1</f>
        <v>107301.58730158729</v>
      </c>
      <c r="N8" s="125">
        <f t="shared" si="1"/>
        <v>-0.31677990192307681</v>
      </c>
      <c r="O8" s="125">
        <f t="shared" si="2"/>
        <v>0.68322009807692319</v>
      </c>
      <c r="P8" s="86">
        <f t="shared" si="3"/>
        <v>-33990.986301587283</v>
      </c>
      <c r="R8" s="89">
        <f>_xlfn.XLOOKUP(A8,'תקציב  '!A:A,'תקציב  '!AJ:AJ)</f>
        <v>100000</v>
      </c>
      <c r="S8" s="125">
        <f t="shared" si="8"/>
        <v>-0.26689398999999991</v>
      </c>
      <c r="T8" s="125">
        <f t="shared" si="9"/>
        <v>0.73310601000000009</v>
      </c>
      <c r="U8" s="89">
        <f t="shared" si="10"/>
        <v>-26689.39899999999</v>
      </c>
      <c r="W8" s="86">
        <v>68722.563000000009</v>
      </c>
      <c r="X8" s="7">
        <f t="shared" si="4"/>
        <v>4588.0380000000005</v>
      </c>
      <c r="Y8" s="101">
        <f t="shared" si="5"/>
        <v>6.6761741700466004E-2</v>
      </c>
    </row>
    <row r="9" spans="1:25" outlineLevel="1" x14ac:dyDescent="0.2">
      <c r="A9" s="134">
        <v>6</v>
      </c>
      <c r="B9" s="37" t="s">
        <v>121</v>
      </c>
      <c r="C9" s="142" t="s">
        <v>4</v>
      </c>
      <c r="D9" s="142" t="s">
        <v>4</v>
      </c>
      <c r="E9" s="86" t="s">
        <v>40</v>
      </c>
      <c r="F9" s="86">
        <f>VLOOKUP(B9,'2024'!$A:$O,9,0)</f>
        <v>62739.610000000008</v>
      </c>
      <c r="G9" s="86">
        <f>VLOOKUP($B9,'2025'!$A:$O,9,0)</f>
        <v>61998.830000000016</v>
      </c>
      <c r="H9" s="263">
        <v>76847.55</v>
      </c>
      <c r="I9" s="125">
        <f t="shared" si="6"/>
        <v>3.8921171694416591E-2</v>
      </c>
      <c r="J9" s="172">
        <f t="shared" si="7"/>
        <v>0.2395000034678072</v>
      </c>
      <c r="K9" s="86">
        <f t="shared" si="0"/>
        <v>14848.719999999987</v>
      </c>
      <c r="M9" s="86">
        <f>VLOOKUP(C9,'תקציב  '!$B:$S,11,0)*1</f>
        <v>177087.30158730157</v>
      </c>
      <c r="N9" s="125">
        <f t="shared" si="1"/>
        <v>-0.56604708914085955</v>
      </c>
      <c r="O9" s="125">
        <f t="shared" si="2"/>
        <v>0.43395291085914045</v>
      </c>
      <c r="P9" s="86">
        <f t="shared" si="3"/>
        <v>-100239.75158730157</v>
      </c>
      <c r="R9" s="89">
        <f>_xlfn.XLOOKUP(A9,'תקציב  '!A:A,'תקציב  '!AJ:AJ)</f>
        <v>100000</v>
      </c>
      <c r="S9" s="125">
        <f t="shared" si="8"/>
        <v>-0.23152450000000002</v>
      </c>
      <c r="T9" s="125">
        <f t="shared" si="9"/>
        <v>0.76847549999999998</v>
      </c>
      <c r="U9" s="89">
        <f t="shared" si="10"/>
        <v>-23152.449999999997</v>
      </c>
      <c r="W9" s="86">
        <v>76847.55</v>
      </c>
      <c r="X9" s="7">
        <f t="shared" si="4"/>
        <v>0</v>
      </c>
      <c r="Y9" s="101">
        <f t="shared" si="5"/>
        <v>0</v>
      </c>
    </row>
    <row r="10" spans="1:25" outlineLevel="1" x14ac:dyDescent="0.2">
      <c r="A10" s="135">
        <v>10</v>
      </c>
      <c r="B10" s="37" t="s">
        <v>120</v>
      </c>
      <c r="C10" s="132" t="s">
        <v>6</v>
      </c>
      <c r="D10" s="132" t="s">
        <v>6</v>
      </c>
      <c r="E10" s="86" t="s">
        <v>40</v>
      </c>
      <c r="F10" s="86">
        <f>VLOOKUP(B10,'2024'!$A:$O,9,0)</f>
        <v>18126.579999999998</v>
      </c>
      <c r="G10" s="86">
        <f>VLOOKUP($B10,'2025'!$A:$O,9,0)</f>
        <v>12420.51</v>
      </c>
      <c r="H10" s="263">
        <v>4321.8500000000004</v>
      </c>
      <c r="I10" s="125">
        <f t="shared" si="6"/>
        <v>2.1888982262611412E-3</v>
      </c>
      <c r="J10" s="172">
        <f t="shared" si="7"/>
        <v>-0.65203924798579127</v>
      </c>
      <c r="K10" s="86">
        <f t="shared" si="0"/>
        <v>-8098.66</v>
      </c>
      <c r="M10" s="86">
        <f>VLOOKUP(C10,'תקציב  '!$B:$S,11,0)*1</f>
        <v>16587.301587301587</v>
      </c>
      <c r="N10" s="125">
        <f t="shared" si="1"/>
        <v>-0.73944827751196174</v>
      </c>
      <c r="O10" s="125">
        <f t="shared" si="2"/>
        <v>0.26055172248803832</v>
      </c>
      <c r="P10" s="86">
        <f t="shared" si="3"/>
        <v>-12265.451587301586</v>
      </c>
      <c r="R10" s="89">
        <f>_xlfn.XLOOKUP(A10,'תקציב  '!A:A,'תקציב  '!AJ:AJ)</f>
        <v>15000</v>
      </c>
      <c r="S10" s="125">
        <f t="shared" si="8"/>
        <v>-0.71187666666666671</v>
      </c>
      <c r="T10" s="125">
        <f t="shared" si="9"/>
        <v>0.28812333333333334</v>
      </c>
      <c r="U10" s="89">
        <f t="shared" si="10"/>
        <v>-10678.15</v>
      </c>
      <c r="W10" s="86">
        <v>4321.8500000000004</v>
      </c>
      <c r="X10" s="7">
        <f t="shared" si="4"/>
        <v>0</v>
      </c>
      <c r="Y10" s="101">
        <f t="shared" si="5"/>
        <v>0</v>
      </c>
    </row>
    <row r="11" spans="1:25" outlineLevel="1" x14ac:dyDescent="0.2">
      <c r="A11" s="134">
        <v>11</v>
      </c>
      <c r="B11" s="37" t="s">
        <v>117</v>
      </c>
      <c r="C11" s="142" t="s">
        <v>66</v>
      </c>
      <c r="D11" s="142" t="s">
        <v>66</v>
      </c>
      <c r="E11" s="86" t="s">
        <v>40</v>
      </c>
      <c r="F11" s="86">
        <f>VLOOKUP(B11,'2024'!$A:$O,9,0)</f>
        <v>8063.6299999999992</v>
      </c>
      <c r="G11" s="86">
        <f>VLOOKUP($B11,'2025'!$A:$O,9,0)</f>
        <v>1459.42</v>
      </c>
      <c r="H11" s="263">
        <v>2043.68</v>
      </c>
      <c r="I11" s="125">
        <f t="shared" si="6"/>
        <v>1.035067743453699E-3</v>
      </c>
      <c r="J11" s="172">
        <f t="shared" si="7"/>
        <v>0.40033712022584322</v>
      </c>
      <c r="K11" s="86">
        <f t="shared" si="0"/>
        <v>584.26</v>
      </c>
      <c r="M11" s="86">
        <f>VLOOKUP(C11,'תקציב  '!$B:$S,11,0)*1</f>
        <v>8730.1587301587297</v>
      </c>
      <c r="N11" s="125">
        <f t="shared" si="1"/>
        <v>-0.76590574545454548</v>
      </c>
      <c r="O11" s="125">
        <f t="shared" si="2"/>
        <v>0.23409425454545457</v>
      </c>
      <c r="P11" s="86">
        <f t="shared" si="3"/>
        <v>-6686.4787301587294</v>
      </c>
      <c r="R11" s="89">
        <f>_xlfn.XLOOKUP(A11,'תקציב  '!A:A,'תקציב  '!AJ:AJ)</f>
        <v>10000</v>
      </c>
      <c r="S11" s="125">
        <f t="shared" si="8"/>
        <v>-0.79563200000000001</v>
      </c>
      <c r="T11" s="125">
        <f t="shared" si="9"/>
        <v>0.20436799999999999</v>
      </c>
      <c r="U11" s="89">
        <f t="shared" si="10"/>
        <v>-7956.32</v>
      </c>
      <c r="W11" s="86">
        <v>2043.68</v>
      </c>
      <c r="X11" s="7">
        <f t="shared" si="4"/>
        <v>0</v>
      </c>
      <c r="Y11" s="101">
        <f t="shared" si="5"/>
        <v>0</v>
      </c>
    </row>
    <row r="12" spans="1:25" outlineLevel="1" x14ac:dyDescent="0.2">
      <c r="A12" s="134">
        <v>14</v>
      </c>
      <c r="B12" s="37" t="s">
        <v>116</v>
      </c>
      <c r="C12" s="142" t="s">
        <v>8</v>
      </c>
      <c r="D12" s="142" t="s">
        <v>8</v>
      </c>
      <c r="E12" s="86" t="s">
        <v>40</v>
      </c>
      <c r="F12" s="86">
        <f>VLOOKUP(B12,'2024'!$A:$O,9,0)</f>
        <v>0</v>
      </c>
      <c r="G12" s="86">
        <f>VLOOKUP($B12,'2025'!$A:$O,9,0)</f>
        <v>0</v>
      </c>
      <c r="H12" s="263">
        <v>728.87</v>
      </c>
      <c r="I12" s="125">
        <f t="shared" si="6"/>
        <v>3.6915261986763951E-4</v>
      </c>
      <c r="J12" s="172" t="str">
        <f t="shared" si="7"/>
        <v/>
      </c>
      <c r="K12" s="86">
        <f t="shared" si="0"/>
        <v>728.87</v>
      </c>
      <c r="M12" s="86">
        <f>VLOOKUP(C12,'תקציב  '!$B:$S,11,0)*1</f>
        <v>0</v>
      </c>
      <c r="N12" s="125" t="str">
        <f t="shared" si="1"/>
        <v>-</v>
      </c>
      <c r="O12" s="125" t="str">
        <f t="shared" si="2"/>
        <v>-</v>
      </c>
      <c r="P12" s="86">
        <f t="shared" si="3"/>
        <v>728.87</v>
      </c>
      <c r="R12" s="89">
        <f>_xlfn.XLOOKUP(A12,'תקציב  '!A:A,'תקציב  '!AJ:AJ)</f>
        <v>5000</v>
      </c>
      <c r="S12" s="125">
        <f t="shared" si="8"/>
        <v>-0.85422599999999993</v>
      </c>
      <c r="T12" s="125">
        <f t="shared" si="9"/>
        <v>0.14577400000000001</v>
      </c>
      <c r="U12" s="89">
        <f t="shared" si="10"/>
        <v>-4271.13</v>
      </c>
      <c r="W12" s="86">
        <v>728.87</v>
      </c>
      <c r="X12" s="7">
        <f t="shared" si="4"/>
        <v>0</v>
      </c>
      <c r="Y12" s="101">
        <f t="shared" si="5"/>
        <v>0</v>
      </c>
    </row>
    <row r="13" spans="1:25" outlineLevel="1" x14ac:dyDescent="0.2">
      <c r="A13" s="134">
        <v>15</v>
      </c>
      <c r="B13" s="37" t="s">
        <v>119</v>
      </c>
      <c r="C13" s="142" t="s">
        <v>151</v>
      </c>
      <c r="D13" s="142" t="s">
        <v>151</v>
      </c>
      <c r="E13" s="86" t="s">
        <v>40</v>
      </c>
      <c r="F13" s="86">
        <f>VLOOKUP(B13,'2024'!$A:$O,9,0)</f>
        <v>0</v>
      </c>
      <c r="G13" s="86">
        <f>VLOOKUP($B13,'2025'!$A:$O,9,0)</f>
        <v>0</v>
      </c>
      <c r="H13" s="263">
        <v>0</v>
      </c>
      <c r="I13" s="125">
        <f t="shared" si="6"/>
        <v>0</v>
      </c>
      <c r="J13" s="172" t="str">
        <f t="shared" si="7"/>
        <v/>
      </c>
      <c r="K13" s="86">
        <f t="shared" si="0"/>
        <v>0</v>
      </c>
      <c r="M13" s="86">
        <f>VLOOKUP(C13,'תקציב  '!$B:$S,11,0)*1</f>
        <v>0</v>
      </c>
      <c r="N13" s="125" t="str">
        <f t="shared" si="1"/>
        <v>-</v>
      </c>
      <c r="O13" s="125" t="str">
        <f t="shared" si="2"/>
        <v>-</v>
      </c>
      <c r="P13" s="86">
        <f t="shared" si="3"/>
        <v>0</v>
      </c>
      <c r="R13" s="89">
        <f>_xlfn.XLOOKUP(A13,'תקציב  '!A:A,'תקציב  '!AJ:AJ)</f>
        <v>5000</v>
      </c>
      <c r="S13" s="125">
        <f t="shared" si="8"/>
        <v>-1</v>
      </c>
      <c r="T13" s="125">
        <f t="shared" si="9"/>
        <v>0</v>
      </c>
      <c r="U13" s="89">
        <f t="shared" si="10"/>
        <v>-5000</v>
      </c>
      <c r="W13" s="86">
        <v>0</v>
      </c>
      <c r="X13" s="7">
        <f t="shared" si="4"/>
        <v>0</v>
      </c>
      <c r="Y13" s="101" t="str">
        <f t="shared" si="5"/>
        <v>-</v>
      </c>
    </row>
    <row r="14" spans="1:25" outlineLevel="1" x14ac:dyDescent="0.2">
      <c r="A14" s="134">
        <v>13</v>
      </c>
      <c r="B14" s="37" t="s">
        <v>114</v>
      </c>
      <c r="C14" s="142" t="s">
        <v>45</v>
      </c>
      <c r="D14" s="142" t="s">
        <v>45</v>
      </c>
      <c r="E14" s="86" t="s">
        <v>40</v>
      </c>
      <c r="F14" s="86">
        <f>VLOOKUP(B14,'2024'!$A:$O,9,0)</f>
        <v>0</v>
      </c>
      <c r="G14" s="86">
        <f>VLOOKUP($B14,'2025'!$A:$O,9,0)</f>
        <v>0</v>
      </c>
      <c r="H14" s="263">
        <v>0</v>
      </c>
      <c r="I14" s="125">
        <f t="shared" si="6"/>
        <v>0</v>
      </c>
      <c r="J14" s="172" t="str">
        <f t="shared" si="7"/>
        <v/>
      </c>
      <c r="K14" s="86">
        <f t="shared" si="0"/>
        <v>0</v>
      </c>
      <c r="M14" s="86">
        <f>VLOOKUP(C14,'תקציב  '!$B:$S,11,0)*1</f>
        <v>50000</v>
      </c>
      <c r="N14" s="125">
        <f t="shared" si="1"/>
        <v>-1</v>
      </c>
      <c r="O14" s="125">
        <f t="shared" si="2"/>
        <v>0</v>
      </c>
      <c r="P14" s="86">
        <f t="shared" si="3"/>
        <v>-50000</v>
      </c>
      <c r="R14" s="89">
        <f>_xlfn.XLOOKUP(A14,'תקציב  '!A:A,'תקציב  '!AJ:AJ)</f>
        <v>5000</v>
      </c>
      <c r="S14" s="125">
        <f t="shared" si="8"/>
        <v>-1</v>
      </c>
      <c r="T14" s="125">
        <f t="shared" si="9"/>
        <v>0</v>
      </c>
      <c r="U14" s="89">
        <f t="shared" si="10"/>
        <v>-5000</v>
      </c>
      <c r="W14" s="86">
        <v>0</v>
      </c>
      <c r="X14" s="7">
        <f t="shared" si="4"/>
        <v>0</v>
      </c>
      <c r="Y14" s="101" t="str">
        <f t="shared" si="5"/>
        <v>-</v>
      </c>
    </row>
    <row r="15" spans="1:25" outlineLevel="1" x14ac:dyDescent="0.2">
      <c r="A15" s="134">
        <v>9</v>
      </c>
      <c r="B15" s="37" t="s">
        <v>118</v>
      </c>
      <c r="C15" s="142" t="s">
        <v>73</v>
      </c>
      <c r="D15" s="142" t="s">
        <v>73</v>
      </c>
      <c r="E15" s="86" t="s">
        <v>40</v>
      </c>
      <c r="F15" s="86">
        <f>VLOOKUP(B15,'2024'!$A:$O,9,0)</f>
        <v>6797.7499999999991</v>
      </c>
      <c r="G15" s="86">
        <f>VLOOKUP($B15,'2025'!$A:$O,9,0)</f>
        <v>5704.97</v>
      </c>
      <c r="H15" s="263">
        <v>10118.69</v>
      </c>
      <c r="I15" s="125">
        <f t="shared" si="6"/>
        <v>5.1248383430906545E-3</v>
      </c>
      <c r="J15" s="172">
        <f t="shared" si="7"/>
        <v>0.77366226290409945</v>
      </c>
      <c r="K15" s="86">
        <f t="shared" si="0"/>
        <v>4413.72</v>
      </c>
      <c r="M15" s="86">
        <f>VLOOKUP(C15,'תקציב  '!$B:$S,11,0)*1</f>
        <v>17460.317460317459</v>
      </c>
      <c r="N15" s="125">
        <f t="shared" si="1"/>
        <v>-0.42047502727272723</v>
      </c>
      <c r="O15" s="125">
        <f t="shared" si="2"/>
        <v>0.57952497272727277</v>
      </c>
      <c r="P15" s="86">
        <f t="shared" si="3"/>
        <v>-7341.6274603174588</v>
      </c>
      <c r="R15" s="89">
        <f>_xlfn.XLOOKUP(A15,'תקציב  '!A:A,'תקציב  '!AJ:AJ)</f>
        <v>25000</v>
      </c>
      <c r="S15" s="125">
        <f t="shared" si="8"/>
        <v>-0.5952523999999999</v>
      </c>
      <c r="T15" s="125">
        <f t="shared" si="9"/>
        <v>0.40474760000000004</v>
      </c>
      <c r="U15" s="89">
        <f t="shared" si="10"/>
        <v>-14881.31</v>
      </c>
      <c r="W15" s="86">
        <v>10118.69</v>
      </c>
      <c r="X15" s="7">
        <f t="shared" si="4"/>
        <v>0</v>
      </c>
      <c r="Y15" s="101">
        <f t="shared" si="5"/>
        <v>0</v>
      </c>
    </row>
    <row r="16" spans="1:25" ht="15" x14ac:dyDescent="0.25">
      <c r="A16" s="136"/>
      <c r="C16" s="150" t="s">
        <v>221</v>
      </c>
      <c r="D16" s="150" t="s">
        <v>221</v>
      </c>
      <c r="E16" s="152"/>
      <c r="F16" s="152">
        <f>SUM(F3:F15)</f>
        <v>1515574.027</v>
      </c>
      <c r="G16" s="152">
        <f>SUM(G3:G15)</f>
        <v>1428683.96</v>
      </c>
      <c r="H16" s="152">
        <f>SUM(H3:H15)</f>
        <v>1581788.3760000002</v>
      </c>
      <c r="I16" s="153">
        <f t="shared" si="6"/>
        <v>0.80113233234538239</v>
      </c>
      <c r="J16" s="173">
        <f t="shared" ref="J16" si="11">H16/G16-1</f>
        <v>0.10716464962621974</v>
      </c>
      <c r="K16" s="152">
        <f>SUM(K3:K15)</f>
        <v>153104.41600000003</v>
      </c>
      <c r="M16" s="152">
        <f>SUM(M3:M15)</f>
        <v>1832388.8888888888</v>
      </c>
      <c r="N16" s="153">
        <f t="shared" si="1"/>
        <v>-0.13676164181548056</v>
      </c>
      <c r="O16" s="153">
        <f t="shared" si="2"/>
        <v>0.86323835818451944</v>
      </c>
      <c r="P16" s="152">
        <f>SUM(P3:P15)</f>
        <v>-250600.51288888883</v>
      </c>
      <c r="R16" s="152">
        <f>SUM(R3:R15)</f>
        <v>1645000</v>
      </c>
      <c r="S16" s="153">
        <f t="shared" si="8"/>
        <v>-3.8426519148936022E-2</v>
      </c>
      <c r="T16" s="153">
        <f t="shared" si="9"/>
        <v>0.96157348085106398</v>
      </c>
      <c r="U16" s="152">
        <f t="shared" si="10"/>
        <v>-63211.623999999836</v>
      </c>
      <c r="V16" s="143"/>
      <c r="W16" s="152">
        <v>1527112.6810000003</v>
      </c>
      <c r="X16" s="144">
        <f t="shared" si="4"/>
        <v>54675.694999999832</v>
      </c>
      <c r="Y16" s="145">
        <f t="shared" si="5"/>
        <v>3.5803314110518958E-2</v>
      </c>
    </row>
    <row r="17" spans="1:25" outlineLevel="1" x14ac:dyDescent="0.2">
      <c r="A17" s="134">
        <v>2</v>
      </c>
      <c r="B17" s="37" t="s">
        <v>111</v>
      </c>
      <c r="C17" s="142" t="s">
        <v>7</v>
      </c>
      <c r="D17" s="142" t="s">
        <v>7</v>
      </c>
      <c r="E17" s="86" t="s">
        <v>40</v>
      </c>
      <c r="F17" s="86">
        <f>VLOOKUP(B17,'2024'!$A:$O,9,0)</f>
        <v>43626.889999999992</v>
      </c>
      <c r="G17" s="86">
        <f>VLOOKUP($B17,'2025'!$A:$O,9,0)</f>
        <v>136844.32999999952</v>
      </c>
      <c r="H17" s="262">
        <v>391167.74</v>
      </c>
      <c r="I17" s="125">
        <f t="shared" si="6"/>
        <v>0.19811570791595709</v>
      </c>
      <c r="J17" s="172">
        <f t="shared" si="7"/>
        <v>1.8584870122130845</v>
      </c>
      <c r="K17" s="86">
        <f>H17-G17</f>
        <v>254323.41000000047</v>
      </c>
      <c r="M17" s="86">
        <f>VLOOKUP(C17,'תקציב  '!$B:$S,11,0)*1</f>
        <v>1159556.779661017</v>
      </c>
      <c r="N17" s="125">
        <f t="shared" si="1"/>
        <v>-0.66265753703380237</v>
      </c>
      <c r="O17" s="125">
        <f t="shared" si="2"/>
        <v>0.33734246296619763</v>
      </c>
      <c r="P17" s="86">
        <f>H17-M17</f>
        <v>-768389.03966101701</v>
      </c>
      <c r="R17" s="89">
        <f>_xlfn.XLOOKUP(A17,'תקציב  '!A:A,'תקציב  '!AJ:AJ)</f>
        <v>481500</v>
      </c>
      <c r="S17" s="125">
        <f t="shared" si="8"/>
        <v>-0.18760593977154727</v>
      </c>
      <c r="T17" s="125">
        <f t="shared" si="9"/>
        <v>0.81239406022845273</v>
      </c>
      <c r="U17" s="89">
        <f t="shared" si="10"/>
        <v>-90332.260000000009</v>
      </c>
      <c r="W17" s="86">
        <v>391167.74</v>
      </c>
      <c r="X17" s="7">
        <f t="shared" si="4"/>
        <v>0</v>
      </c>
      <c r="Y17" s="101">
        <f t="shared" si="5"/>
        <v>0</v>
      </c>
    </row>
    <row r="18" spans="1:25" outlineLevel="1" x14ac:dyDescent="0.2">
      <c r="A18" s="134">
        <v>12</v>
      </c>
      <c r="B18" s="37" t="s">
        <v>110</v>
      </c>
      <c r="C18" s="142" t="s">
        <v>65</v>
      </c>
      <c r="D18" s="142" t="s">
        <v>65</v>
      </c>
      <c r="E18" s="86" t="s">
        <v>40</v>
      </c>
      <c r="F18" s="86">
        <f>VLOOKUP(B18,'2024'!$A:$O,9,0)</f>
        <v>4027.7199999999993</v>
      </c>
      <c r="G18" s="86">
        <f>VLOOKUP($B18,'2025'!$A:$O,9,0)</f>
        <v>2497.5200000000004</v>
      </c>
      <c r="H18" s="262">
        <v>1484.7</v>
      </c>
      <c r="I18" s="125">
        <f t="shared" si="6"/>
        <v>7.5195973866050794E-4</v>
      </c>
      <c r="J18" s="172">
        <f t="shared" si="7"/>
        <v>-0.40553028604375552</v>
      </c>
      <c r="K18" s="86">
        <f>H18-G18</f>
        <v>-1012.8200000000004</v>
      </c>
      <c r="M18" s="86">
        <f>VLOOKUP(C18,'תקציב  '!$B:$S,11,0)*1</f>
        <v>2536.9283333333324</v>
      </c>
      <c r="N18" s="125">
        <f t="shared" si="1"/>
        <v>-0.41476470561183876</v>
      </c>
      <c r="O18" s="125">
        <f t="shared" si="2"/>
        <v>0.58523529438816124</v>
      </c>
      <c r="P18" s="86">
        <f>H18-M18</f>
        <v>-1052.2283333333323</v>
      </c>
      <c r="R18" s="89">
        <f>_xlfn.XLOOKUP(A18,'תקציב  '!A:A,'תקציב  '!AJ:AJ)</f>
        <v>5000</v>
      </c>
      <c r="S18" s="125">
        <f t="shared" si="8"/>
        <v>-0.70306000000000002</v>
      </c>
      <c r="T18" s="125">
        <f t="shared" si="9"/>
        <v>0.29693999999999998</v>
      </c>
      <c r="U18" s="89">
        <f t="shared" si="10"/>
        <v>-3515.3</v>
      </c>
      <c r="W18" s="86">
        <v>1484.7</v>
      </c>
      <c r="X18" s="7">
        <f t="shared" si="4"/>
        <v>0</v>
      </c>
      <c r="Y18" s="101">
        <f t="shared" si="5"/>
        <v>0</v>
      </c>
    </row>
    <row r="19" spans="1:25" ht="15" x14ac:dyDescent="0.25">
      <c r="A19" s="135"/>
      <c r="C19" s="154" t="s">
        <v>41</v>
      </c>
      <c r="D19" s="154" t="s">
        <v>41</v>
      </c>
      <c r="E19" s="152"/>
      <c r="F19" s="152">
        <f>F16+F17+F18</f>
        <v>1563228.6369999999</v>
      </c>
      <c r="G19" s="152">
        <f>G16+G17+G18</f>
        <v>1568025.8099999996</v>
      </c>
      <c r="H19" s="152">
        <f>H16+H17+H18</f>
        <v>1974440.8160000001</v>
      </c>
      <c r="I19" s="153">
        <f t="shared" si="6"/>
        <v>1</v>
      </c>
      <c r="J19" s="173">
        <f t="shared" ref="J19:J41" si="12">H19/G19-1</f>
        <v>0.25918897725286838</v>
      </c>
      <c r="K19" s="152">
        <f>K16+K17+K18</f>
        <v>406415.00600000046</v>
      </c>
      <c r="M19" s="152">
        <f>M16+M17+M18</f>
        <v>2994482.5968832388</v>
      </c>
      <c r="N19" s="153">
        <f t="shared" si="1"/>
        <v>-0.34064041044851401</v>
      </c>
      <c r="O19" s="153">
        <f t="shared" si="2"/>
        <v>0.65935958955148599</v>
      </c>
      <c r="P19" s="152">
        <f>P16+P17+P18</f>
        <v>-1020041.7808832391</v>
      </c>
      <c r="R19" s="152">
        <f>R16+R17+R18</f>
        <v>2131500</v>
      </c>
      <c r="S19" s="153">
        <f t="shared" si="8"/>
        <v>-7.3684815388224245E-2</v>
      </c>
      <c r="T19" s="153">
        <f t="shared" si="9"/>
        <v>0.92631518461177575</v>
      </c>
      <c r="U19" s="152">
        <f t="shared" si="10"/>
        <v>-157059.18399999989</v>
      </c>
      <c r="V19" s="143"/>
      <c r="W19" s="152">
        <v>1919765.1210000003</v>
      </c>
      <c r="X19" s="144">
        <f t="shared" si="4"/>
        <v>54675.694999999832</v>
      </c>
      <c r="Y19" s="145">
        <f t="shared" si="5"/>
        <v>2.8480408567647775E-2</v>
      </c>
    </row>
    <row r="20" spans="1:25" outlineLevel="1" x14ac:dyDescent="0.2">
      <c r="A20" s="135">
        <v>50</v>
      </c>
      <c r="B20" s="37" t="s">
        <v>92</v>
      </c>
      <c r="C20" s="132" t="s">
        <v>74</v>
      </c>
      <c r="D20" s="132" t="s">
        <v>47</v>
      </c>
      <c r="E20" s="86" t="s">
        <v>38</v>
      </c>
      <c r="F20" s="86">
        <f>VLOOKUP(B20,'2024'!$A:$O,9,0)</f>
        <v>273201.5</v>
      </c>
      <c r="G20" s="86">
        <f>VLOOKUP($B20,'2025'!$A:$O,9,0)</f>
        <v>252496.44</v>
      </c>
      <c r="H20" s="86">
        <v>202592.25</v>
      </c>
      <c r="I20" s="125">
        <f t="shared" si="6"/>
        <v>0.10260740578207334</v>
      </c>
      <c r="J20" s="172">
        <f t="shared" si="7"/>
        <v>-0.19764314300827368</v>
      </c>
      <c r="K20" s="86">
        <f t="shared" ref="K20:K39" si="13">H20-G20</f>
        <v>-49904.19</v>
      </c>
      <c r="M20" s="86">
        <f>VLOOKUP(C20,'תקציב  '!$B:$S,11,0)*1</f>
        <v>481801.94617500005</v>
      </c>
      <c r="N20" s="125">
        <f t="shared" si="1"/>
        <v>-0.57951134982253794</v>
      </c>
      <c r="O20" s="125">
        <f t="shared" si="2"/>
        <v>0.42048865017746206</v>
      </c>
      <c r="P20" s="86">
        <f t="shared" ref="P20:P39" si="14">H20-M20</f>
        <v>-279209.69617500005</v>
      </c>
      <c r="R20" s="89">
        <f>_xlfn.XLOOKUP(A20,'תקציב  '!A:A,'תקציב  '!AJ:AJ)</f>
        <v>305012.39999999997</v>
      </c>
      <c r="S20" s="125">
        <f t="shared" si="8"/>
        <v>-0.33579011869681352</v>
      </c>
      <c r="T20" s="125">
        <f t="shared" si="9"/>
        <v>0.66420988130318648</v>
      </c>
      <c r="U20" s="89">
        <f t="shared" si="10"/>
        <v>-102420.14999999997</v>
      </c>
      <c r="W20" s="86">
        <v>202592.25</v>
      </c>
      <c r="X20" s="7">
        <f t="shared" si="4"/>
        <v>0</v>
      </c>
      <c r="Y20" s="101">
        <f t="shared" si="5"/>
        <v>0</v>
      </c>
    </row>
    <row r="21" spans="1:25" outlineLevel="1" x14ac:dyDescent="0.2">
      <c r="A21" s="135">
        <v>20</v>
      </c>
      <c r="B21" s="37" t="s">
        <v>93</v>
      </c>
      <c r="C21" s="132" t="s">
        <v>75</v>
      </c>
      <c r="D21" s="132" t="s">
        <v>13</v>
      </c>
      <c r="E21" s="86" t="s">
        <v>39</v>
      </c>
      <c r="F21" s="86">
        <f>VLOOKUP(B21,'2024'!$A:$O,9,0)</f>
        <v>-2422.6799999999998</v>
      </c>
      <c r="G21" s="86">
        <f>VLOOKUP($B21,'2025'!$A:$O,9,0)</f>
        <v>0</v>
      </c>
      <c r="H21" s="86">
        <v>132101.57</v>
      </c>
      <c r="I21" s="125">
        <f t="shared" si="6"/>
        <v>6.6905814005417119E-2</v>
      </c>
      <c r="J21" s="172" t="str">
        <f t="shared" si="7"/>
        <v/>
      </c>
      <c r="K21" s="86">
        <f t="shared" si="13"/>
        <v>132101.57</v>
      </c>
      <c r="M21" s="86">
        <f>VLOOKUP(C21,'תקציב  '!$B:$S,11,0)*1</f>
        <v>0</v>
      </c>
      <c r="N21" s="125" t="str">
        <f t="shared" si="1"/>
        <v>-</v>
      </c>
      <c r="O21" s="125" t="str">
        <f t="shared" si="2"/>
        <v>-</v>
      </c>
      <c r="P21" s="86">
        <f t="shared" si="14"/>
        <v>132101.57</v>
      </c>
      <c r="R21" s="89">
        <f>_xlfn.XLOOKUP(A21,'תקציב  '!A:A,'תקציב  '!AJ:AJ)</f>
        <v>130000</v>
      </c>
      <c r="S21" s="125">
        <f t="shared" si="8"/>
        <v>1.6165923076923105E-2</v>
      </c>
      <c r="T21" s="125">
        <f t="shared" si="9"/>
        <v>1.0161659230769231</v>
      </c>
      <c r="U21" s="89">
        <f t="shared" si="10"/>
        <v>2101.570000000007</v>
      </c>
      <c r="W21" s="86">
        <v>132101.57</v>
      </c>
      <c r="X21" s="7">
        <f t="shared" si="4"/>
        <v>0</v>
      </c>
      <c r="Y21" s="101">
        <f t="shared" si="5"/>
        <v>0</v>
      </c>
    </row>
    <row r="22" spans="1:25" outlineLevel="1" x14ac:dyDescent="0.2">
      <c r="A22" s="135">
        <v>21</v>
      </c>
      <c r="B22" s="37" t="s">
        <v>94</v>
      </c>
      <c r="C22" s="132" t="s">
        <v>80</v>
      </c>
      <c r="D22" s="132" t="s">
        <v>18</v>
      </c>
      <c r="E22" s="86" t="s">
        <v>19</v>
      </c>
      <c r="F22" s="86">
        <f>VLOOKUP(B22,'2024'!$A:$O,9,0)</f>
        <v>16110.54</v>
      </c>
      <c r="G22" s="86">
        <f>VLOOKUP($B22,'2025'!$A:$O,9,0)</f>
        <v>64506.58</v>
      </c>
      <c r="H22" s="86">
        <v>10986.57</v>
      </c>
      <c r="I22" s="125">
        <f t="shared" si="6"/>
        <v>5.5643957068602246E-3</v>
      </c>
      <c r="J22" s="172">
        <f t="shared" si="7"/>
        <v>-0.82968295637437295</v>
      </c>
      <c r="K22" s="86">
        <f t="shared" si="13"/>
        <v>-53520.01</v>
      </c>
      <c r="M22" s="86">
        <f>VLOOKUP(C22,'תקציב  '!$B:$S,11,0)*1</f>
        <v>120000</v>
      </c>
      <c r="N22" s="125">
        <f t="shared" si="1"/>
        <v>-0.90844524999999998</v>
      </c>
      <c r="O22" s="125">
        <f t="shared" si="2"/>
        <v>9.1554750000000004E-2</v>
      </c>
      <c r="P22" s="86">
        <f t="shared" si="14"/>
        <v>-109013.43</v>
      </c>
      <c r="R22" s="89">
        <f>_xlfn.XLOOKUP(A22,'תקציב  '!A:A,'תקציב  '!AJ:AJ)</f>
        <v>20000</v>
      </c>
      <c r="S22" s="125">
        <f t="shared" si="8"/>
        <v>-0.4506715</v>
      </c>
      <c r="T22" s="125">
        <f t="shared" si="9"/>
        <v>0.5493285</v>
      </c>
      <c r="U22" s="89">
        <f t="shared" si="10"/>
        <v>-9013.43</v>
      </c>
      <c r="W22" s="86">
        <v>10986.57</v>
      </c>
      <c r="X22" s="7">
        <f t="shared" si="4"/>
        <v>0</v>
      </c>
      <c r="Y22" s="101">
        <f t="shared" si="5"/>
        <v>0</v>
      </c>
    </row>
    <row r="23" spans="1:25" outlineLevel="1" x14ac:dyDescent="0.2">
      <c r="A23" s="135">
        <v>22</v>
      </c>
      <c r="B23" s="37" t="s">
        <v>95</v>
      </c>
      <c r="C23" s="132" t="s">
        <v>82</v>
      </c>
      <c r="D23" s="132" t="s">
        <v>14</v>
      </c>
      <c r="E23" s="86" t="s">
        <v>15</v>
      </c>
      <c r="F23" s="86">
        <f>VLOOKUP(B23,'2024'!$A:$O,9,0)</f>
        <v>0</v>
      </c>
      <c r="G23" s="86">
        <f>VLOOKUP($B23,'2025'!$A:$O,9,0)</f>
        <v>68497.3</v>
      </c>
      <c r="H23" s="86">
        <v>0</v>
      </c>
      <c r="I23" s="125">
        <f t="shared" si="6"/>
        <v>0</v>
      </c>
      <c r="J23" s="172">
        <f t="shared" si="7"/>
        <v>-1</v>
      </c>
      <c r="K23" s="86">
        <f t="shared" si="13"/>
        <v>-68497.3</v>
      </c>
      <c r="M23" s="86">
        <f>VLOOKUP(C23,'תקציב  '!$B:$S,11,0)*1</f>
        <v>0</v>
      </c>
      <c r="N23" s="125" t="str">
        <f t="shared" si="1"/>
        <v>-</v>
      </c>
      <c r="O23" s="125" t="str">
        <f t="shared" si="2"/>
        <v>-</v>
      </c>
      <c r="P23" s="86">
        <f t="shared" si="14"/>
        <v>0</v>
      </c>
      <c r="R23" s="89">
        <f>_xlfn.XLOOKUP(A23,'תקציב  '!A:A,'תקציב  '!AJ:AJ)</f>
        <v>0</v>
      </c>
      <c r="S23" s="125" t="str">
        <f t="shared" si="8"/>
        <v>-</v>
      </c>
      <c r="T23" s="125" t="str">
        <f t="shared" si="9"/>
        <v>-</v>
      </c>
      <c r="U23" s="89">
        <f t="shared" si="10"/>
        <v>0</v>
      </c>
      <c r="W23" s="86">
        <v>0</v>
      </c>
      <c r="X23" s="7">
        <f t="shared" si="4"/>
        <v>0</v>
      </c>
      <c r="Y23" s="101" t="str">
        <f t="shared" si="5"/>
        <v>-</v>
      </c>
    </row>
    <row r="24" spans="1:25" outlineLevel="1" x14ac:dyDescent="0.2">
      <c r="A24" s="135">
        <v>23</v>
      </c>
      <c r="B24" s="37" t="s">
        <v>96</v>
      </c>
      <c r="C24" s="132" t="s">
        <v>78</v>
      </c>
      <c r="D24" s="132" t="s">
        <v>24</v>
      </c>
      <c r="E24" s="86" t="s">
        <v>25</v>
      </c>
      <c r="F24" s="86">
        <f>VLOOKUP(B24,'2024'!$A:$O,9,0)</f>
        <v>19066.599999999999</v>
      </c>
      <c r="G24" s="86">
        <f>VLOOKUP($B24,'2025'!$A:$O,9,0)</f>
        <v>18496.39</v>
      </c>
      <c r="H24" s="86">
        <v>0</v>
      </c>
      <c r="I24" s="125">
        <f t="shared" si="6"/>
        <v>0</v>
      </c>
      <c r="J24" s="172">
        <f t="shared" si="7"/>
        <v>-1</v>
      </c>
      <c r="K24" s="86">
        <f t="shared" si="13"/>
        <v>-18496.39</v>
      </c>
      <c r="M24" s="86">
        <f>VLOOKUP(C24,'תקציב  '!$B:$S,11,0)*1</f>
        <v>10000</v>
      </c>
      <c r="N24" s="125">
        <f t="shared" si="1"/>
        <v>-1</v>
      </c>
      <c r="O24" s="125">
        <f t="shared" si="2"/>
        <v>0</v>
      </c>
      <c r="P24" s="86">
        <f t="shared" si="14"/>
        <v>-10000</v>
      </c>
      <c r="R24" s="89">
        <f>_xlfn.XLOOKUP(A24,'תקציב  '!A:A,'תקציב  '!AJ:AJ)</f>
        <v>0</v>
      </c>
      <c r="S24" s="125" t="str">
        <f t="shared" si="8"/>
        <v>-</v>
      </c>
      <c r="T24" s="125" t="str">
        <f t="shared" si="9"/>
        <v>-</v>
      </c>
      <c r="U24" s="89">
        <f t="shared" si="10"/>
        <v>0</v>
      </c>
      <c r="W24" s="86">
        <v>0</v>
      </c>
      <c r="X24" s="7">
        <f t="shared" si="4"/>
        <v>0</v>
      </c>
      <c r="Y24" s="101" t="str">
        <f t="shared" si="5"/>
        <v>-</v>
      </c>
    </row>
    <row r="25" spans="1:25" outlineLevel="1" x14ac:dyDescent="0.2">
      <c r="A25" s="135">
        <v>24</v>
      </c>
      <c r="B25" s="37" t="s">
        <v>97</v>
      </c>
      <c r="C25" s="132" t="s">
        <v>79</v>
      </c>
      <c r="D25" s="132" t="s">
        <v>27</v>
      </c>
      <c r="E25" s="86" t="s">
        <v>46</v>
      </c>
      <c r="F25" s="86">
        <f>VLOOKUP(B25,'2024'!$A:$O,9,0)</f>
        <v>0</v>
      </c>
      <c r="G25" s="86">
        <f>VLOOKUP($B25,'2025'!$A:$O,9,0)</f>
        <v>0</v>
      </c>
      <c r="H25" s="86">
        <v>0</v>
      </c>
      <c r="I25" s="125">
        <f t="shared" si="6"/>
        <v>0</v>
      </c>
      <c r="J25" s="172" t="str">
        <f t="shared" si="7"/>
        <v/>
      </c>
      <c r="K25" s="86">
        <f t="shared" si="13"/>
        <v>0</v>
      </c>
      <c r="M25" s="86">
        <f>VLOOKUP(C25,'תקציב  '!$B:$S,11,0)*1</f>
        <v>5000</v>
      </c>
      <c r="N25" s="125">
        <f t="shared" si="1"/>
        <v>-1</v>
      </c>
      <c r="O25" s="125">
        <f t="shared" si="2"/>
        <v>0</v>
      </c>
      <c r="P25" s="86">
        <f t="shared" si="14"/>
        <v>-5000</v>
      </c>
      <c r="R25" s="89">
        <f>_xlfn.XLOOKUP(A25,'תקציב  '!A:A,'תקציב  '!AJ:AJ)</f>
        <v>0</v>
      </c>
      <c r="S25" s="125" t="str">
        <f t="shared" si="8"/>
        <v>-</v>
      </c>
      <c r="T25" s="125" t="str">
        <f t="shared" si="9"/>
        <v>-</v>
      </c>
      <c r="U25" s="89">
        <f t="shared" si="10"/>
        <v>0</v>
      </c>
      <c r="W25" s="86">
        <v>0</v>
      </c>
      <c r="X25" s="7">
        <f t="shared" si="4"/>
        <v>0</v>
      </c>
      <c r="Y25" s="101" t="str">
        <f t="shared" si="5"/>
        <v>-</v>
      </c>
    </row>
    <row r="26" spans="1:25" ht="13.5" customHeight="1" outlineLevel="1" x14ac:dyDescent="0.2">
      <c r="A26" s="135">
        <v>25</v>
      </c>
      <c r="B26" s="37" t="s">
        <v>98</v>
      </c>
      <c r="C26" s="132" t="s">
        <v>87</v>
      </c>
      <c r="D26" s="132" t="s">
        <v>20</v>
      </c>
      <c r="E26" s="86" t="s">
        <v>21</v>
      </c>
      <c r="F26" s="86">
        <f>VLOOKUP(B26,'2024'!$A:$O,9,0)</f>
        <v>0</v>
      </c>
      <c r="G26" s="86">
        <f>VLOOKUP($B26,'2025'!$A:$O,9,0)</f>
        <v>0</v>
      </c>
      <c r="H26" s="86">
        <v>0</v>
      </c>
      <c r="I26" s="125">
        <f t="shared" si="6"/>
        <v>0</v>
      </c>
      <c r="J26" s="172" t="str">
        <f t="shared" si="7"/>
        <v/>
      </c>
      <c r="K26" s="86">
        <f t="shared" si="13"/>
        <v>0</v>
      </c>
      <c r="M26" s="86">
        <f>VLOOKUP(C26,'תקציב  '!$B:$S,11,0)*1</f>
        <v>0</v>
      </c>
      <c r="N26" s="125" t="str">
        <f t="shared" si="1"/>
        <v>-</v>
      </c>
      <c r="O26" s="125" t="str">
        <f t="shared" si="2"/>
        <v>-</v>
      </c>
      <c r="P26" s="86">
        <f t="shared" si="14"/>
        <v>0</v>
      </c>
      <c r="R26" s="89">
        <f>_xlfn.XLOOKUP(A26,'תקציב  '!A:A,'תקציב  '!AJ:AJ)</f>
        <v>0</v>
      </c>
      <c r="S26" s="125" t="str">
        <f t="shared" si="8"/>
        <v>-</v>
      </c>
      <c r="T26" s="125" t="str">
        <f t="shared" si="9"/>
        <v>-</v>
      </c>
      <c r="U26" s="89">
        <f t="shared" si="10"/>
        <v>0</v>
      </c>
      <c r="W26" s="86">
        <v>0</v>
      </c>
      <c r="X26" s="7">
        <f t="shared" si="4"/>
        <v>0</v>
      </c>
      <c r="Y26" s="101" t="str">
        <f t="shared" si="5"/>
        <v>-</v>
      </c>
    </row>
    <row r="27" spans="1:25" outlineLevel="1" x14ac:dyDescent="0.2">
      <c r="A27" s="135">
        <v>26</v>
      </c>
      <c r="B27" s="37" t="s">
        <v>99</v>
      </c>
      <c r="C27" s="132" t="s">
        <v>77</v>
      </c>
      <c r="D27" s="132" t="s">
        <v>26</v>
      </c>
      <c r="E27" s="86" t="s">
        <v>28</v>
      </c>
      <c r="F27" s="86">
        <f>VLOOKUP(B27,'2024'!$A:$O,9,0)</f>
        <v>41467.049999999996</v>
      </c>
      <c r="G27" s="86">
        <f>VLOOKUP($B27,'2025'!$A:$O,9,0)</f>
        <v>0</v>
      </c>
      <c r="H27" s="86">
        <v>0</v>
      </c>
      <c r="I27" s="125">
        <f t="shared" si="6"/>
        <v>0</v>
      </c>
      <c r="J27" s="172" t="str">
        <f t="shared" si="7"/>
        <v/>
      </c>
      <c r="K27" s="86">
        <f t="shared" si="13"/>
        <v>0</v>
      </c>
      <c r="M27" s="86">
        <f>VLOOKUP(C27,'תקציב  '!$B:$S,11,0)*1</f>
        <v>40000</v>
      </c>
      <c r="N27" s="125">
        <f t="shared" si="1"/>
        <v>-1</v>
      </c>
      <c r="O27" s="125">
        <f t="shared" si="2"/>
        <v>0</v>
      </c>
      <c r="P27" s="86">
        <f t="shared" si="14"/>
        <v>-40000</v>
      </c>
      <c r="R27" s="89">
        <f>_xlfn.XLOOKUP(A27,'תקציב  '!A:A,'תקציב  '!AJ:AJ)</f>
        <v>0</v>
      </c>
      <c r="S27" s="125" t="str">
        <f t="shared" si="8"/>
        <v>-</v>
      </c>
      <c r="T27" s="125" t="str">
        <f t="shared" si="9"/>
        <v>-</v>
      </c>
      <c r="U27" s="89">
        <f t="shared" si="10"/>
        <v>0</v>
      </c>
      <c r="W27" s="86">
        <v>0</v>
      </c>
      <c r="X27" s="7">
        <f t="shared" si="4"/>
        <v>0</v>
      </c>
      <c r="Y27" s="101" t="str">
        <f t="shared" si="5"/>
        <v>-</v>
      </c>
    </row>
    <row r="28" spans="1:25" ht="13.5" customHeight="1" outlineLevel="1" x14ac:dyDescent="0.2">
      <c r="A28" s="135">
        <v>27</v>
      </c>
      <c r="B28" s="37" t="s">
        <v>100</v>
      </c>
      <c r="C28" s="132" t="s">
        <v>88</v>
      </c>
      <c r="D28" s="132" t="s">
        <v>22</v>
      </c>
      <c r="E28" s="86" t="s">
        <v>23</v>
      </c>
      <c r="F28" s="86">
        <f>VLOOKUP(B28,'2024'!$A:$O,9,0)</f>
        <v>0</v>
      </c>
      <c r="G28" s="86">
        <f>VLOOKUP($B28,'2025'!$A:$O,9,0)</f>
        <v>0</v>
      </c>
      <c r="H28" s="86">
        <v>0</v>
      </c>
      <c r="I28" s="125">
        <f t="shared" si="6"/>
        <v>0</v>
      </c>
      <c r="J28" s="172" t="str">
        <f t="shared" si="7"/>
        <v/>
      </c>
      <c r="K28" s="86">
        <f t="shared" si="13"/>
        <v>0</v>
      </c>
      <c r="M28" s="86">
        <f>VLOOKUP(C28,'תקציב  '!$B:$S,11,0)*1</f>
        <v>250000</v>
      </c>
      <c r="N28" s="125">
        <f t="shared" si="1"/>
        <v>-1</v>
      </c>
      <c r="O28" s="125">
        <f t="shared" si="2"/>
        <v>0</v>
      </c>
      <c r="P28" s="86">
        <f t="shared" si="14"/>
        <v>-250000</v>
      </c>
      <c r="R28" s="89">
        <f>_xlfn.XLOOKUP(A28,'תקציב  '!A:A,'תקציב  '!AJ:AJ)</f>
        <v>0</v>
      </c>
      <c r="S28" s="125" t="str">
        <f t="shared" si="8"/>
        <v>-</v>
      </c>
      <c r="T28" s="125" t="str">
        <f t="shared" si="9"/>
        <v>-</v>
      </c>
      <c r="U28" s="89">
        <f t="shared" si="10"/>
        <v>0</v>
      </c>
      <c r="W28" s="86">
        <v>0</v>
      </c>
      <c r="X28" s="7">
        <f t="shared" si="4"/>
        <v>0</v>
      </c>
      <c r="Y28" s="101" t="str">
        <f t="shared" si="5"/>
        <v>-</v>
      </c>
    </row>
    <row r="29" spans="1:25" ht="13.5" customHeight="1" outlineLevel="1" x14ac:dyDescent="0.2">
      <c r="A29" s="135">
        <v>28</v>
      </c>
      <c r="B29" s="37" t="s">
        <v>101</v>
      </c>
      <c r="C29" s="132" t="s">
        <v>89</v>
      </c>
      <c r="D29" s="132" t="s">
        <v>16</v>
      </c>
      <c r="E29" s="86" t="s">
        <v>17</v>
      </c>
      <c r="F29" s="86">
        <f>VLOOKUP(B29,'2024'!$A:$O,9,0)</f>
        <v>21966.81</v>
      </c>
      <c r="G29" s="86">
        <f>VLOOKUP($B29,'2025'!$A:$O,9,0)</f>
        <v>26937.539999999997</v>
      </c>
      <c r="H29" s="86">
        <v>30237.69</v>
      </c>
      <c r="I29" s="125">
        <f t="shared" si="6"/>
        <v>1.5314558813293898E-2</v>
      </c>
      <c r="J29" s="172">
        <f t="shared" si="7"/>
        <v>0.1225111869903488</v>
      </c>
      <c r="K29" s="86">
        <f t="shared" si="13"/>
        <v>3300.1500000000015</v>
      </c>
      <c r="M29" s="86">
        <f>VLOOKUP(C29,'תקציב  '!$B:$S,11,0)*1</f>
        <v>39765.076000000001</v>
      </c>
      <c r="N29" s="125">
        <f t="shared" si="1"/>
        <v>-0.23959179658049701</v>
      </c>
      <c r="O29" s="125">
        <f t="shared" si="2"/>
        <v>0.76040820341950299</v>
      </c>
      <c r="P29" s="86">
        <f t="shared" si="14"/>
        <v>-9527.3860000000022</v>
      </c>
      <c r="R29" s="89">
        <f>_xlfn.XLOOKUP(A29,'תקציב  '!A:A,'תקציב  '!AJ:AJ)</f>
        <v>20000</v>
      </c>
      <c r="S29" s="125">
        <f t="shared" si="8"/>
        <v>0.51188449999999985</v>
      </c>
      <c r="T29" s="125">
        <f t="shared" si="9"/>
        <v>1.5118844999999999</v>
      </c>
      <c r="U29" s="89">
        <f t="shared" si="10"/>
        <v>10237.689999999999</v>
      </c>
      <c r="W29" s="86">
        <v>30237.69</v>
      </c>
      <c r="X29" s="7">
        <f t="shared" si="4"/>
        <v>0</v>
      </c>
      <c r="Y29" s="101">
        <f t="shared" si="5"/>
        <v>0</v>
      </c>
    </row>
    <row r="30" spans="1:25" outlineLevel="1" x14ac:dyDescent="0.2">
      <c r="A30" s="135">
        <v>29</v>
      </c>
      <c r="B30" s="37" t="s">
        <v>102</v>
      </c>
      <c r="C30" s="132" t="s">
        <v>81</v>
      </c>
      <c r="D30" s="132" t="s">
        <v>29</v>
      </c>
      <c r="E30" s="86" t="s">
        <v>30</v>
      </c>
      <c r="F30" s="86">
        <f>VLOOKUP(B30,'2024'!$A:$O,9,0)</f>
        <v>0</v>
      </c>
      <c r="G30" s="86">
        <f>VLOOKUP($B30,'2025'!$A:$O,9,0)</f>
        <v>0</v>
      </c>
      <c r="H30" s="86">
        <v>0</v>
      </c>
      <c r="I30" s="125">
        <f t="shared" si="6"/>
        <v>0</v>
      </c>
      <c r="J30" s="172" t="str">
        <f t="shared" si="7"/>
        <v/>
      </c>
      <c r="K30" s="86">
        <f t="shared" si="13"/>
        <v>0</v>
      </c>
      <c r="M30" s="86">
        <f>VLOOKUP(C30,'תקציב  '!$B:$S,11,0)*1</f>
        <v>0</v>
      </c>
      <c r="N30" s="125" t="str">
        <f t="shared" si="1"/>
        <v>-</v>
      </c>
      <c r="O30" s="125" t="str">
        <f t="shared" si="2"/>
        <v>-</v>
      </c>
      <c r="P30" s="86">
        <f t="shared" si="14"/>
        <v>0</v>
      </c>
      <c r="R30" s="89">
        <f>_xlfn.XLOOKUP(A30,'תקציב  '!A:A,'תקציב  '!AJ:AJ)</f>
        <v>0</v>
      </c>
      <c r="S30" s="125" t="str">
        <f t="shared" si="8"/>
        <v>-</v>
      </c>
      <c r="T30" s="125" t="str">
        <f t="shared" si="9"/>
        <v>-</v>
      </c>
      <c r="U30" s="89">
        <f t="shared" si="10"/>
        <v>0</v>
      </c>
      <c r="W30" s="86">
        <v>0</v>
      </c>
      <c r="X30" s="7">
        <f t="shared" si="4"/>
        <v>0</v>
      </c>
      <c r="Y30" s="101" t="str">
        <f t="shared" si="5"/>
        <v>-</v>
      </c>
    </row>
    <row r="31" spans="1:25" outlineLevel="1" x14ac:dyDescent="0.2">
      <c r="A31" s="135">
        <v>30</v>
      </c>
      <c r="B31" s="37" t="s">
        <v>103</v>
      </c>
      <c r="C31" s="132" t="s">
        <v>76</v>
      </c>
      <c r="D31" s="132" t="s">
        <v>34</v>
      </c>
      <c r="E31" s="86" t="s">
        <v>30</v>
      </c>
      <c r="F31" s="86">
        <f>VLOOKUP(B31,'2024'!$A:$O,9,0)</f>
        <v>0</v>
      </c>
      <c r="G31" s="86">
        <f>VLOOKUP($B31,'2025'!$A:$O,9,0)</f>
        <v>0</v>
      </c>
      <c r="H31" s="86">
        <v>0</v>
      </c>
      <c r="I31" s="125">
        <f t="shared" si="6"/>
        <v>0</v>
      </c>
      <c r="J31" s="172" t="str">
        <f t="shared" si="7"/>
        <v/>
      </c>
      <c r="K31" s="86">
        <f t="shared" si="13"/>
        <v>0</v>
      </c>
      <c r="M31" s="86">
        <f>VLOOKUP(C31,'תקציב  '!$B:$S,11,0)*1</f>
        <v>0</v>
      </c>
      <c r="N31" s="125" t="str">
        <f t="shared" si="1"/>
        <v>-</v>
      </c>
      <c r="O31" s="125" t="str">
        <f t="shared" si="2"/>
        <v>-</v>
      </c>
      <c r="P31" s="86">
        <f t="shared" si="14"/>
        <v>0</v>
      </c>
      <c r="R31" s="89">
        <f>_xlfn.XLOOKUP(A31,'תקציב  '!A:A,'תקציב  '!AJ:AJ)</f>
        <v>0</v>
      </c>
      <c r="S31" s="125" t="str">
        <f t="shared" si="8"/>
        <v>-</v>
      </c>
      <c r="T31" s="125" t="str">
        <f t="shared" si="9"/>
        <v>-</v>
      </c>
      <c r="U31" s="89">
        <f t="shared" si="10"/>
        <v>0</v>
      </c>
      <c r="W31" s="86">
        <v>0</v>
      </c>
      <c r="X31" s="7">
        <f t="shared" si="4"/>
        <v>0</v>
      </c>
      <c r="Y31" s="101" t="str">
        <f t="shared" si="5"/>
        <v>-</v>
      </c>
    </row>
    <row r="32" spans="1:25" ht="13.5" customHeight="1" outlineLevel="1" x14ac:dyDescent="0.2">
      <c r="A32" s="135">
        <v>31</v>
      </c>
      <c r="B32" s="37" t="s">
        <v>85</v>
      </c>
      <c r="C32" s="132" t="s">
        <v>85</v>
      </c>
      <c r="D32" s="132" t="s">
        <v>32</v>
      </c>
      <c r="E32" s="86" t="s">
        <v>33</v>
      </c>
      <c r="F32" s="86">
        <f>VLOOKUP(B32,'2024'!$A:$O,9,0)</f>
        <v>0</v>
      </c>
      <c r="G32" s="86">
        <f>VLOOKUP($B32,'2025'!$A:$O,9,0)</f>
        <v>0</v>
      </c>
      <c r="H32" s="86">
        <v>10037.15</v>
      </c>
      <c r="I32" s="125">
        <f t="shared" si="6"/>
        <v>5.0835405744570055E-3</v>
      </c>
      <c r="J32" s="172" t="str">
        <f t="shared" si="7"/>
        <v/>
      </c>
      <c r="K32" s="86">
        <f t="shared" si="13"/>
        <v>10037.15</v>
      </c>
      <c r="M32" s="86">
        <f>VLOOKUP(C32,'תקציב  '!$B:$S,11,0)*1</f>
        <v>0</v>
      </c>
      <c r="N32" s="125" t="str">
        <f t="shared" si="1"/>
        <v>-</v>
      </c>
      <c r="O32" s="125" t="str">
        <f t="shared" si="2"/>
        <v>-</v>
      </c>
      <c r="P32" s="86">
        <f t="shared" si="14"/>
        <v>10037.15</v>
      </c>
      <c r="R32" s="89">
        <f>_xlfn.XLOOKUP(A32,'תקציב  '!A:A,'תקציב  '!AJ:AJ)</f>
        <v>0</v>
      </c>
      <c r="S32" s="125" t="str">
        <f t="shared" si="8"/>
        <v>-</v>
      </c>
      <c r="T32" s="125" t="str">
        <f t="shared" si="9"/>
        <v>-</v>
      </c>
      <c r="U32" s="89">
        <f t="shared" si="10"/>
        <v>10037.15</v>
      </c>
      <c r="W32" s="86">
        <v>10037.15</v>
      </c>
      <c r="X32" s="7">
        <f t="shared" si="4"/>
        <v>0</v>
      </c>
      <c r="Y32" s="101">
        <f t="shared" si="5"/>
        <v>0</v>
      </c>
    </row>
    <row r="33" spans="1:25" ht="13.5" customHeight="1" outlineLevel="1" x14ac:dyDescent="0.2">
      <c r="A33" s="135"/>
      <c r="C33" s="132"/>
      <c r="D33" s="132" t="s">
        <v>11</v>
      </c>
      <c r="E33" s="86" t="s">
        <v>12</v>
      </c>
      <c r="F33" s="86"/>
      <c r="G33" s="86"/>
      <c r="H33" s="86">
        <v>0</v>
      </c>
      <c r="I33" s="125">
        <f t="shared" si="6"/>
        <v>0</v>
      </c>
      <c r="J33" s="172" t="str">
        <f t="shared" si="7"/>
        <v/>
      </c>
      <c r="K33" s="86">
        <f t="shared" si="13"/>
        <v>0</v>
      </c>
      <c r="M33" s="86"/>
      <c r="N33" s="125" t="str">
        <f t="shared" si="1"/>
        <v>-</v>
      </c>
      <c r="O33" s="125" t="str">
        <f t="shared" si="2"/>
        <v>-</v>
      </c>
      <c r="P33" s="86">
        <f t="shared" si="14"/>
        <v>0</v>
      </c>
      <c r="R33" s="89">
        <f>_xlfn.XLOOKUP(A33,'תקציב  '!A:A,'תקציב  '!AJ:AJ)</f>
        <v>0</v>
      </c>
      <c r="S33" s="125" t="str">
        <f t="shared" si="8"/>
        <v>-</v>
      </c>
      <c r="T33" s="125" t="str">
        <f t="shared" si="9"/>
        <v>-</v>
      </c>
      <c r="U33" s="89">
        <f t="shared" si="10"/>
        <v>0</v>
      </c>
      <c r="W33" s="86">
        <v>0</v>
      </c>
      <c r="X33" s="7">
        <f t="shared" si="4"/>
        <v>0</v>
      </c>
      <c r="Y33" s="101" t="str">
        <f t="shared" si="5"/>
        <v>-</v>
      </c>
    </row>
    <row r="34" spans="1:25" ht="13.5" customHeight="1" outlineLevel="1" x14ac:dyDescent="0.2">
      <c r="A34" s="135">
        <v>32</v>
      </c>
      <c r="B34" s="37" t="s">
        <v>104</v>
      </c>
      <c r="C34" s="132" t="s">
        <v>86</v>
      </c>
      <c r="D34" s="132" t="s">
        <v>31</v>
      </c>
      <c r="E34" s="86" t="s">
        <v>49</v>
      </c>
      <c r="F34" s="86">
        <f>VLOOKUP(B34,'2024'!$A:$O,9,0)</f>
        <v>0</v>
      </c>
      <c r="G34" s="86">
        <f>VLOOKUP($B34,'2025'!$A:$O,9,0)</f>
        <v>0</v>
      </c>
      <c r="H34" s="86">
        <v>18350.05</v>
      </c>
      <c r="I34" s="125">
        <f t="shared" si="6"/>
        <v>9.2937959199887194E-3</v>
      </c>
      <c r="J34" s="172" t="str">
        <f t="shared" si="7"/>
        <v/>
      </c>
      <c r="K34" s="86">
        <f t="shared" si="13"/>
        <v>18350.05</v>
      </c>
      <c r="M34" s="86">
        <f>VLOOKUP(C34,'תקציב  '!$B:$S,11,0)*1</f>
        <v>0</v>
      </c>
      <c r="N34" s="125" t="str">
        <f t="shared" si="1"/>
        <v>-</v>
      </c>
      <c r="O34" s="125" t="str">
        <f t="shared" si="2"/>
        <v>-</v>
      </c>
      <c r="P34" s="86">
        <f t="shared" si="14"/>
        <v>18350.05</v>
      </c>
      <c r="R34" s="89">
        <f>_xlfn.XLOOKUP(A34,'תקציב  '!A:A,'תקציב  '!AJ:AJ)</f>
        <v>20000</v>
      </c>
      <c r="S34" s="125">
        <f t="shared" si="8"/>
        <v>-8.2497500000000001E-2</v>
      </c>
      <c r="T34" s="125">
        <f t="shared" si="9"/>
        <v>0.9175025</v>
      </c>
      <c r="U34" s="89">
        <f t="shared" si="10"/>
        <v>-1649.9500000000007</v>
      </c>
      <c r="W34" s="86">
        <v>18350.05</v>
      </c>
      <c r="X34" s="7">
        <f t="shared" si="4"/>
        <v>0</v>
      </c>
      <c r="Y34" s="101">
        <f t="shared" si="5"/>
        <v>0</v>
      </c>
    </row>
    <row r="35" spans="1:25" ht="13.5" customHeight="1" outlineLevel="1" x14ac:dyDescent="0.2">
      <c r="A35" s="135">
        <v>33</v>
      </c>
      <c r="B35" s="37" t="s">
        <v>105</v>
      </c>
      <c r="C35" s="132" t="s">
        <v>83</v>
      </c>
      <c r="D35" s="132" t="s">
        <v>84</v>
      </c>
      <c r="E35" s="86" t="s">
        <v>48</v>
      </c>
      <c r="F35" s="86">
        <f>VLOOKUP(B35,'2024'!$A:$O,9,0)</f>
        <v>25140.85</v>
      </c>
      <c r="G35" s="86">
        <f>VLOOKUP($B35,'2025'!$A:$O,9,0)</f>
        <v>0</v>
      </c>
      <c r="H35" s="86">
        <v>26105.72</v>
      </c>
      <c r="I35" s="125">
        <f t="shared" si="6"/>
        <v>1.3221829587623355E-2</v>
      </c>
      <c r="J35" s="172" t="str">
        <f t="shared" si="7"/>
        <v/>
      </c>
      <c r="K35" s="86">
        <f t="shared" si="13"/>
        <v>26105.72</v>
      </c>
      <c r="M35" s="86">
        <f>VLOOKUP(C35,'תקציב  '!$B:$S,11,0)*1</f>
        <v>0</v>
      </c>
      <c r="N35" s="125" t="str">
        <f t="shared" si="1"/>
        <v>-</v>
      </c>
      <c r="O35" s="125" t="str">
        <f t="shared" si="2"/>
        <v>-</v>
      </c>
      <c r="P35" s="86">
        <f t="shared" si="14"/>
        <v>26105.72</v>
      </c>
      <c r="R35" s="89">
        <f>_xlfn.XLOOKUP(A35,'תקציב  '!A:A,'תקציב  '!AJ:AJ)</f>
        <v>0</v>
      </c>
      <c r="S35" s="125" t="str">
        <f t="shared" si="8"/>
        <v>-</v>
      </c>
      <c r="T35" s="125" t="str">
        <f t="shared" si="9"/>
        <v>-</v>
      </c>
      <c r="U35" s="89">
        <f t="shared" si="10"/>
        <v>26105.72</v>
      </c>
      <c r="W35" s="86">
        <v>26105.72</v>
      </c>
      <c r="X35" s="7">
        <f t="shared" si="4"/>
        <v>0</v>
      </c>
      <c r="Y35" s="101">
        <f t="shared" si="5"/>
        <v>0</v>
      </c>
    </row>
    <row r="36" spans="1:25" outlineLevel="1" x14ac:dyDescent="0.2">
      <c r="A36" s="135"/>
      <c r="B36" s="37" t="s">
        <v>107</v>
      </c>
      <c r="C36" s="132" t="s">
        <v>107</v>
      </c>
      <c r="D36" s="132" t="s">
        <v>37</v>
      </c>
      <c r="E36" s="86" t="s">
        <v>17</v>
      </c>
      <c r="F36" s="86">
        <f>VLOOKUP(B36,'2024'!$A:$O,9,0)</f>
        <v>0</v>
      </c>
      <c r="G36" s="86">
        <f>VLOOKUP($B36,'2025'!$A:$O,9,0)</f>
        <v>0</v>
      </c>
      <c r="H36" s="86">
        <v>0</v>
      </c>
      <c r="I36" s="125">
        <f t="shared" si="6"/>
        <v>0</v>
      </c>
      <c r="J36" s="172" t="str">
        <f t="shared" si="7"/>
        <v/>
      </c>
      <c r="K36" s="86">
        <f t="shared" si="13"/>
        <v>0</v>
      </c>
      <c r="M36" s="86"/>
      <c r="N36" s="125" t="str">
        <f t="shared" si="1"/>
        <v>-</v>
      </c>
      <c r="O36" s="125" t="str">
        <f t="shared" si="2"/>
        <v>-</v>
      </c>
      <c r="P36" s="86">
        <f t="shared" si="14"/>
        <v>0</v>
      </c>
      <c r="R36" s="89">
        <f>_xlfn.XLOOKUP(A36,'תקציב  '!A:A,'תקציב  '!AJ:AJ)</f>
        <v>0</v>
      </c>
      <c r="S36" s="125" t="str">
        <f t="shared" si="8"/>
        <v>-</v>
      </c>
      <c r="T36" s="125" t="str">
        <f t="shared" si="9"/>
        <v>-</v>
      </c>
      <c r="U36" s="89">
        <f t="shared" si="10"/>
        <v>0</v>
      </c>
      <c r="W36" s="86">
        <v>0</v>
      </c>
      <c r="X36" s="7">
        <f t="shared" si="4"/>
        <v>0</v>
      </c>
      <c r="Y36" s="101" t="str">
        <f t="shared" si="5"/>
        <v>-</v>
      </c>
    </row>
    <row r="37" spans="1:25" outlineLevel="1" x14ac:dyDescent="0.2">
      <c r="A37" s="135">
        <v>34</v>
      </c>
      <c r="B37" s="37" t="s">
        <v>108</v>
      </c>
      <c r="C37" s="132" t="s">
        <v>108</v>
      </c>
      <c r="D37" s="132" t="s">
        <v>35</v>
      </c>
      <c r="E37" s="86" t="s">
        <v>36</v>
      </c>
      <c r="F37" s="86">
        <f>VLOOKUP(B37,'2024'!$A:$O,9,0)</f>
        <v>0</v>
      </c>
      <c r="G37" s="86">
        <f>VLOOKUP($B37,'2025'!$A:$O,9,0)</f>
        <v>0</v>
      </c>
      <c r="H37" s="86">
        <v>0</v>
      </c>
      <c r="I37" s="125">
        <f t="shared" si="6"/>
        <v>0</v>
      </c>
      <c r="J37" s="172" t="str">
        <f t="shared" si="7"/>
        <v/>
      </c>
      <c r="K37" s="86">
        <f t="shared" si="13"/>
        <v>0</v>
      </c>
      <c r="M37" s="86"/>
      <c r="N37" s="125" t="str">
        <f t="shared" si="1"/>
        <v>-</v>
      </c>
      <c r="O37" s="125" t="str">
        <f t="shared" si="2"/>
        <v>-</v>
      </c>
      <c r="P37" s="86">
        <f t="shared" si="14"/>
        <v>0</v>
      </c>
      <c r="R37" s="89">
        <f>_xlfn.XLOOKUP(A37,'תקציב  '!A:A,'תקציב  '!AJ:AJ)</f>
        <v>0</v>
      </c>
      <c r="S37" s="125" t="str">
        <f t="shared" si="8"/>
        <v>-</v>
      </c>
      <c r="T37" s="125" t="str">
        <f t="shared" si="9"/>
        <v>-</v>
      </c>
      <c r="U37" s="89">
        <f t="shared" si="10"/>
        <v>0</v>
      </c>
      <c r="W37" s="86">
        <v>0</v>
      </c>
      <c r="X37" s="7">
        <f t="shared" si="4"/>
        <v>0</v>
      </c>
      <c r="Y37" s="101" t="str">
        <f t="shared" si="5"/>
        <v>-</v>
      </c>
    </row>
    <row r="38" spans="1:25" ht="13.5" customHeight="1" outlineLevel="1" x14ac:dyDescent="0.2">
      <c r="A38" s="135">
        <v>35</v>
      </c>
      <c r="B38" s="37" t="s">
        <v>109</v>
      </c>
      <c r="C38" s="132" t="s">
        <v>109</v>
      </c>
      <c r="D38" s="132" t="s">
        <v>70</v>
      </c>
      <c r="E38" s="86" t="s">
        <v>38</v>
      </c>
      <c r="F38" s="86">
        <f>VLOOKUP(B38,'2024'!$A:$O,9,0)</f>
        <v>0</v>
      </c>
      <c r="G38" s="86">
        <f>VLOOKUP($B38,'2025'!$A:$O,9,0)</f>
        <v>0</v>
      </c>
      <c r="H38" s="86">
        <v>0</v>
      </c>
      <c r="I38" s="125">
        <f t="shared" si="6"/>
        <v>0</v>
      </c>
      <c r="J38" s="172" t="str">
        <f t="shared" si="7"/>
        <v/>
      </c>
      <c r="K38" s="86">
        <f t="shared" si="13"/>
        <v>0</v>
      </c>
      <c r="M38" s="86">
        <f>VLOOKUP(C38,'תקציב  '!$B:$S,11,0)*1</f>
        <v>200000</v>
      </c>
      <c r="N38" s="125">
        <f t="shared" si="1"/>
        <v>-1</v>
      </c>
      <c r="O38" s="125">
        <f t="shared" si="2"/>
        <v>0</v>
      </c>
      <c r="P38" s="86">
        <f t="shared" si="14"/>
        <v>-200000</v>
      </c>
      <c r="R38" s="89">
        <f>_xlfn.XLOOKUP(A38,'תקציב  '!A:A,'תקציב  '!AJ:AJ)</f>
        <v>0</v>
      </c>
      <c r="S38" s="125" t="str">
        <f t="shared" si="8"/>
        <v>-</v>
      </c>
      <c r="T38" s="125" t="str">
        <f t="shared" si="9"/>
        <v>-</v>
      </c>
      <c r="U38" s="89">
        <f t="shared" si="10"/>
        <v>0</v>
      </c>
      <c r="W38" s="86">
        <v>0</v>
      </c>
      <c r="X38" s="7">
        <f t="shared" si="4"/>
        <v>0</v>
      </c>
      <c r="Y38" s="101" t="str">
        <f t="shared" si="5"/>
        <v>-</v>
      </c>
    </row>
    <row r="39" spans="1:25" ht="13.5" customHeight="1" outlineLevel="1" x14ac:dyDescent="0.2">
      <c r="A39" s="188">
        <v>36</v>
      </c>
      <c r="C39" s="189" t="s">
        <v>91</v>
      </c>
      <c r="D39" s="189" t="s">
        <v>91</v>
      </c>
      <c r="E39" s="190"/>
      <c r="F39" s="190"/>
      <c r="G39" s="190"/>
      <c r="H39" s="190">
        <v>0</v>
      </c>
      <c r="I39" s="191">
        <f t="shared" si="6"/>
        <v>0</v>
      </c>
      <c r="J39" s="172" t="str">
        <f t="shared" si="7"/>
        <v/>
      </c>
      <c r="K39" s="190">
        <f t="shared" si="13"/>
        <v>0</v>
      </c>
      <c r="M39" s="190">
        <f>VLOOKUP(C39,'תקציב  '!$B:$S,11,0)*1</f>
        <v>0</v>
      </c>
      <c r="N39" s="191" t="str">
        <f t="shared" si="1"/>
        <v>-</v>
      </c>
      <c r="O39" s="191" t="str">
        <f t="shared" si="2"/>
        <v>-</v>
      </c>
      <c r="P39" s="190">
        <f t="shared" si="14"/>
        <v>0</v>
      </c>
      <c r="R39" s="89">
        <f>_xlfn.XLOOKUP(A39,'תקציב  '!A:A,'תקציב  '!AJ:AJ)</f>
        <v>0</v>
      </c>
      <c r="S39" s="125" t="str">
        <f t="shared" si="8"/>
        <v>-</v>
      </c>
      <c r="T39" s="125" t="str">
        <f t="shared" si="9"/>
        <v>-</v>
      </c>
      <c r="U39" s="89">
        <f t="shared" si="10"/>
        <v>0</v>
      </c>
      <c r="W39" s="86">
        <v>0</v>
      </c>
      <c r="X39" s="7">
        <f t="shared" si="4"/>
        <v>0</v>
      </c>
      <c r="Y39" s="101" t="str">
        <f t="shared" si="5"/>
        <v>-</v>
      </c>
    </row>
    <row r="40" spans="1:25" ht="15" x14ac:dyDescent="0.25">
      <c r="A40" s="135"/>
      <c r="B40" s="96"/>
      <c r="C40" s="156"/>
      <c r="D40" s="156" t="s">
        <v>42</v>
      </c>
      <c r="E40" s="157"/>
      <c r="F40" s="157">
        <f>SUM(F20:F39)</f>
        <v>394530.66999999993</v>
      </c>
      <c r="G40" s="157">
        <f>SUM(G20:G39)</f>
        <v>430934.25</v>
      </c>
      <c r="H40" s="157">
        <f>SUM(H20:H39)</f>
        <v>430411</v>
      </c>
      <c r="I40" s="97">
        <f t="shared" si="6"/>
        <v>0.21799134038971366</v>
      </c>
      <c r="J40" s="97">
        <f t="shared" si="12"/>
        <v>-1.2142223552664699E-3</v>
      </c>
      <c r="K40" s="157">
        <f>SUM(K20:K39)</f>
        <v>-523.24999999999636</v>
      </c>
      <c r="M40" s="157">
        <f>SUM(M20:M39)</f>
        <v>1146567.022175</v>
      </c>
      <c r="N40" s="97">
        <f t="shared" si="1"/>
        <v>-0.62460894856061322</v>
      </c>
      <c r="O40" s="97">
        <f t="shared" si="2"/>
        <v>0.37539105143938684</v>
      </c>
      <c r="P40" s="157">
        <f>SUM(P20:P39)</f>
        <v>-716156.02217500005</v>
      </c>
      <c r="R40" s="157">
        <f>SUM(R20:R39)</f>
        <v>495012.39999999997</v>
      </c>
      <c r="S40" s="97">
        <f t="shared" si="8"/>
        <v>-0.13050460958149734</v>
      </c>
      <c r="T40" s="97">
        <f t="shared" si="9"/>
        <v>0.86949539041850266</v>
      </c>
      <c r="U40" s="157">
        <f t="shared" si="10"/>
        <v>-64601.399999999965</v>
      </c>
      <c r="V40" s="143"/>
      <c r="W40" s="157">
        <v>430411</v>
      </c>
      <c r="X40" s="144">
        <f t="shared" si="4"/>
        <v>0</v>
      </c>
      <c r="Y40" s="145">
        <f t="shared" si="5"/>
        <v>0</v>
      </c>
    </row>
    <row r="41" spans="1:25" ht="15" x14ac:dyDescent="0.25">
      <c r="A41" s="135"/>
      <c r="B41" s="96"/>
      <c r="C41" s="158"/>
      <c r="D41" s="158" t="s">
        <v>69</v>
      </c>
      <c r="E41" s="159"/>
      <c r="F41" s="159">
        <f>F40+F19</f>
        <v>1957759.3069999998</v>
      </c>
      <c r="G41" s="159">
        <f>G40+G19</f>
        <v>1998960.0599999996</v>
      </c>
      <c r="H41" s="159">
        <f>H40+H19</f>
        <v>2404851.8160000001</v>
      </c>
      <c r="I41" s="50">
        <f t="shared" si="6"/>
        <v>1.2179913403897136</v>
      </c>
      <c r="J41" s="50">
        <f t="shared" si="12"/>
        <v>0.20305145866696339</v>
      </c>
      <c r="K41" s="159">
        <f>K40+K19</f>
        <v>405891.75600000046</v>
      </c>
      <c r="M41" s="159">
        <f>M40+M19</f>
        <v>4141049.6190582388</v>
      </c>
      <c r="N41" s="50">
        <f t="shared" si="1"/>
        <v>-0.41926515322776703</v>
      </c>
      <c r="O41" s="50">
        <f t="shared" si="2"/>
        <v>0.58073484677223297</v>
      </c>
      <c r="P41" s="159">
        <f>P40+P19</f>
        <v>-1736197.8030582392</v>
      </c>
      <c r="R41" s="159">
        <f>R40+R19</f>
        <v>2626512.4</v>
      </c>
      <c r="S41" s="50">
        <f t="shared" si="8"/>
        <v>-8.4393503719989993E-2</v>
      </c>
      <c r="T41" s="50">
        <f t="shared" si="9"/>
        <v>0.91560649628001001</v>
      </c>
      <c r="U41" s="159">
        <f t="shared" si="10"/>
        <v>-221660.5839999998</v>
      </c>
      <c r="V41" s="143"/>
      <c r="W41" s="159">
        <v>2350176.1210000003</v>
      </c>
      <c r="X41" s="144">
        <f t="shared" si="4"/>
        <v>54675.694999999832</v>
      </c>
      <c r="Y41" s="145">
        <f t="shared" si="5"/>
        <v>2.3264509630340102E-2</v>
      </c>
    </row>
    <row r="42" spans="1:25" x14ac:dyDescent="0.2">
      <c r="E42" s="47"/>
      <c r="F42" s="47">
        <f>F41-'2024'!I38</f>
        <v>0</v>
      </c>
      <c r="G42" s="47"/>
      <c r="H42" s="47"/>
      <c r="J42" s="187"/>
      <c r="K42" s="47"/>
      <c r="M42" s="47"/>
      <c r="P42" s="47"/>
    </row>
    <row r="44" spans="1:25" x14ac:dyDescent="0.2">
      <c r="H44" s="7"/>
    </row>
  </sheetData>
  <dataConsolidate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EB41-4439-475A-878F-1D78072E6E64}">
  <dimension ref="A1:R42"/>
  <sheetViews>
    <sheetView showGridLines="0" rightToLeft="1" workbookViewId="0">
      <pane xSplit="5" ySplit="2" topLeftCell="F12" activePane="bottomRight" state="frozen"/>
      <selection activeCell="J13" sqref="J13"/>
      <selection pane="topRight" activeCell="J13" sqref="J13"/>
      <selection pane="bottomLeft" activeCell="J13" sqref="J13"/>
      <selection pane="bottomRight" activeCell="R41" sqref="R41"/>
    </sheetView>
  </sheetViews>
  <sheetFormatPr defaultRowHeight="14.25" x14ac:dyDescent="0.2"/>
  <cols>
    <col min="1" max="1" width="2.875" bestFit="1" customWidth="1"/>
    <col min="2" max="2" width="31" hidden="1" customWidth="1"/>
    <col min="3" max="3" width="17.375" hidden="1" customWidth="1"/>
    <col min="4" max="4" width="28" bestFit="1" customWidth="1"/>
    <col min="5" max="5" width="11.375" style="1" hidden="1" customWidth="1"/>
    <col min="6" max="8" width="10.875" bestFit="1" customWidth="1"/>
    <col min="9" max="9" width="10.75" style="51" bestFit="1" customWidth="1"/>
    <col min="10" max="10" width="11.875" bestFit="1" customWidth="1"/>
    <col min="12" max="12" width="10.875" bestFit="1" customWidth="1"/>
    <col min="13" max="13" width="10.75" style="51" bestFit="1" customWidth="1"/>
    <col min="14" max="14" width="11.5" bestFit="1" customWidth="1"/>
    <col min="16" max="16" width="10.875" bestFit="1" customWidth="1"/>
    <col min="17" max="17" width="6.75" style="51" bestFit="1" customWidth="1"/>
    <col min="18" max="18" width="13" bestFit="1" customWidth="1"/>
  </cols>
  <sheetData>
    <row r="1" spans="1:18" ht="16.5" thickBot="1" x14ac:dyDescent="0.3">
      <c r="C1" s="168" t="s">
        <v>175</v>
      </c>
      <c r="D1" s="34" t="s">
        <v>175</v>
      </c>
      <c r="E1" s="169"/>
      <c r="F1" s="174"/>
      <c r="G1" s="174"/>
      <c r="H1" s="174"/>
      <c r="I1" s="175"/>
      <c r="J1" s="174"/>
      <c r="L1" s="174"/>
      <c r="M1" s="175"/>
      <c r="N1" s="174"/>
      <c r="P1" s="34"/>
      <c r="Q1" s="175"/>
      <c r="R1" s="34"/>
    </row>
    <row r="2" spans="1:18" ht="15" x14ac:dyDescent="0.25">
      <c r="A2" s="133" t="s">
        <v>228</v>
      </c>
      <c r="C2" s="20"/>
      <c r="D2" s="149"/>
      <c r="E2" s="94" t="s">
        <v>10</v>
      </c>
      <c r="F2" s="146" t="s">
        <v>143</v>
      </c>
      <c r="G2" s="146" t="s">
        <v>199</v>
      </c>
      <c r="H2" s="146" t="s">
        <v>213</v>
      </c>
      <c r="I2" s="171" t="s">
        <v>191</v>
      </c>
      <c r="J2" s="146" t="s">
        <v>192</v>
      </c>
      <c r="L2" s="146" t="s">
        <v>67</v>
      </c>
      <c r="M2" s="171" t="s">
        <v>68</v>
      </c>
      <c r="N2" s="146" t="s">
        <v>71</v>
      </c>
      <c r="P2" s="148" t="s">
        <v>229</v>
      </c>
      <c r="Q2" s="171" t="s">
        <v>223</v>
      </c>
      <c r="R2" s="149" t="s">
        <v>232</v>
      </c>
    </row>
    <row r="3" spans="1:18" x14ac:dyDescent="0.2">
      <c r="A3" s="140">
        <v>5</v>
      </c>
      <c r="B3" s="37" t="s">
        <v>115</v>
      </c>
      <c r="C3" s="2" t="s">
        <v>1</v>
      </c>
      <c r="D3" s="89" t="s">
        <v>1</v>
      </c>
      <c r="E3" s="3" t="s">
        <v>40</v>
      </c>
      <c r="F3" s="86">
        <f>ינואר!E3+פברואר!E3+מרץ!E3+אפריל!E3+מאי!E3+יוני!E3+יולי!F3+אוגוסט!F3</f>
        <v>1426063.46</v>
      </c>
      <c r="G3" s="86">
        <f>ינואר!F3+פברואר!F3+מרץ!F3+אפריל!F3+מאי!F3+יוני!F3+יולי!G3+אוגוסט!G3</f>
        <v>1153834.5</v>
      </c>
      <c r="H3" s="86">
        <f>ינואר!G3+פברואר!G3+מרץ!G3+אפריל!G3+מאי!G3+יוני!G3+יולי!H3+אוגוסט!H3</f>
        <v>1113833.8499999999</v>
      </c>
      <c r="I3" s="172">
        <f>IFERROR(H3/G3-1,"")</f>
        <v>-3.4667580142559551E-2</v>
      </c>
      <c r="J3" s="86">
        <f t="shared" ref="J3:J15" si="0">H3-G3</f>
        <v>-40000.65000000014</v>
      </c>
      <c r="L3" s="86">
        <f>ינואר!J3+פברואר!J3+מרץ!J3+אפריל!J3+מאי!J3+יוני!J3+יולי!M3+אוגוסט!M3</f>
        <v>1604920.6349206348</v>
      </c>
      <c r="M3" s="172">
        <f>IFERROR(H3/L3-1,"")</f>
        <v>-0.30598820541983984</v>
      </c>
      <c r="N3" s="86">
        <f t="shared" ref="N3:N15" si="1">H3-L3</f>
        <v>-491086.78492063493</v>
      </c>
      <c r="P3" s="89">
        <f>_xlfn.XLOOKUP($A3,'תקציב  '!A:A,'תקציב  '!AS:AS)</f>
        <v>1140443.2999999998</v>
      </c>
      <c r="Q3" s="172">
        <f>IFERROR(H3/P3,"-")</f>
        <v>0.97666745028007973</v>
      </c>
      <c r="R3" s="89">
        <f>H3-P3</f>
        <v>-26609.449999999953</v>
      </c>
    </row>
    <row r="4" spans="1:18" x14ac:dyDescent="0.2">
      <c r="A4" s="134">
        <v>1</v>
      </c>
      <c r="B4" s="2" t="s">
        <v>0</v>
      </c>
      <c r="C4" s="2" t="s">
        <v>0</v>
      </c>
      <c r="D4" s="89" t="s">
        <v>0</v>
      </c>
      <c r="E4" s="3" t="s">
        <v>40</v>
      </c>
      <c r="F4" s="86">
        <f>ינואר!E4+פברואר!E4+מרץ!E4+אפריל!E4+מאי!E4+יוני!E4+יולי!F4+אוגוסט!F4</f>
        <v>3711264.284</v>
      </c>
      <c r="G4" s="86">
        <f>ינואר!F4+פברואר!F4+מרץ!F4+אפריל!F4+מאי!F4+יוני!F4+יולי!G4+אוגוסט!G4</f>
        <v>4228035.7226000372</v>
      </c>
      <c r="H4" s="86">
        <f>ינואר!G4+פברואר!G4+מרץ!G4+אפריל!G4+מאי!G4+יוני!G4+יולי!H4+אוגוסט!H4</f>
        <v>3817611.7980000004</v>
      </c>
      <c r="I4" s="172">
        <f t="shared" ref="I4:I15" si="2">IFERROR(H4/G4-1,"")</f>
        <v>-9.7072009681991478E-2</v>
      </c>
      <c r="J4" s="86">
        <f t="shared" si="0"/>
        <v>-410423.92460003681</v>
      </c>
      <c r="L4" s="86">
        <f>ינואר!J4+פברואר!J4+מרץ!J4+אפריל!J4+מאי!J4+יוני!J4+יולי!M4+אוגוסט!M4</f>
        <v>4531301.5873015868</v>
      </c>
      <c r="M4" s="172">
        <f t="shared" ref="M4:M15" si="3">IFERROR(H4/L4-1,"")</f>
        <v>-0.15750216037299614</v>
      </c>
      <c r="N4" s="86">
        <f t="shared" si="1"/>
        <v>-713689.78930158634</v>
      </c>
      <c r="P4" s="89">
        <f>_xlfn.XLOOKUP($A4,'תקציב  '!A:A,'תקציב  '!AS:AS)</f>
        <v>3874937.8930000006</v>
      </c>
      <c r="Q4" s="172">
        <f t="shared" ref="Q4:Q42" si="4">IFERROR(H4/P4,"-")</f>
        <v>0.98520593191866157</v>
      </c>
      <c r="R4" s="89">
        <f t="shared" ref="R4:R41" si="5">H4-P4</f>
        <v>-57326.095000000205</v>
      </c>
    </row>
    <row r="5" spans="1:18" x14ac:dyDescent="0.2">
      <c r="A5" s="134">
        <v>7</v>
      </c>
      <c r="B5" s="2" t="s">
        <v>44</v>
      </c>
      <c r="C5" s="2" t="s">
        <v>44</v>
      </c>
      <c r="D5" s="89" t="s">
        <v>44</v>
      </c>
      <c r="E5" s="3" t="s">
        <v>40</v>
      </c>
      <c r="F5" s="86">
        <f>ינואר!E5+פברואר!E5+מרץ!E5+אפריל!E5+מאי!E5+יוני!E5+יולי!F5+אוגוסט!F5</f>
        <v>735764.39300000016</v>
      </c>
      <c r="G5" s="86">
        <f>ינואר!F5+פברואר!F5+מרץ!F5+אפריל!F5+מאי!F5+יוני!F5+יולי!G5+אוגוסט!G5</f>
        <v>555200.28</v>
      </c>
      <c r="H5" s="86">
        <f>ינואר!G5+פברואר!G5+מרץ!G5+אפריל!G5+מאי!G5+יוני!G5+יולי!H5+אוגוסט!H5</f>
        <v>580263.59299999999</v>
      </c>
      <c r="I5" s="172">
        <f t="shared" si="2"/>
        <v>4.5142832060531379E-2</v>
      </c>
      <c r="J5" s="86">
        <f t="shared" si="0"/>
        <v>25063.312999999966</v>
      </c>
      <c r="L5" s="86">
        <f>ינואר!J5+פברואר!J5+מרץ!J5+אפריל!J5+מאי!J5+יוני!J5+יולי!M5+אוגוסט!M5</f>
        <v>596428.57142857148</v>
      </c>
      <c r="M5" s="172">
        <f t="shared" si="3"/>
        <v>-2.7102957844311493E-2</v>
      </c>
      <c r="N5" s="86">
        <f t="shared" si="1"/>
        <v>-16164.978428571485</v>
      </c>
      <c r="P5" s="89">
        <f>_xlfn.XLOOKUP($A5,'תקציב  '!A:A,'תקציב  '!AS:AS)</f>
        <v>637274.56499999994</v>
      </c>
      <c r="Q5" s="172">
        <f t="shared" si="4"/>
        <v>0.91053938893669806</v>
      </c>
      <c r="R5" s="89">
        <f t="shared" si="5"/>
        <v>-57010.971999999951</v>
      </c>
    </row>
    <row r="6" spans="1:18" x14ac:dyDescent="0.2">
      <c r="A6" s="134">
        <v>4</v>
      </c>
      <c r="B6" s="2" t="s">
        <v>3</v>
      </c>
      <c r="C6" s="2" t="s">
        <v>3</v>
      </c>
      <c r="D6" s="89" t="s">
        <v>3</v>
      </c>
      <c r="E6" s="3" t="s">
        <v>40</v>
      </c>
      <c r="F6" s="86">
        <f>ינואר!E6+פברואר!E6+מרץ!E6+אפריל!E6+מאי!E6+יוני!E6+יולי!F6+אוגוסט!F6</f>
        <v>1271883.45</v>
      </c>
      <c r="G6" s="86">
        <f>ינואר!F6+פברואר!F6+מרץ!F6+אפריל!F6+מאי!F6+יוני!F6+יולי!G6+אוגוסט!G6</f>
        <v>1344159.8594000016</v>
      </c>
      <c r="H6" s="86">
        <f>ינואר!G6+פברואר!G6+מרץ!G6+אפריל!G6+מאי!G6+יוני!G6+יולי!H6+אוגוסט!H6</f>
        <v>1230886.3800000001</v>
      </c>
      <c r="I6" s="172">
        <f t="shared" si="2"/>
        <v>-8.427083922187939E-2</v>
      </c>
      <c r="J6" s="86">
        <f t="shared" si="0"/>
        <v>-113273.47940000147</v>
      </c>
      <c r="L6" s="86">
        <f>ינואר!J6+פברואר!J6+מרץ!J6+אפריל!J6+מאי!J6+יוני!J6+יולי!M6+אוגוסט!M6</f>
        <v>1290126.9841269841</v>
      </c>
      <c r="M6" s="172">
        <f t="shared" si="3"/>
        <v>-4.5918428849134996E-2</v>
      </c>
      <c r="N6" s="86">
        <f t="shared" si="1"/>
        <v>-59240.604126984021</v>
      </c>
      <c r="P6" s="89">
        <f>_xlfn.XLOOKUP($A6,'תקציב  '!A:A,'תקציב  '!AS:AS)</f>
        <v>1318523.9780000001</v>
      </c>
      <c r="Q6" s="172">
        <f t="shared" si="4"/>
        <v>0.93353355762787649</v>
      </c>
      <c r="R6" s="89">
        <f t="shared" si="5"/>
        <v>-87637.597999999998</v>
      </c>
    </row>
    <row r="7" spans="1:18" x14ac:dyDescent="0.2">
      <c r="A7" s="134">
        <v>3</v>
      </c>
      <c r="B7" s="37" t="s">
        <v>112</v>
      </c>
      <c r="C7" s="2" t="s">
        <v>2</v>
      </c>
      <c r="D7" s="89" t="s">
        <v>2</v>
      </c>
      <c r="E7" s="3" t="s">
        <v>40</v>
      </c>
      <c r="F7" s="86">
        <f>ינואר!E7+פברואר!E7+מרץ!E7+אפריל!E7+מאי!E7+יוני!E7+יולי!F7+אוגוסט!F7</f>
        <v>2820115</v>
      </c>
      <c r="G7" s="86">
        <f>ינואר!F7+פברואר!F7+מרץ!F7+אפריל!F7+מאי!F7+יוני!F7+יולי!G7+אוגוסט!G7</f>
        <v>2611691.6</v>
      </c>
      <c r="H7" s="86">
        <f>ינואר!G7+פברואר!G7+מרץ!G7+אפריל!G7+מאי!G7+יוני!G7+יולי!H7+אוגוסט!H7</f>
        <v>2430735.15</v>
      </c>
      <c r="I7" s="172">
        <f t="shared" si="2"/>
        <v>-6.9287066665911112E-2</v>
      </c>
      <c r="J7" s="86">
        <f t="shared" si="0"/>
        <v>-180956.45000000019</v>
      </c>
      <c r="L7" s="86">
        <f>ינואר!J7+פברואר!J7+מרץ!J7+אפריל!J7+מאי!J7+יוני!J7+יולי!M7+אוגוסט!M7</f>
        <v>2920000</v>
      </c>
      <c r="M7" s="172">
        <f t="shared" si="3"/>
        <v>-0.16755645547945208</v>
      </c>
      <c r="N7" s="86">
        <f t="shared" si="1"/>
        <v>-489264.85000000009</v>
      </c>
      <c r="P7" s="89">
        <f>_xlfn.XLOOKUP($A7,'תקציב  '!A:A,'תקציב  '!AS:AS)</f>
        <v>2402410.85</v>
      </c>
      <c r="Q7" s="172">
        <f t="shared" si="4"/>
        <v>1.011789948417857</v>
      </c>
      <c r="R7" s="89">
        <f t="shared" si="5"/>
        <v>28324.299999999814</v>
      </c>
    </row>
    <row r="8" spans="1:18" x14ac:dyDescent="0.2">
      <c r="A8" s="134">
        <v>8</v>
      </c>
      <c r="B8" s="37" t="s">
        <v>113</v>
      </c>
      <c r="C8" s="2" t="s">
        <v>5</v>
      </c>
      <c r="D8" s="89" t="s">
        <v>5</v>
      </c>
      <c r="E8" s="3" t="s">
        <v>40</v>
      </c>
      <c r="F8" s="86">
        <f>ינואר!E8+פברואר!E8+מרץ!E8+אפריל!E8+מאי!E8+יוני!E8+יולי!F8+אוגוסט!F8</f>
        <v>556680.34000000008</v>
      </c>
      <c r="G8" s="86">
        <f>ינואר!F8+פברואר!F8+מרץ!F8+אפריל!F8+מאי!F8+יוני!F8+יולי!G8+אוגוסט!G8</f>
        <v>604591.14</v>
      </c>
      <c r="H8" s="86">
        <f>ינואר!G8+פברואר!G8+מרץ!G8+אפריל!G8+מאי!G8+יוני!G8+יולי!H8+אוגוסט!H8</f>
        <v>465573.47800000006</v>
      </c>
      <c r="I8" s="172">
        <f t="shared" si="2"/>
        <v>-0.22993665107298789</v>
      </c>
      <c r="J8" s="86">
        <f t="shared" si="0"/>
        <v>-139017.66199999995</v>
      </c>
      <c r="L8" s="86">
        <f>ינואר!J8+פברואר!J8+מרץ!J8+אפריל!J8+מאי!J8+יוני!J8+יולי!M8+אוגוסט!M8</f>
        <v>822698.41269841278</v>
      </c>
      <c r="M8" s="172">
        <f t="shared" si="3"/>
        <v>-0.43408973347482149</v>
      </c>
      <c r="N8" s="86">
        <f t="shared" si="1"/>
        <v>-357124.93469841272</v>
      </c>
      <c r="P8" s="89">
        <f>_xlfn.XLOOKUP($A8,'תקציב  '!A:A,'תקציב  '!AS:AS)</f>
        <v>543097.61100000003</v>
      </c>
      <c r="Q8" s="172">
        <f t="shared" si="4"/>
        <v>0.85725561771988723</v>
      </c>
      <c r="R8" s="89">
        <f t="shared" si="5"/>
        <v>-77524.132999999973</v>
      </c>
    </row>
    <row r="9" spans="1:18" x14ac:dyDescent="0.2">
      <c r="A9" s="134">
        <v>6</v>
      </c>
      <c r="B9" s="37" t="s">
        <v>121</v>
      </c>
      <c r="C9" s="2" t="s">
        <v>4</v>
      </c>
      <c r="D9" s="89" t="s">
        <v>4</v>
      </c>
      <c r="E9" s="3" t="s">
        <v>40</v>
      </c>
      <c r="F9" s="86">
        <f>ינואר!E9+פברואר!E9+מרץ!E9+אפריל!E9+מאי!E9+יוני!E9+יולי!F9+אוגוסט!F9</f>
        <v>650362.64999999991</v>
      </c>
      <c r="G9" s="86">
        <f>ינואר!F9+פברואר!F9+מרץ!F9+אפריל!F9+מאי!F9+יוני!F9+יולי!G9+אוגוסט!G9</f>
        <v>561248.68000000017</v>
      </c>
      <c r="H9" s="86">
        <f>ינואר!G9+פברואר!G9+מרץ!G9+אפריל!G9+מאי!G9+יוני!G9+יולי!H9+אוגוסט!H9</f>
        <v>617760.99</v>
      </c>
      <c r="I9" s="172">
        <f t="shared" si="2"/>
        <v>0.10069032144538825</v>
      </c>
      <c r="J9" s="86">
        <f t="shared" si="0"/>
        <v>56512.309999999823</v>
      </c>
      <c r="L9" s="86">
        <f>ינואר!J9+פברואר!J9+מרץ!J9+אפריל!J9+מאי!J9+יוני!J9+יולי!M9+אוגוסט!M9</f>
        <v>1284162.6984126982</v>
      </c>
      <c r="M9" s="172">
        <f t="shared" si="3"/>
        <v>-0.51893868996226922</v>
      </c>
      <c r="N9" s="86">
        <f t="shared" si="1"/>
        <v>-666401.70841269824</v>
      </c>
      <c r="P9" s="89">
        <f>_xlfn.XLOOKUP($A9,'תקציב  '!A:A,'תקציב  '!AS:AS)</f>
        <v>675277.57</v>
      </c>
      <c r="Q9" s="172">
        <f t="shared" si="4"/>
        <v>0.91482527695981375</v>
      </c>
      <c r="R9" s="89">
        <f t="shared" si="5"/>
        <v>-57516.579999999958</v>
      </c>
    </row>
    <row r="10" spans="1:18" x14ac:dyDescent="0.2">
      <c r="A10" s="135">
        <v>10</v>
      </c>
      <c r="B10" s="37" t="s">
        <v>120</v>
      </c>
      <c r="C10" s="4" t="s">
        <v>6</v>
      </c>
      <c r="D10" s="89" t="s">
        <v>6</v>
      </c>
      <c r="E10" s="3" t="s">
        <v>40</v>
      </c>
      <c r="F10" s="86">
        <f>ינואר!E10+פברואר!E10+מרץ!E10+אפריל!E10+מאי!E10+יוני!E10+יולי!F10+אוגוסט!F10</f>
        <v>138125.46</v>
      </c>
      <c r="G10" s="86">
        <f>ינואר!F10+פברואר!F10+מרץ!F10+אפריל!F10+מאי!F10+יוני!F10+יולי!G10+אוגוסט!G10</f>
        <v>118949.76000000001</v>
      </c>
      <c r="H10" s="86">
        <f>ינואר!G10+פברואר!G10+מרץ!G10+אפריל!G10+מאי!G10+יוני!G10+יולי!H10+אוגוסט!H10</f>
        <v>70662.73000000001</v>
      </c>
      <c r="I10" s="172">
        <f t="shared" si="2"/>
        <v>-0.40594474507556799</v>
      </c>
      <c r="J10" s="86">
        <f t="shared" si="0"/>
        <v>-48287.03</v>
      </c>
      <c r="L10" s="86">
        <f>ינואר!J10+פברואר!J10+מרץ!J10+אפריל!J10+מאי!J10+יוני!J10+יולי!M10+אוגוסט!M10</f>
        <v>125912.6984126984</v>
      </c>
      <c r="M10" s="172">
        <f t="shared" si="3"/>
        <v>-0.43879584115978554</v>
      </c>
      <c r="N10" s="86">
        <f t="shared" si="1"/>
        <v>-55249.968412698392</v>
      </c>
      <c r="P10" s="89">
        <f>_xlfn.XLOOKUP($A10,'תקציב  '!A:A,'תקציב  '!AS:AS)</f>
        <v>91235.08</v>
      </c>
      <c r="Q10" s="172">
        <f t="shared" si="4"/>
        <v>0.77451272032643592</v>
      </c>
      <c r="R10" s="89">
        <f t="shared" si="5"/>
        <v>-20572.349999999991</v>
      </c>
    </row>
    <row r="11" spans="1:18" x14ac:dyDescent="0.2">
      <c r="A11" s="134">
        <v>11</v>
      </c>
      <c r="B11" s="37" t="s">
        <v>117</v>
      </c>
      <c r="C11" s="2" t="s">
        <v>66</v>
      </c>
      <c r="D11" s="89" t="s">
        <v>66</v>
      </c>
      <c r="E11" s="3" t="s">
        <v>40</v>
      </c>
      <c r="F11" s="86">
        <f>ינואר!E11+פברואר!E11+מרץ!E11+אפריל!E11+מאי!E11+יוני!E11+יולי!F11+אוגוסט!F11</f>
        <v>49958.68</v>
      </c>
      <c r="G11" s="86">
        <f>ינואר!F11+פברואר!F11+מרץ!F11+אפריל!F11+מאי!F11+יוני!F11+יולי!G11+אוגוסט!G11</f>
        <v>42087.51</v>
      </c>
      <c r="H11" s="86">
        <f>ינואר!G11+פברואר!G11+מרץ!G11+אפריל!G11+מאי!G11+יוני!G11+יולי!H11+אוגוסט!H11</f>
        <v>39922.26</v>
      </c>
      <c r="I11" s="172">
        <f t="shared" si="2"/>
        <v>-5.1446379222719552E-2</v>
      </c>
      <c r="J11" s="86">
        <f t="shared" si="0"/>
        <v>-2165.25</v>
      </c>
      <c r="L11" s="86">
        <f>ינואר!J11+פברואר!J11+מרץ!J11+אפריל!J11+מאי!J11+יוני!J11+יולי!M11+אוגוסט!M11</f>
        <v>64269.841269841258</v>
      </c>
      <c r="M11" s="172">
        <f t="shared" si="3"/>
        <v>-0.3788336922696961</v>
      </c>
      <c r="N11" s="86">
        <f t="shared" si="1"/>
        <v>-24347.581269841256</v>
      </c>
      <c r="P11" s="89">
        <f>_xlfn.XLOOKUP($A11,'תקציב  '!A:A,'תקציב  '!AS:AS)</f>
        <v>54015.41</v>
      </c>
      <c r="Q11" s="172">
        <f t="shared" si="4"/>
        <v>0.73909019666795084</v>
      </c>
      <c r="R11" s="89">
        <f t="shared" si="5"/>
        <v>-14093.150000000001</v>
      </c>
    </row>
    <row r="12" spans="1:18" x14ac:dyDescent="0.2">
      <c r="A12" s="134">
        <v>14</v>
      </c>
      <c r="B12" s="37" t="s">
        <v>116</v>
      </c>
      <c r="C12" s="2" t="s">
        <v>8</v>
      </c>
      <c r="D12" s="89" t="s">
        <v>8</v>
      </c>
      <c r="E12" s="3" t="s">
        <v>40</v>
      </c>
      <c r="F12" s="86">
        <f>ינואר!E12+פברואר!E12+מרץ!E12+אפריל!E12+מאי!E12+יוני!E12+יולי!F12+אוגוסט!F12</f>
        <v>1529.6999999999998</v>
      </c>
      <c r="G12" s="86">
        <f>ינואר!F12+פברואר!F12+מרץ!F12+אפריל!F12+מאי!F12+יוני!F12+יולי!G12+אוגוסט!G12</f>
        <v>2977.14</v>
      </c>
      <c r="H12" s="86">
        <f>ינואר!G12+פברואר!G12+מרץ!G12+אפריל!G12+מאי!G12+יוני!G12+יולי!H12+אוגוסט!H12</f>
        <v>4305.0200000000004</v>
      </c>
      <c r="I12" s="172">
        <f t="shared" si="2"/>
        <v>0.44602538006274495</v>
      </c>
      <c r="J12" s="86">
        <f t="shared" si="0"/>
        <v>1327.8800000000006</v>
      </c>
      <c r="L12" s="86">
        <f>ינואר!J12+פברואר!J12+מרץ!J12+אפריל!J12+מאי!J12+יוני!J12+יולי!M12+אוגוסט!M12</f>
        <v>0</v>
      </c>
      <c r="M12" s="172" t="str">
        <f t="shared" si="3"/>
        <v/>
      </c>
      <c r="N12" s="86">
        <f t="shared" si="1"/>
        <v>4305.0200000000004</v>
      </c>
      <c r="P12" s="89">
        <f>_xlfn.XLOOKUP($A12,'תקציב  '!A:A,'תקציב  '!AS:AS)</f>
        <v>13576.15</v>
      </c>
      <c r="Q12" s="172">
        <f t="shared" si="4"/>
        <v>0.31710168199379063</v>
      </c>
      <c r="R12" s="89">
        <f t="shared" si="5"/>
        <v>-9271.1299999999992</v>
      </c>
    </row>
    <row r="13" spans="1:18" x14ac:dyDescent="0.2">
      <c r="A13" s="134">
        <v>15</v>
      </c>
      <c r="B13" s="37" t="s">
        <v>119</v>
      </c>
      <c r="C13" s="2" t="s">
        <v>151</v>
      </c>
      <c r="D13" s="89" t="s">
        <v>151</v>
      </c>
      <c r="E13" s="3" t="s">
        <v>40</v>
      </c>
      <c r="F13" s="86">
        <f>ינואר!E13+פברואר!E13+מרץ!E13+אפריל!E13+מאי!E13+יוני!E13+יולי!F13+אוגוסט!F13</f>
        <v>1597.46</v>
      </c>
      <c r="G13" s="86">
        <f>ינואר!F13+פברואר!F13+מרץ!F13+אפריל!F13+מאי!F13+יוני!F13+יולי!G13+אוגוסט!G13</f>
        <v>0</v>
      </c>
      <c r="H13" s="86">
        <f>ינואר!G13+פברואר!G13+מרץ!G13+אפריל!G13+מאי!G13+יוני!G13+יולי!H13+אוגוסט!H13</f>
        <v>1896.82</v>
      </c>
      <c r="I13" s="172" t="str">
        <f t="shared" si="2"/>
        <v/>
      </c>
      <c r="J13" s="86">
        <f t="shared" si="0"/>
        <v>1896.82</v>
      </c>
      <c r="L13" s="86">
        <f>ינואר!J13+פברואר!J13+מרץ!J13+אפריל!J13+מאי!J13+יוני!J13+יולי!M13+אוגוסט!M13</f>
        <v>12500</v>
      </c>
      <c r="M13" s="172">
        <f t="shared" si="3"/>
        <v>-0.84825439999999996</v>
      </c>
      <c r="N13" s="86">
        <f t="shared" si="1"/>
        <v>-10603.18</v>
      </c>
      <c r="P13" s="89">
        <f>_xlfn.XLOOKUP($A13,'תקציב  '!A:A,'תקציב  '!AS:AS)</f>
        <v>11896.82</v>
      </c>
      <c r="Q13" s="172">
        <f t="shared" si="4"/>
        <v>0.15943924510919724</v>
      </c>
      <c r="R13" s="89">
        <f t="shared" si="5"/>
        <v>-10000</v>
      </c>
    </row>
    <row r="14" spans="1:18" x14ac:dyDescent="0.2">
      <c r="A14" s="134">
        <v>13</v>
      </c>
      <c r="B14" s="37" t="s">
        <v>114</v>
      </c>
      <c r="C14" s="2" t="s">
        <v>45</v>
      </c>
      <c r="D14" s="89" t="s">
        <v>45</v>
      </c>
      <c r="E14" s="3" t="s">
        <v>40</v>
      </c>
      <c r="F14" s="86">
        <f>ינואר!E14+פברואר!E14+מרץ!E14+אפריל!E14+מאי!E14+יוני!E14+יולי!F14+אוגוסט!F14</f>
        <v>5854.85</v>
      </c>
      <c r="G14" s="86">
        <f>ינואר!F14+פברואר!F14+מרץ!F14+אפריל!F14+מאי!F14+יוני!F14+יולי!G14+אוגוסט!G14</f>
        <v>11718.66</v>
      </c>
      <c r="H14" s="86">
        <f>ינואר!G14+פברואר!G14+מרץ!G14+אפריל!G14+מאי!G14+יוני!G14+יולי!H14+אוגוסט!H14</f>
        <v>8226.92</v>
      </c>
      <c r="I14" s="172">
        <f t="shared" si="2"/>
        <v>-0.29796410169763432</v>
      </c>
      <c r="J14" s="86">
        <f t="shared" si="0"/>
        <v>-3491.74</v>
      </c>
      <c r="L14" s="86">
        <f>ינואר!J14+פברואר!J14+מרץ!J14+אפריל!J14+מאי!J14+יוני!J14+יולי!M14+אוגוסט!M14</f>
        <v>250000</v>
      </c>
      <c r="M14" s="172">
        <f t="shared" si="3"/>
        <v>-0.96709232000000001</v>
      </c>
      <c r="N14" s="86">
        <f t="shared" si="1"/>
        <v>-241773.08</v>
      </c>
      <c r="P14" s="89">
        <f>_xlfn.XLOOKUP($A14,'תקציב  '!A:A,'תקציב  '!AS:AS)</f>
        <v>17748.72</v>
      </c>
      <c r="Q14" s="172">
        <f t="shared" si="4"/>
        <v>0.46352187650715093</v>
      </c>
      <c r="R14" s="89">
        <f t="shared" si="5"/>
        <v>-9521.8000000000011</v>
      </c>
    </row>
    <row r="15" spans="1:18" x14ac:dyDescent="0.2">
      <c r="A15" s="134">
        <v>9</v>
      </c>
      <c r="B15" s="37" t="s">
        <v>118</v>
      </c>
      <c r="C15" s="2" t="s">
        <v>73</v>
      </c>
      <c r="D15" s="89" t="s">
        <v>73</v>
      </c>
      <c r="E15" s="3" t="s">
        <v>40</v>
      </c>
      <c r="F15" s="86">
        <f>ינואר!E15+פברואר!E15+מרץ!E15+אפריל!E15+מאי!E15+יוני!E15+יולי!F15+אוגוסט!F15</f>
        <v>55386.31</v>
      </c>
      <c r="G15" s="86">
        <f>ינואר!F15+פברואר!F15+מרץ!F15+אפריל!F15+מאי!F15+יוני!F15+יולי!G15+אוגוסט!G15</f>
        <v>67691.200000000012</v>
      </c>
      <c r="H15" s="86">
        <f>ינואר!G15+פברואר!G15+מרץ!G15+אפריל!G15+מאי!G15+יוני!G15+יולי!H15+אוגוסט!H15</f>
        <v>109255.52</v>
      </c>
      <c r="I15" s="172">
        <f t="shared" si="2"/>
        <v>0.61402841137400399</v>
      </c>
      <c r="J15" s="86">
        <f t="shared" si="0"/>
        <v>41564.319999999992</v>
      </c>
      <c r="L15" s="86">
        <f>ינואר!J15+פברואר!J15+מרץ!J15+אפריל!J15+מאי!J15+יוני!J15+יולי!M15+אוגוסט!M15</f>
        <v>132539.68253968252</v>
      </c>
      <c r="M15" s="172">
        <f t="shared" si="3"/>
        <v>-0.17567691497005966</v>
      </c>
      <c r="N15" s="86">
        <f t="shared" si="1"/>
        <v>-23284.162539682511</v>
      </c>
      <c r="P15" s="89">
        <f>_xlfn.XLOOKUP($A15,'תקציב  '!A:A,'תקציב  '!AS:AS)</f>
        <v>139111.1</v>
      </c>
      <c r="Q15" s="172">
        <f t="shared" si="4"/>
        <v>0.78538319372070242</v>
      </c>
      <c r="R15" s="89">
        <f t="shared" si="5"/>
        <v>-29855.58</v>
      </c>
    </row>
    <row r="16" spans="1:18" ht="15" x14ac:dyDescent="0.25">
      <c r="A16" s="136"/>
      <c r="C16" s="185" t="s">
        <v>221</v>
      </c>
      <c r="D16" s="152" t="s">
        <v>221</v>
      </c>
      <c r="E16" s="186"/>
      <c r="F16" s="152">
        <f>SUM(F3:F15)</f>
        <v>11424586.037000002</v>
      </c>
      <c r="G16" s="152">
        <f>SUM(G3:G15)</f>
        <v>11302186.052000038</v>
      </c>
      <c r="H16" s="152">
        <f>SUM(H3:H15)</f>
        <v>10490934.509</v>
      </c>
      <c r="I16" s="173">
        <f t="shared" ref="I16" si="6">H16/G16-1</f>
        <v>-7.1778286011888737E-2</v>
      </c>
      <c r="J16" s="152">
        <f>SUM(J3:J15)</f>
        <v>-811251.54300003883</v>
      </c>
      <c r="L16" s="152">
        <f>SUM(L3:L15)</f>
        <v>13634861.11111111</v>
      </c>
      <c r="M16" s="173">
        <f>H16/L16-1</f>
        <v>-0.23058002399079158</v>
      </c>
      <c r="N16" s="152">
        <f>SUM(N3:N15)</f>
        <v>-3143926.60211111</v>
      </c>
      <c r="P16" s="152">
        <f>SUM(P3:P15)</f>
        <v>10919549.047</v>
      </c>
      <c r="Q16" s="173">
        <f t="shared" si="4"/>
        <v>0.96074796347768987</v>
      </c>
      <c r="R16" s="152">
        <f t="shared" si="5"/>
        <v>-428614.53800000064</v>
      </c>
    </row>
    <row r="17" spans="1:18" x14ac:dyDescent="0.2">
      <c r="A17" s="134">
        <v>2</v>
      </c>
      <c r="B17" s="37" t="s">
        <v>111</v>
      </c>
      <c r="C17" s="2" t="s">
        <v>7</v>
      </c>
      <c r="D17" s="89" t="s">
        <v>7</v>
      </c>
      <c r="E17" s="3" t="s">
        <v>40</v>
      </c>
      <c r="F17" s="86">
        <f>ינואר!E17+פברואר!E17+מרץ!E17+אפריל!E17+מאי!E17+יוני!E17+יולי!F17+אוגוסט!F17</f>
        <v>373427.71999999991</v>
      </c>
      <c r="G17" s="86">
        <f>ינואר!F17+פברואר!F17+מרץ!F17+אפריל!F17+מאי!F17+יוני!F17+יולי!G17+אוגוסט!G17</f>
        <v>914022.55999999796</v>
      </c>
      <c r="H17" s="86">
        <f>ינואר!G17+פברואר!G17+מרץ!G17+אפריל!G17+מאי!G17+יוני!G17+יולי!H17+אוגוסט!H17</f>
        <v>3020424.2700000275</v>
      </c>
      <c r="I17" s="172">
        <f>H17/G17-1</f>
        <v>2.3045401745882885</v>
      </c>
      <c r="J17" s="86">
        <f>H17-G17</f>
        <v>2106401.7100000298</v>
      </c>
      <c r="L17" s="86">
        <f>ינואר!J17+פברואר!J17+מרץ!J17+אפריל!J17+מאי!J17+יוני!J17+יולי!M17+אוגוסט!M17</f>
        <v>5301647.4576271195</v>
      </c>
      <c r="M17" s="172">
        <f>H17/L17-1</f>
        <v>-0.43028571889389799</v>
      </c>
      <c r="N17" s="86">
        <f>H17-L17</f>
        <v>-2281223.187627092</v>
      </c>
      <c r="P17" s="89">
        <f>_xlfn.XLOOKUP($A17,'תקציב  '!A:A,'תקציב  '!AS:AS)</f>
        <v>3162738.2000000309</v>
      </c>
      <c r="Q17" s="172">
        <f t="shared" si="4"/>
        <v>0.95500293701198469</v>
      </c>
      <c r="R17" s="89">
        <f t="shared" si="5"/>
        <v>-142313.93000000343</v>
      </c>
    </row>
    <row r="18" spans="1:18" x14ac:dyDescent="0.2">
      <c r="A18" s="134">
        <v>12</v>
      </c>
      <c r="B18" s="37" t="s">
        <v>110</v>
      </c>
      <c r="C18" s="14" t="s">
        <v>65</v>
      </c>
      <c r="D18" s="89" t="s">
        <v>65</v>
      </c>
      <c r="E18" s="3" t="s">
        <v>40</v>
      </c>
      <c r="F18" s="86">
        <f>ינואר!E18+פברואר!E18+מרץ!E18+אפריל!E18+מאי!E18+יוני!E18+יולי!F18+אוגוסט!F18</f>
        <v>21945.340000000004</v>
      </c>
      <c r="G18" s="86">
        <f>ינואר!F18+פברואר!F18+מרץ!F18+אפריל!F18+מאי!F18+יוני!F18+יולי!G18+אוגוסט!G18</f>
        <v>21144.79</v>
      </c>
      <c r="H18" s="86">
        <f>ינואר!G18+פברואר!G18+מרץ!G18+אפריל!G18+מאי!G18+יוני!G18+יולי!H18+אוגוסט!H18</f>
        <v>13033.460000000003</v>
      </c>
      <c r="I18" s="172">
        <f>H18/G18-1</f>
        <v>-0.3836089173739724</v>
      </c>
      <c r="J18" s="86">
        <f>H18-G18</f>
        <v>-8111.3299999999981</v>
      </c>
      <c r="L18" s="86">
        <f>ינואר!J18+פברואר!J18+מרץ!J18+אפריל!J18+מאי!J18+יוני!J18+יולי!M18+אוגוסט!M18</f>
        <v>20295.426666666663</v>
      </c>
      <c r="M18" s="172">
        <f>H18/L18-1</f>
        <v>-0.35781295884721454</v>
      </c>
      <c r="N18" s="86">
        <f>H18-L18</f>
        <v>-7261.9666666666599</v>
      </c>
      <c r="P18" s="89">
        <f>_xlfn.XLOOKUP($A18,'תקציב  '!A:A,'תקציב  '!AS:AS)</f>
        <v>19807.020000000004</v>
      </c>
      <c r="Q18" s="172">
        <f t="shared" si="4"/>
        <v>0.65802225675543313</v>
      </c>
      <c r="R18" s="89">
        <f t="shared" si="5"/>
        <v>-6773.5600000000013</v>
      </c>
    </row>
    <row r="19" spans="1:18" ht="15" x14ac:dyDescent="0.25">
      <c r="A19" s="135"/>
      <c r="C19" s="182" t="s">
        <v>41</v>
      </c>
      <c r="D19" s="152" t="s">
        <v>41</v>
      </c>
      <c r="E19" s="105"/>
      <c r="F19" s="152">
        <f>F16+F17+F18</f>
        <v>11819959.097000003</v>
      </c>
      <c r="G19" s="152">
        <f>G16+G17+G18</f>
        <v>12237353.402000036</v>
      </c>
      <c r="H19" s="152">
        <f>H16+H17+H18</f>
        <v>13524392.239000028</v>
      </c>
      <c r="I19" s="173">
        <f t="shared" ref="I19:I41" si="7">H19/G19-1</f>
        <v>0.10517297284146765</v>
      </c>
      <c r="J19" s="152">
        <f>J16+J17+J18</f>
        <v>1287038.836999991</v>
      </c>
      <c r="L19" s="152">
        <f>L16+L17+L18</f>
        <v>18956803.995404895</v>
      </c>
      <c r="M19" s="173">
        <f>H19/L19-1</f>
        <v>-0.2865679129098806</v>
      </c>
      <c r="N19" s="152">
        <f>N16+N17+N18</f>
        <v>-5432411.7564048693</v>
      </c>
      <c r="P19" s="152">
        <f>P16+P17+P18</f>
        <v>14102094.267000031</v>
      </c>
      <c r="Q19" s="173">
        <f t="shared" si="4"/>
        <v>0.95903430958110458</v>
      </c>
      <c r="R19" s="152">
        <f t="shared" si="5"/>
        <v>-577702.02800000273</v>
      </c>
    </row>
    <row r="20" spans="1:18" x14ac:dyDescent="0.2">
      <c r="A20" s="135">
        <v>50</v>
      </c>
      <c r="B20" s="37" t="s">
        <v>92</v>
      </c>
      <c r="C20" s="36" t="s">
        <v>74</v>
      </c>
      <c r="D20" s="89" t="s">
        <v>47</v>
      </c>
      <c r="E20" s="3" t="s">
        <v>38</v>
      </c>
      <c r="F20" s="86">
        <f>ינואר!E20+פברואר!E20+מרץ!E20+אפריל!E20+מאי!E20+יוני!E20+יולי!F20+אוגוסט!F20</f>
        <v>2647650.8200000003</v>
      </c>
      <c r="G20" s="86">
        <f>ינואר!F20+פברואר!F20+מרץ!F20+אפריל!F20+מאי!F20+יוני!F20+יולי!G20+אוגוסט!G20</f>
        <v>1780983.1600000001</v>
      </c>
      <c r="H20" s="86">
        <f>ינואר!G20+פברואר!G20+מרץ!G20+אפריל!G20+מאי!G20+יוני!G20+יולי!H20+אוגוסט!H20</f>
        <v>1680944.21</v>
      </c>
      <c r="I20" s="172">
        <f t="shared" ref="I20:I39" si="8">IFERROR(H20/G20-1,"")</f>
        <v>-5.6170632180486346E-2</v>
      </c>
      <c r="J20" s="86">
        <f t="shared" ref="J20:J39" si="9">H20-G20</f>
        <v>-100038.95000000019</v>
      </c>
      <c r="L20" s="86">
        <f>ינואר!J20+פברואר!J20+מרץ!J20+אפריל!J20+מאי!J20+יוני!J20+יולי!M20+אוגוסט!M20</f>
        <v>3054510.7555875001</v>
      </c>
      <c r="M20" s="172">
        <f t="shared" ref="M20:M39" si="10">IFERROR(H20/L20-1,"")</f>
        <v>-0.44968463217059795</v>
      </c>
      <c r="N20" s="86">
        <f t="shared" ref="N20:N39" si="11">H20-L20</f>
        <v>-1373566.5455875001</v>
      </c>
      <c r="P20" s="89">
        <f>_xlfn.XLOOKUP($A20,'תקציב  '!A:A,'תקציב  '!AS:AS)</f>
        <v>1825336.6099999999</v>
      </c>
      <c r="Q20" s="172">
        <f t="shared" si="4"/>
        <v>0.92089546705579972</v>
      </c>
      <c r="R20" s="89">
        <f t="shared" si="5"/>
        <v>-144392.39999999991</v>
      </c>
    </row>
    <row r="21" spans="1:18" x14ac:dyDescent="0.2">
      <c r="A21" s="135">
        <v>20</v>
      </c>
      <c r="B21" s="37" t="s">
        <v>93</v>
      </c>
      <c r="C21" s="36" t="s">
        <v>75</v>
      </c>
      <c r="D21" s="89" t="s">
        <v>13</v>
      </c>
      <c r="E21" s="3" t="s">
        <v>39</v>
      </c>
      <c r="F21" s="86">
        <f>ינואר!E21+פברואר!E21+מרץ!E21+אפריל!E21+מאי!E21+יוני!E21+יולי!F21+אוגוסט!F21</f>
        <v>581500.73</v>
      </c>
      <c r="G21" s="86">
        <f>ינואר!F21+פברואר!F21+מרץ!F21+אפריל!F21+מאי!F21+יוני!F21+יולי!G21+אוגוסט!G21</f>
        <v>617670.46</v>
      </c>
      <c r="H21" s="86">
        <f>ינואר!G21+פברואר!G21+מרץ!G21+אפריל!G21+מאי!G21+יוני!G21+יולי!H21+אוגוסט!H21</f>
        <v>474182.59</v>
      </c>
      <c r="I21" s="172">
        <f t="shared" si="8"/>
        <v>-0.23230489280643263</v>
      </c>
      <c r="J21" s="86">
        <f t="shared" si="9"/>
        <v>-143487.86999999994</v>
      </c>
      <c r="L21" s="86">
        <f>ינואר!J21+פברואר!J21+מרץ!J21+אפריל!J21+מאי!J21+יוני!J21+יולי!M21+אוגוסט!M21</f>
        <v>676200</v>
      </c>
      <c r="M21" s="172">
        <f t="shared" si="10"/>
        <v>-0.29875393374741199</v>
      </c>
      <c r="N21" s="86">
        <f t="shared" si="11"/>
        <v>-202017.40999999997</v>
      </c>
      <c r="P21" s="89">
        <f>_xlfn.XLOOKUP($A21,'תקציב  '!A:A,'תקציב  '!AS:AS)</f>
        <v>472081.02</v>
      </c>
      <c r="Q21" s="172">
        <f t="shared" si="4"/>
        <v>1.004451714665419</v>
      </c>
      <c r="R21" s="89">
        <f t="shared" si="5"/>
        <v>2101.570000000007</v>
      </c>
    </row>
    <row r="22" spans="1:18" x14ac:dyDescent="0.2">
      <c r="A22" s="135">
        <v>21</v>
      </c>
      <c r="B22" s="37" t="s">
        <v>94</v>
      </c>
      <c r="C22" s="36" t="s">
        <v>80</v>
      </c>
      <c r="D22" s="89" t="s">
        <v>18</v>
      </c>
      <c r="E22" s="3" t="s">
        <v>19</v>
      </c>
      <c r="F22" s="86">
        <f>ינואר!E22+פברואר!E22+מרץ!E22+אפריל!E22+מאי!E22+יוני!E22+יולי!F22+אוגוסט!F22</f>
        <v>396499.44</v>
      </c>
      <c r="G22" s="86">
        <f>ינואר!F22+פברואר!F22+מרץ!F22+אפריל!F22+מאי!F22+יוני!F22+יולי!G22+אוגוסט!G22</f>
        <v>340989.76</v>
      </c>
      <c r="H22" s="86">
        <f>ינואר!G22+פברואר!G22+מרץ!G22+אפריל!G22+מאי!G22+יוני!G22+יולי!H22+אוגוסט!H22</f>
        <v>344263.09</v>
      </c>
      <c r="I22" s="172">
        <f t="shared" si="8"/>
        <v>9.5994964775483194E-3</v>
      </c>
      <c r="J22" s="86">
        <f t="shared" si="9"/>
        <v>3273.3300000000163</v>
      </c>
      <c r="L22" s="86">
        <f>ינואר!J22+פברואר!J22+מרץ!J22+אפריל!J22+מאי!J22+יוני!J22+יולי!M22+אוגוסט!M22</f>
        <v>435000.27</v>
      </c>
      <c r="M22" s="172">
        <f t="shared" si="10"/>
        <v>-0.20859108892047351</v>
      </c>
      <c r="N22" s="86">
        <f t="shared" si="11"/>
        <v>-90737.18</v>
      </c>
      <c r="P22" s="89">
        <f>_xlfn.XLOOKUP($A22,'תקציב  '!A:A,'תקציב  '!AS:AS)</f>
        <v>353276.52</v>
      </c>
      <c r="Q22" s="172">
        <f t="shared" si="4"/>
        <v>0.97448619002474324</v>
      </c>
      <c r="R22" s="89">
        <f t="shared" si="5"/>
        <v>-9013.429999999993</v>
      </c>
    </row>
    <row r="23" spans="1:18" x14ac:dyDescent="0.2">
      <c r="A23" s="135">
        <v>22</v>
      </c>
      <c r="B23" s="37" t="s">
        <v>95</v>
      </c>
      <c r="C23" s="36" t="s">
        <v>82</v>
      </c>
      <c r="D23" s="89" t="s">
        <v>14</v>
      </c>
      <c r="E23" s="3" t="s">
        <v>15</v>
      </c>
      <c r="F23" s="86">
        <f>ינואר!E23+פברואר!E23+מרץ!E23+אפריל!E23+מאי!E23+יוני!E23+יולי!F23+אוגוסט!F23</f>
        <v>326928.15999999997</v>
      </c>
      <c r="G23" s="86">
        <f>ינואר!F23+פברואר!F23+מרץ!F23+אפריל!F23+מאי!F23+יוני!F23+יולי!G23+אוגוסט!G23</f>
        <v>330674.84999999998</v>
      </c>
      <c r="H23" s="86">
        <f>ינואר!G23+פברואר!G23+מרץ!G23+אפריל!G23+מאי!G23+יוני!G23+יולי!H23+אוגוסט!H23</f>
        <v>307053.13</v>
      </c>
      <c r="I23" s="172">
        <f t="shared" si="8"/>
        <v>-7.1434885356415734E-2</v>
      </c>
      <c r="J23" s="86">
        <f t="shared" si="9"/>
        <v>-23621.719999999972</v>
      </c>
      <c r="L23" s="86">
        <f>ינואר!J23+פברואר!J23+מרץ!J23+אפריל!J23+מאי!J23+יוני!J23+יולי!M23+אוגוסט!M23</f>
        <v>332158.96999999997</v>
      </c>
      <c r="M23" s="172">
        <f t="shared" si="10"/>
        <v>-7.5583808560099941E-2</v>
      </c>
      <c r="N23" s="86">
        <f t="shared" si="11"/>
        <v>-25105.839999999967</v>
      </c>
      <c r="P23" s="89">
        <f>_xlfn.XLOOKUP($A23,'תקציב  '!A:A,'תקציב  '!AS:AS)</f>
        <v>307053.13</v>
      </c>
      <c r="Q23" s="172">
        <f t="shared" si="4"/>
        <v>1</v>
      </c>
      <c r="R23" s="89">
        <f t="shared" si="5"/>
        <v>0</v>
      </c>
    </row>
    <row r="24" spans="1:18" x14ac:dyDescent="0.2">
      <c r="A24" s="135">
        <v>23</v>
      </c>
      <c r="B24" s="37" t="s">
        <v>96</v>
      </c>
      <c r="C24" s="36" t="s">
        <v>78</v>
      </c>
      <c r="D24" s="89" t="s">
        <v>24</v>
      </c>
      <c r="E24" s="3" t="s">
        <v>25</v>
      </c>
      <c r="F24" s="86">
        <f>ינואר!E24+פברואר!E24+מרץ!E24+אפריל!E24+מאי!E24+יוני!E24+יולי!F24+אוגוסט!F24</f>
        <v>99705.9</v>
      </c>
      <c r="G24" s="86">
        <f>ינואר!F24+פברואר!F24+מרץ!F24+אפריל!F24+מאי!F24+יוני!F24+יולי!G24+אוגוסט!G24</f>
        <v>91180.65</v>
      </c>
      <c r="H24" s="86">
        <f>ינואר!G24+פברואר!G24+מרץ!G24+אפריל!G24+מאי!G24+יוני!G24+יולי!H24+אוגוסט!H24</f>
        <v>96129.95</v>
      </c>
      <c r="I24" s="172">
        <f t="shared" si="8"/>
        <v>5.4280157028931075E-2</v>
      </c>
      <c r="J24" s="86">
        <f t="shared" si="9"/>
        <v>4949.3000000000029</v>
      </c>
      <c r="L24" s="86">
        <f>ינואר!J24+פברואר!J24+מרץ!J24+אפריל!J24+מאי!J24+יוני!J24+יולי!M24+אוגוסט!M24</f>
        <v>96774.92</v>
      </c>
      <c r="M24" s="172">
        <f t="shared" si="10"/>
        <v>-6.6646399707692705E-3</v>
      </c>
      <c r="N24" s="86">
        <f t="shared" si="11"/>
        <v>-644.97000000000116</v>
      </c>
      <c r="P24" s="89">
        <f>_xlfn.XLOOKUP($A24,'תקציב  '!A:A,'תקציב  '!AS:AS)</f>
        <v>96678.59</v>
      </c>
      <c r="Q24" s="172">
        <f t="shared" si="4"/>
        <v>0.99432511376096822</v>
      </c>
      <c r="R24" s="89">
        <f t="shared" si="5"/>
        <v>-548.63999999999942</v>
      </c>
    </row>
    <row r="25" spans="1:18" x14ac:dyDescent="0.2">
      <c r="A25" s="135">
        <v>24</v>
      </c>
      <c r="B25" s="37" t="s">
        <v>97</v>
      </c>
      <c r="C25" s="36" t="s">
        <v>79</v>
      </c>
      <c r="D25" s="89" t="s">
        <v>27</v>
      </c>
      <c r="E25" s="3" t="s">
        <v>46</v>
      </c>
      <c r="F25" s="86">
        <f>ינואר!E25+פברואר!E25+מרץ!E25+אפריל!E25+מאי!E25+יוני!E25+יולי!F25+אוגוסט!F25</f>
        <v>116140.04999999999</v>
      </c>
      <c r="G25" s="86">
        <f>ינואר!F25+פברואר!F25+מרץ!F25+אפריל!F25+מאי!F25+יוני!F25+יולי!G25+אוגוסט!G25</f>
        <v>52899.82</v>
      </c>
      <c r="H25" s="86">
        <f>ינואר!G25+פברואר!G25+מרץ!G25+אפריל!G25+מאי!G25+יוני!G25+יולי!H25+אוגוסט!H25</f>
        <v>0</v>
      </c>
      <c r="I25" s="172">
        <f t="shared" si="8"/>
        <v>-1</v>
      </c>
      <c r="J25" s="86">
        <f t="shared" si="9"/>
        <v>-52899.82</v>
      </c>
      <c r="L25" s="86">
        <f>ינואר!J25+פברואר!J25+מרץ!J25+אפריל!J25+מאי!J25+יוני!J25+יולי!M25+אוגוסט!M25</f>
        <v>30000</v>
      </c>
      <c r="M25" s="172">
        <f t="shared" si="10"/>
        <v>-1</v>
      </c>
      <c r="N25" s="86">
        <f t="shared" si="11"/>
        <v>-30000</v>
      </c>
      <c r="P25" s="89">
        <f>_xlfn.XLOOKUP($A25,'תקציב  '!A:A,'תקציב  '!AS:AS)</f>
        <v>0</v>
      </c>
      <c r="Q25" s="172" t="str">
        <f t="shared" si="4"/>
        <v>-</v>
      </c>
      <c r="R25" s="89">
        <f t="shared" si="5"/>
        <v>0</v>
      </c>
    </row>
    <row r="26" spans="1:18" ht="13.5" customHeight="1" x14ac:dyDescent="0.2">
      <c r="A26" s="135">
        <v>25</v>
      </c>
      <c r="B26" s="37" t="s">
        <v>98</v>
      </c>
      <c r="C26" s="36" t="s">
        <v>87</v>
      </c>
      <c r="D26" s="89" t="s">
        <v>20</v>
      </c>
      <c r="E26" s="3" t="s">
        <v>21</v>
      </c>
      <c r="F26" s="86">
        <f>ינואר!E26+פברואר!E26+מרץ!E26+אפריל!E26+מאי!E26+יוני!E26+יולי!F26+אוגוסט!F26</f>
        <v>249206.12</v>
      </c>
      <c r="G26" s="86">
        <f>ינואר!F26+פברואר!F26+מרץ!F26+אפריל!F26+מאי!F26+יוני!F26+יולי!G26+אוגוסט!G26</f>
        <v>172805.93</v>
      </c>
      <c r="H26" s="86">
        <f>ינואר!G26+פברואר!G26+מרץ!G26+אפריל!G26+מאי!G26+יוני!G26+יולי!H26+אוגוסט!H26</f>
        <v>365555.25</v>
      </c>
      <c r="I26" s="172">
        <f t="shared" si="8"/>
        <v>1.115409176062419</v>
      </c>
      <c r="J26" s="86">
        <f t="shared" si="9"/>
        <v>192749.32</v>
      </c>
      <c r="L26" s="86">
        <f>ינואר!J26+פברואר!J26+מרץ!J26+אפריל!J26+מאי!J26+יוני!J26+יולי!M26+אוגוסט!M26</f>
        <v>300000</v>
      </c>
      <c r="M26" s="172">
        <f t="shared" si="10"/>
        <v>0.21851749999999992</v>
      </c>
      <c r="N26" s="86">
        <f t="shared" si="11"/>
        <v>65555.25</v>
      </c>
      <c r="P26" s="89">
        <f>_xlfn.XLOOKUP($A26,'תקציב  '!A:A,'תקציב  '!AS:AS)</f>
        <v>384147.47</v>
      </c>
      <c r="Q26" s="172">
        <f t="shared" si="4"/>
        <v>0.95160134726385159</v>
      </c>
      <c r="R26" s="89">
        <f t="shared" si="5"/>
        <v>-18592.219999999972</v>
      </c>
    </row>
    <row r="27" spans="1:18" x14ac:dyDescent="0.2">
      <c r="A27" s="135">
        <v>26</v>
      </c>
      <c r="B27" s="37" t="s">
        <v>99</v>
      </c>
      <c r="C27" s="36" t="s">
        <v>77</v>
      </c>
      <c r="D27" s="89" t="s">
        <v>26</v>
      </c>
      <c r="E27" s="3" t="s">
        <v>28</v>
      </c>
      <c r="F27" s="86">
        <f>ינואר!E27+פברואר!E27+מרץ!E27+אפריל!E27+מאי!E27+יוני!E27+יולי!F27+אוגוסט!F27</f>
        <v>142243.82999999999</v>
      </c>
      <c r="G27" s="86">
        <f>ינואר!F27+פברואר!F27+מרץ!F27+אפריל!F27+מאי!F27+יוני!F27+יולי!G27+אוגוסט!G27</f>
        <v>66251.42</v>
      </c>
      <c r="H27" s="86">
        <f>ינואר!G27+פברואר!G27+מרץ!G27+אפריל!G27+מאי!G27+יוני!G27+יולי!H27+אוגוסט!H27</f>
        <v>60694.009999999995</v>
      </c>
      <c r="I27" s="172">
        <f t="shared" si="8"/>
        <v>-8.3883636003575512E-2</v>
      </c>
      <c r="J27" s="86">
        <f t="shared" si="9"/>
        <v>-5557.4100000000035</v>
      </c>
      <c r="L27" s="86">
        <f>ינואר!J27+פברואר!J27+מרץ!J27+אפריל!J27+מאי!J27+יוני!J27+יולי!M27+אוגוסט!M27</f>
        <v>160000</v>
      </c>
      <c r="M27" s="172">
        <f t="shared" si="10"/>
        <v>-0.62066243750000005</v>
      </c>
      <c r="N27" s="86">
        <f t="shared" si="11"/>
        <v>-99305.99</v>
      </c>
      <c r="P27" s="89">
        <f>_xlfn.XLOOKUP($A27,'תקציב  '!A:A,'תקציב  '!AS:AS)</f>
        <v>60694.009999999995</v>
      </c>
      <c r="Q27" s="172">
        <f t="shared" si="4"/>
        <v>1</v>
      </c>
      <c r="R27" s="89">
        <f t="shared" si="5"/>
        <v>0</v>
      </c>
    </row>
    <row r="28" spans="1:18" ht="13.5" customHeight="1" x14ac:dyDescent="0.2">
      <c r="A28" s="135">
        <v>27</v>
      </c>
      <c r="B28" s="37" t="s">
        <v>100</v>
      </c>
      <c r="C28" s="36" t="s">
        <v>88</v>
      </c>
      <c r="D28" s="89" t="s">
        <v>22</v>
      </c>
      <c r="E28" s="3" t="s">
        <v>23</v>
      </c>
      <c r="F28" s="86">
        <f>ינואר!E28+פברואר!E28+מרץ!E28+אפריל!E28+מאי!E28+יוני!E28+יולי!F28+אוגוסט!F28</f>
        <v>171813.81000000003</v>
      </c>
      <c r="G28" s="86">
        <f>ינואר!F28+פברואר!F28+מרץ!F28+אפריל!F28+מאי!F28+יוני!F28+יולי!G28+אוגוסט!G28</f>
        <v>0.22</v>
      </c>
      <c r="H28" s="86">
        <f>ינואר!G28+פברואר!G28+מרץ!G28+אפריל!G28+מאי!G28+יוני!G28+יולי!H28+אוגוסט!H28</f>
        <v>0</v>
      </c>
      <c r="I28" s="172">
        <f t="shared" si="8"/>
        <v>-1</v>
      </c>
      <c r="J28" s="86">
        <f t="shared" si="9"/>
        <v>-0.22</v>
      </c>
      <c r="L28" s="86">
        <f>ינואר!J28+פברואר!J28+מרץ!J28+אפריל!J28+מאי!J28+יוני!J28+יולי!M28+אוגוסט!M28</f>
        <v>250000</v>
      </c>
      <c r="M28" s="172">
        <f t="shared" si="10"/>
        <v>-1</v>
      </c>
      <c r="N28" s="86">
        <f t="shared" si="11"/>
        <v>-250000</v>
      </c>
      <c r="P28" s="89">
        <f>_xlfn.XLOOKUP($A28,'תקציב  '!A:A,'תקציב  '!AS:AS)</f>
        <v>0</v>
      </c>
      <c r="Q28" s="172" t="str">
        <f t="shared" si="4"/>
        <v>-</v>
      </c>
      <c r="R28" s="89">
        <f t="shared" si="5"/>
        <v>0</v>
      </c>
    </row>
    <row r="29" spans="1:18" ht="13.5" customHeight="1" x14ac:dyDescent="0.2">
      <c r="A29" s="135">
        <v>28</v>
      </c>
      <c r="B29" s="37" t="s">
        <v>101</v>
      </c>
      <c r="C29" s="36" t="s">
        <v>89</v>
      </c>
      <c r="D29" s="89" t="s">
        <v>16</v>
      </c>
      <c r="E29" s="3" t="s">
        <v>17</v>
      </c>
      <c r="F29" s="86">
        <f>ינואר!E29+פברואר!E29+מרץ!E29+אפריל!E29+מאי!E29+יוני!E29+יולי!F29+אוגוסט!F29</f>
        <v>221411.59999999998</v>
      </c>
      <c r="G29" s="86">
        <f>ינואר!F29+פברואר!F29+מרץ!F29+אפריל!F29+מאי!F29+יוני!F29+יולי!G29+אוגוסט!G29</f>
        <v>271585.13</v>
      </c>
      <c r="H29" s="86">
        <f>ינואר!G29+פברואר!G29+מרץ!G29+אפריל!G29+מאי!G29+יוני!G29+יולי!H29+אוגוסט!H29</f>
        <v>275404.92</v>
      </c>
      <c r="I29" s="172">
        <f t="shared" si="8"/>
        <v>1.4064798024840286E-2</v>
      </c>
      <c r="J29" s="86">
        <f t="shared" si="9"/>
        <v>3819.789999999979</v>
      </c>
      <c r="L29" s="86">
        <f>ינואר!J29+פברואר!J29+מרץ!J29+אפריל!J29+מאי!J29+יוני!J29+יולי!M29+אוגוסט!M29</f>
        <v>290939.696</v>
      </c>
      <c r="M29" s="172">
        <f t="shared" si="10"/>
        <v>-5.3395175060607758E-2</v>
      </c>
      <c r="N29" s="86">
        <f t="shared" si="11"/>
        <v>-15534.776000000013</v>
      </c>
      <c r="P29" s="89">
        <f>_xlfn.XLOOKUP($A29,'תקציב  '!A:A,'תקציב  '!AS:AS)</f>
        <v>263207.08999999997</v>
      </c>
      <c r="Q29" s="172">
        <f t="shared" si="4"/>
        <v>1.0463430905299702</v>
      </c>
      <c r="R29" s="89">
        <f t="shared" si="5"/>
        <v>12197.830000000016</v>
      </c>
    </row>
    <row r="30" spans="1:18" x14ac:dyDescent="0.2">
      <c r="A30" s="135">
        <v>29</v>
      </c>
      <c r="B30" s="37" t="s">
        <v>102</v>
      </c>
      <c r="C30" s="36" t="s">
        <v>81</v>
      </c>
      <c r="D30" s="89" t="s">
        <v>29</v>
      </c>
      <c r="E30" s="3" t="s">
        <v>30</v>
      </c>
      <c r="F30" s="86">
        <f>ינואר!E30+פברואר!E30+מרץ!E30+אפריל!E30+מאי!E30+יוני!E30+יולי!F30+אוגוסט!F30</f>
        <v>49617.59</v>
      </c>
      <c r="G30" s="86">
        <f>ינואר!F30+פברואר!F30+מרץ!F30+אפריל!F30+מאי!F30+יוני!F30+יולי!G30+אוגוסט!G30</f>
        <v>32010.18</v>
      </c>
      <c r="H30" s="86">
        <f>ינואר!G30+פברואר!G30+מרץ!G30+אפריל!G30+מאי!G30+יוני!G30+יולי!H30+אוגוסט!H30</f>
        <v>43116.44</v>
      </c>
      <c r="I30" s="172">
        <f t="shared" si="8"/>
        <v>0.34696024827101879</v>
      </c>
      <c r="J30" s="86">
        <f t="shared" si="9"/>
        <v>11106.260000000002</v>
      </c>
      <c r="L30" s="86">
        <f>ינואר!J30+פברואר!J30+מרץ!J30+אפריל!J30+מאי!J30+יוני!J30+יולי!M30+אוגוסט!M30</f>
        <v>35000</v>
      </c>
      <c r="M30" s="172">
        <f t="shared" si="10"/>
        <v>0.23189828571428572</v>
      </c>
      <c r="N30" s="86">
        <f t="shared" si="11"/>
        <v>8116.4400000000023</v>
      </c>
      <c r="P30" s="89">
        <f>_xlfn.XLOOKUP($A30,'תקציב  '!A:A,'תקציב  '!AS:AS)</f>
        <v>43116.44</v>
      </c>
      <c r="Q30" s="172">
        <f t="shared" si="4"/>
        <v>1</v>
      </c>
      <c r="R30" s="89">
        <f t="shared" si="5"/>
        <v>0</v>
      </c>
    </row>
    <row r="31" spans="1:18" x14ac:dyDescent="0.2">
      <c r="A31" s="135">
        <v>30</v>
      </c>
      <c r="B31" s="37" t="s">
        <v>103</v>
      </c>
      <c r="C31" s="36" t="s">
        <v>76</v>
      </c>
      <c r="D31" s="89" t="s">
        <v>34</v>
      </c>
      <c r="E31" s="3" t="s">
        <v>30</v>
      </c>
      <c r="F31" s="86">
        <f>ינואר!E31+פברואר!E31+מרץ!E31+אפריל!E31+מאי!E31+יוני!E31+יולי!F31+אוגוסט!F31</f>
        <v>20354.79</v>
      </c>
      <c r="G31" s="86">
        <f>ינואר!F31+פברואר!F31+מרץ!F31+אפריל!F31+מאי!F31+יוני!F31+יולי!G31+אוגוסט!G31</f>
        <v>38733.300000000003</v>
      </c>
      <c r="H31" s="86">
        <f>ינואר!G31+פברואר!G31+מרץ!G31+אפריל!G31+מאי!G31+יוני!G31+יולי!H31+אוגוסט!H31</f>
        <v>17809.5</v>
      </c>
      <c r="I31" s="172">
        <f t="shared" si="8"/>
        <v>-0.54020184182602571</v>
      </c>
      <c r="J31" s="86">
        <f t="shared" si="9"/>
        <v>-20923.800000000003</v>
      </c>
      <c r="L31" s="86">
        <f>ינואר!J31+פברואר!J31+מרץ!J31+אפריל!J31+מאי!J31+יוני!J31+יולי!M31+אוגוסט!M31</f>
        <v>40000</v>
      </c>
      <c r="M31" s="172">
        <f t="shared" si="10"/>
        <v>-0.55476250000000005</v>
      </c>
      <c r="N31" s="86">
        <f t="shared" si="11"/>
        <v>-22190.5</v>
      </c>
      <c r="P31" s="89">
        <f>_xlfn.XLOOKUP($A31,'תקציב  '!A:A,'תקציב  '!AS:AS)</f>
        <v>17809.5</v>
      </c>
      <c r="Q31" s="172">
        <f t="shared" si="4"/>
        <v>1</v>
      </c>
      <c r="R31" s="89">
        <f t="shared" si="5"/>
        <v>0</v>
      </c>
    </row>
    <row r="32" spans="1:18" ht="13.5" customHeight="1" x14ac:dyDescent="0.2">
      <c r="A32" s="135">
        <v>31</v>
      </c>
      <c r="B32" s="37" t="s">
        <v>85</v>
      </c>
      <c r="C32" s="37" t="s">
        <v>85</v>
      </c>
      <c r="D32" s="89" t="s">
        <v>32</v>
      </c>
      <c r="E32" s="3" t="s">
        <v>33</v>
      </c>
      <c r="F32" s="86">
        <f>ינואר!E32+פברואר!E32+מרץ!E32+אפריל!E32+מאי!E32+יוני!E32+יולי!F32+אוגוסט!F32</f>
        <v>0</v>
      </c>
      <c r="G32" s="86">
        <f>ינואר!F32+פברואר!F32+מרץ!F32+אפריל!F32+מאי!F32+יוני!F32+יולי!G32+אוגוסט!G32</f>
        <v>31584.080000000002</v>
      </c>
      <c r="H32" s="86">
        <f>ינואר!G32+פברואר!G32+מרץ!G32+אפריל!G32+מאי!G32+יוני!G32+יולי!H32+אוגוסט!H32</f>
        <v>10037.15</v>
      </c>
      <c r="I32" s="172">
        <f t="shared" si="8"/>
        <v>-0.68220856836735466</v>
      </c>
      <c r="J32" s="86">
        <f t="shared" si="9"/>
        <v>-21546.93</v>
      </c>
      <c r="L32" s="86">
        <f>ינואר!J32+פברואר!J32+מרץ!J32+אפריל!J32+מאי!J32+יוני!J32+יולי!M32+אוגוסט!M32</f>
        <v>36000</v>
      </c>
      <c r="M32" s="172">
        <f t="shared" si="10"/>
        <v>-0.72119027777777778</v>
      </c>
      <c r="N32" s="86">
        <f t="shared" si="11"/>
        <v>-25962.85</v>
      </c>
      <c r="P32" s="89">
        <f>_xlfn.XLOOKUP($A32,'תקציב  '!A:A,'תקציב  '!AS:AS)</f>
        <v>0</v>
      </c>
      <c r="Q32" s="172" t="str">
        <f t="shared" si="4"/>
        <v>-</v>
      </c>
      <c r="R32" s="89">
        <f t="shared" si="5"/>
        <v>10037.15</v>
      </c>
    </row>
    <row r="33" spans="1:18" ht="13.5" customHeight="1" x14ac:dyDescent="0.2">
      <c r="A33" s="135"/>
      <c r="C33" s="36"/>
      <c r="D33" s="89" t="s">
        <v>11</v>
      </c>
      <c r="E33" s="3" t="s">
        <v>12</v>
      </c>
      <c r="F33" s="86">
        <f>ינואר!E33+פברואר!E33+מרץ!E33+אפריל!E33+מאי!E33+יוני!E33+יולי!F33+אוגוסט!F33</f>
        <v>0</v>
      </c>
      <c r="G33" s="86">
        <f>ינואר!F33+פברואר!F33+מרץ!F33+אפריל!F33+מאי!F33+יוני!F33+יולי!G33+אוגוסט!G33</f>
        <v>0</v>
      </c>
      <c r="H33" s="86">
        <f>ינואר!G33+פברואר!G33+מרץ!G33+אפריל!G33+מאי!G33+יוני!G33+יולי!H33+אוגוסט!H33</f>
        <v>0</v>
      </c>
      <c r="I33" s="172" t="str">
        <f t="shared" si="8"/>
        <v/>
      </c>
      <c r="J33" s="86">
        <f t="shared" si="9"/>
        <v>0</v>
      </c>
      <c r="L33" s="86">
        <f>ינואר!J33+פברואר!J33+מרץ!J33+אפריל!J33+מאי!J33+יוני!J33+יולי!M33+אוגוסט!M33</f>
        <v>0</v>
      </c>
      <c r="M33" s="172" t="str">
        <f t="shared" si="10"/>
        <v/>
      </c>
      <c r="N33" s="86">
        <f t="shared" si="11"/>
        <v>0</v>
      </c>
      <c r="P33" s="89">
        <f>_xlfn.XLOOKUP($A33,'תקציב  '!A:A,'תקציב  '!AS:AS)</f>
        <v>0</v>
      </c>
      <c r="Q33" s="172" t="str">
        <f t="shared" si="4"/>
        <v>-</v>
      </c>
      <c r="R33" s="89">
        <f t="shared" si="5"/>
        <v>0</v>
      </c>
    </row>
    <row r="34" spans="1:18" ht="13.5" customHeight="1" x14ac:dyDescent="0.2">
      <c r="A34" s="135">
        <v>32</v>
      </c>
      <c r="B34" s="37" t="s">
        <v>104</v>
      </c>
      <c r="C34" s="36" t="s">
        <v>86</v>
      </c>
      <c r="D34" s="89" t="s">
        <v>31</v>
      </c>
      <c r="E34" s="3" t="s">
        <v>49</v>
      </c>
      <c r="F34" s="86">
        <f>ינואר!E34+פברואר!E34+מרץ!E34+אפריל!E34+מאי!E34+יוני!E34+יולי!F34+אוגוסט!F34</f>
        <v>33839.240000000005</v>
      </c>
      <c r="G34" s="86">
        <f>ינואר!F34+פברואר!F34+מרץ!F34+אפריל!F34+מאי!F34+יוני!F34+יולי!G34+אוגוסט!G34</f>
        <v>39713.57</v>
      </c>
      <c r="H34" s="86">
        <f>ינואר!G34+פברואר!G34+מרץ!G34+אפריל!G34+מאי!G34+יוני!G34+יולי!H34+אוגוסט!H34</f>
        <v>37142.71</v>
      </c>
      <c r="I34" s="172">
        <f t="shared" si="8"/>
        <v>-6.4735051520173115E-2</v>
      </c>
      <c r="J34" s="86">
        <f t="shared" si="9"/>
        <v>-2570.8600000000006</v>
      </c>
      <c r="L34" s="86">
        <f>ינואר!J34+פברואר!J34+מרץ!J34+אפריל!J34+מאי!J34+יוני!J34+יולי!M34+אוגוסט!M34</f>
        <v>40000</v>
      </c>
      <c r="M34" s="172">
        <f t="shared" si="10"/>
        <v>-7.1432249999999975E-2</v>
      </c>
      <c r="N34" s="86">
        <f t="shared" si="11"/>
        <v>-2857.2900000000009</v>
      </c>
      <c r="P34" s="89">
        <f>_xlfn.XLOOKUP($A34,'תקציב  '!A:A,'תקציב  '!AS:AS)</f>
        <v>38792.660000000003</v>
      </c>
      <c r="Q34" s="172">
        <f t="shared" si="4"/>
        <v>0.95746746936147187</v>
      </c>
      <c r="R34" s="89">
        <f t="shared" si="5"/>
        <v>-1649.9500000000044</v>
      </c>
    </row>
    <row r="35" spans="1:18" ht="13.5" customHeight="1" x14ac:dyDescent="0.2">
      <c r="A35" s="135">
        <v>33</v>
      </c>
      <c r="B35" s="37" t="s">
        <v>105</v>
      </c>
      <c r="C35" s="36" t="s">
        <v>83</v>
      </c>
      <c r="D35" s="89" t="s">
        <v>84</v>
      </c>
      <c r="E35" s="3" t="s">
        <v>48</v>
      </c>
      <c r="F35" s="86">
        <f>ינואר!E35+פברואר!E35+מרץ!E35+אפריל!E35+מאי!E35+יוני!E35+יולי!F35+אוגוסט!F35</f>
        <v>59175.03</v>
      </c>
      <c r="G35" s="86">
        <f>ינואר!F35+פברואר!F35+מרץ!F35+אפריל!F35+מאי!F35+יוני!F35+יולי!G35+אוגוסט!G35</f>
        <v>30531.53</v>
      </c>
      <c r="H35" s="86">
        <f>ינואר!G35+פברואר!G35+מרץ!G35+אפריל!G35+מאי!G35+יוני!G35+יולי!H35+אוגוסט!H35</f>
        <v>26105.72</v>
      </c>
      <c r="I35" s="172">
        <f t="shared" si="8"/>
        <v>-0.14495867059397283</v>
      </c>
      <c r="J35" s="86">
        <f t="shared" si="9"/>
        <v>-4425.8099999999977</v>
      </c>
      <c r="L35" s="86">
        <f>ינואר!J35+פברואר!J35+מרץ!J35+אפריל!J35+מאי!J35+יוני!J35+יולי!M35+אוגוסט!M35</f>
        <v>40000</v>
      </c>
      <c r="M35" s="172">
        <f t="shared" si="10"/>
        <v>-0.34735699999999992</v>
      </c>
      <c r="N35" s="86">
        <f t="shared" si="11"/>
        <v>-13894.279999999999</v>
      </c>
      <c r="P35" s="89">
        <f>_xlfn.XLOOKUP($A35,'תקציב  '!A:A,'תקציב  '!AS:AS)</f>
        <v>0</v>
      </c>
      <c r="Q35" s="172" t="str">
        <f t="shared" si="4"/>
        <v>-</v>
      </c>
      <c r="R35" s="89">
        <f t="shared" si="5"/>
        <v>26105.72</v>
      </c>
    </row>
    <row r="36" spans="1:18" x14ac:dyDescent="0.2">
      <c r="A36" s="135"/>
      <c r="B36" s="37" t="s">
        <v>107</v>
      </c>
      <c r="C36" s="37" t="s">
        <v>107</v>
      </c>
      <c r="D36" s="89" t="s">
        <v>37</v>
      </c>
      <c r="E36" s="3" t="s">
        <v>17</v>
      </c>
      <c r="F36" s="86">
        <f>ינואר!E36+פברואר!E36+מרץ!E36+אפריל!E36+מאי!E36+יוני!E36+יולי!F36+אוגוסט!F36</f>
        <v>41531.96</v>
      </c>
      <c r="G36" s="86">
        <f>ינואר!F36+פברואר!F36+מרץ!F36+אפריל!F36+מאי!F36+יוני!F36+יולי!G36+אוגוסט!G36</f>
        <v>0</v>
      </c>
      <c r="H36" s="86">
        <f>ינואר!G36+פברואר!G36+מרץ!G36+אפריל!G36+מאי!G36+יוני!G36+יולי!H36+אוגוסט!H36</f>
        <v>0</v>
      </c>
      <c r="I36" s="172" t="str">
        <f t="shared" si="8"/>
        <v/>
      </c>
      <c r="J36" s="86">
        <f t="shared" si="9"/>
        <v>0</v>
      </c>
      <c r="L36" s="86">
        <f>ינואר!J36+פברואר!J36+מרץ!J36+אפריל!J36+מאי!J36+יוני!J36+יולי!M36+אוגוסט!M36</f>
        <v>0</v>
      </c>
      <c r="M36" s="172" t="str">
        <f t="shared" si="10"/>
        <v/>
      </c>
      <c r="N36" s="86">
        <f t="shared" si="11"/>
        <v>0</v>
      </c>
      <c r="P36" s="89">
        <f>_xlfn.XLOOKUP($A36,'תקציב  '!A:A,'תקציב  '!AS:AS)</f>
        <v>0</v>
      </c>
      <c r="Q36" s="172" t="str">
        <f t="shared" si="4"/>
        <v>-</v>
      </c>
      <c r="R36" s="89">
        <f t="shared" si="5"/>
        <v>0</v>
      </c>
    </row>
    <row r="37" spans="1:18" x14ac:dyDescent="0.2">
      <c r="A37" s="135">
        <v>34</v>
      </c>
      <c r="B37" s="37" t="s">
        <v>108</v>
      </c>
      <c r="C37" s="37" t="s">
        <v>108</v>
      </c>
      <c r="D37" s="89" t="s">
        <v>35</v>
      </c>
      <c r="E37" s="3" t="s">
        <v>36</v>
      </c>
      <c r="F37" s="86">
        <f>ינואר!E37+פברואר!E37+מרץ!E37+אפריל!E37+מאי!E37+יוני!E37+יולי!F37+אוגוסט!F37</f>
        <v>22310.959999999999</v>
      </c>
      <c r="G37" s="86">
        <f>ינואר!F37+פברואר!F37+מרץ!F37+אפריל!F37+מאי!F37+יוני!F37+יולי!G37+אוגוסט!G37</f>
        <v>0</v>
      </c>
      <c r="H37" s="86">
        <f>ינואר!G37+פברואר!G37+מרץ!G37+אפריל!G37+מאי!G37+יוני!G37+יולי!H37+אוגוסט!H37</f>
        <v>0</v>
      </c>
      <c r="I37" s="172" t="str">
        <f t="shared" si="8"/>
        <v/>
      </c>
      <c r="J37" s="86">
        <f t="shared" si="9"/>
        <v>0</v>
      </c>
      <c r="L37" s="86">
        <f>ינואר!J37+פברואר!J37+מרץ!J37+אפריל!J37+מאי!J37+יוני!J37+יולי!M37+אוגוסט!M37</f>
        <v>0</v>
      </c>
      <c r="M37" s="172" t="str">
        <f t="shared" si="10"/>
        <v/>
      </c>
      <c r="N37" s="86">
        <f t="shared" si="11"/>
        <v>0</v>
      </c>
      <c r="P37" s="89">
        <f>_xlfn.XLOOKUP($A37,'תקציב  '!A:A,'תקציב  '!AS:AS)</f>
        <v>0</v>
      </c>
      <c r="Q37" s="172" t="str">
        <f t="shared" si="4"/>
        <v>-</v>
      </c>
      <c r="R37" s="89">
        <f t="shared" si="5"/>
        <v>0</v>
      </c>
    </row>
    <row r="38" spans="1:18" ht="13.5" customHeight="1" x14ac:dyDescent="0.2">
      <c r="A38" s="135">
        <v>35</v>
      </c>
      <c r="B38" s="37" t="s">
        <v>109</v>
      </c>
      <c r="C38" s="37" t="s">
        <v>109</v>
      </c>
      <c r="D38" s="89" t="s">
        <v>70</v>
      </c>
      <c r="E38" s="3" t="s">
        <v>38</v>
      </c>
      <c r="F38" s="86">
        <f>ינואר!E38+פברואר!E38+מרץ!E38+אפריל!E38+מאי!E38+יוני!E38+יולי!F38+אוגוסט!F38</f>
        <v>0</v>
      </c>
      <c r="G38" s="86">
        <f>ינואר!F38+פברואר!F38+מרץ!F38+אפריל!F38+מאי!F38+יוני!F38+יולי!G38+אוגוסט!G38</f>
        <v>248.59</v>
      </c>
      <c r="H38" s="86">
        <f>ינואר!G38+פברואר!G38+מרץ!G38+אפריל!G38+מאי!G38+יוני!G38+יולי!H38+אוגוסט!H38</f>
        <v>0</v>
      </c>
      <c r="I38" s="172">
        <f t="shared" si="8"/>
        <v>-1</v>
      </c>
      <c r="J38" s="86">
        <f t="shared" si="9"/>
        <v>-248.59</v>
      </c>
      <c r="L38" s="86">
        <f>ינואר!J38+פברואר!J38+מרץ!J38+אפריל!J38+מאי!J38+יוני!J38+יולי!M38+אוגוסט!M38</f>
        <v>400000</v>
      </c>
      <c r="M38" s="172">
        <f t="shared" si="10"/>
        <v>-1</v>
      </c>
      <c r="N38" s="86">
        <f t="shared" si="11"/>
        <v>-400000</v>
      </c>
      <c r="P38" s="89">
        <f>_xlfn.XLOOKUP($A38,'תקציב  '!A:A,'תקציב  '!AS:AS)</f>
        <v>0</v>
      </c>
      <c r="Q38" s="172" t="str">
        <f t="shared" si="4"/>
        <v>-</v>
      </c>
      <c r="R38" s="89">
        <f t="shared" si="5"/>
        <v>0</v>
      </c>
    </row>
    <row r="39" spans="1:18" ht="13.5" customHeight="1" x14ac:dyDescent="0.2">
      <c r="A39" s="135">
        <v>36</v>
      </c>
      <c r="C39" s="37" t="s">
        <v>91</v>
      </c>
      <c r="D39" s="89" t="s">
        <v>91</v>
      </c>
      <c r="E39" s="3"/>
      <c r="F39" s="86">
        <f>ינואר!E39+פברואר!E39+מרץ!E39+אפריל!E39+מאי!E39+יוני!E39+יולי!F39+אוגוסט!F39</f>
        <v>0</v>
      </c>
      <c r="G39" s="86">
        <f>ינואר!F39+פברואר!F39+מרץ!F39+אפריל!F39+מאי!F39+יוני!F39+יולי!G39+אוגוסט!G39</f>
        <v>0</v>
      </c>
      <c r="H39" s="86">
        <f>ינואר!G39+פברואר!G39+מרץ!G39+אפריל!G39+מאי!G39+יוני!G39+יולי!H39+אוגוסט!H39</f>
        <v>0</v>
      </c>
      <c r="I39" s="172" t="str">
        <f t="shared" si="8"/>
        <v/>
      </c>
      <c r="J39" s="86">
        <f t="shared" si="9"/>
        <v>0</v>
      </c>
      <c r="L39" s="86">
        <f>ינואר!J39+פברואר!J39+מרץ!J39+אפריל!J39+מאי!J39+יוני!J39+יולי!M39+אוגוסט!M39</f>
        <v>200000</v>
      </c>
      <c r="M39" s="172">
        <f t="shared" si="10"/>
        <v>-1</v>
      </c>
      <c r="N39" s="86">
        <f t="shared" si="11"/>
        <v>-200000</v>
      </c>
      <c r="P39" s="89">
        <f>_xlfn.XLOOKUP($A39,'תקציב  '!A:A,'תקציב  '!AS:AS)</f>
        <v>0</v>
      </c>
      <c r="Q39" s="172" t="str">
        <f t="shared" si="4"/>
        <v>-</v>
      </c>
      <c r="R39" s="89">
        <f t="shared" si="5"/>
        <v>0</v>
      </c>
    </row>
    <row r="40" spans="1:18" ht="15" x14ac:dyDescent="0.25">
      <c r="A40" s="135"/>
      <c r="C40" s="163" t="s">
        <v>42</v>
      </c>
      <c r="D40" s="157" t="s">
        <v>42</v>
      </c>
      <c r="E40" s="164"/>
      <c r="F40" s="157">
        <f>SUM(F20:F39)</f>
        <v>5179930.0299999993</v>
      </c>
      <c r="G40" s="157">
        <f>SUM(G20:G39)</f>
        <v>3897862.6499999994</v>
      </c>
      <c r="H40" s="157">
        <f>SUM(H20:H39)</f>
        <v>3738438.6699999995</v>
      </c>
      <c r="I40" s="97">
        <f t="shared" si="7"/>
        <v>-4.0900358559324834E-2</v>
      </c>
      <c r="J40" s="157">
        <f>SUM(J20:J39)</f>
        <v>-159423.98000000013</v>
      </c>
      <c r="L40" s="157">
        <f>SUM(L20:L39)</f>
        <v>6416584.6115875002</v>
      </c>
      <c r="M40" s="97">
        <f>H40/L40-1</f>
        <v>-0.41737873085178756</v>
      </c>
      <c r="N40" s="157">
        <f>SUM(N20:N39)</f>
        <v>-2678145.9415875003</v>
      </c>
      <c r="P40" s="157">
        <f>SUM(P20:P39)</f>
        <v>3862193.0399999996</v>
      </c>
      <c r="Q40" s="97">
        <f t="shared" si="4"/>
        <v>0.96795748717935648</v>
      </c>
      <c r="R40" s="157">
        <f t="shared" si="5"/>
        <v>-123754.37000000011</v>
      </c>
    </row>
    <row r="41" spans="1:18" ht="16.5" thickBot="1" x14ac:dyDescent="0.3">
      <c r="A41" s="135"/>
      <c r="C41" s="183" t="s">
        <v>69</v>
      </c>
      <c r="D41" s="159" t="s">
        <v>69</v>
      </c>
      <c r="E41" s="184"/>
      <c r="F41" s="159">
        <f>F40+F19</f>
        <v>16999889.127000004</v>
      </c>
      <c r="G41" s="159">
        <f>G40+G19</f>
        <v>16135216.052000035</v>
      </c>
      <c r="H41" s="159">
        <f>H40+H19</f>
        <v>17262830.909000028</v>
      </c>
      <c r="I41" s="50">
        <f t="shared" si="7"/>
        <v>6.9885327433233835E-2</v>
      </c>
      <c r="J41" s="159">
        <f>J40+J19</f>
        <v>1127614.8569999908</v>
      </c>
      <c r="L41" s="159">
        <f>L40+L19</f>
        <v>25373388.606992394</v>
      </c>
      <c r="M41" s="50">
        <f>H41/L41-1</f>
        <v>-0.31964818825015984</v>
      </c>
      <c r="N41" s="159">
        <f>N40+N19</f>
        <v>-8110557.6979923695</v>
      </c>
      <c r="P41" s="159">
        <f>P40+P19</f>
        <v>17964287.30700003</v>
      </c>
      <c r="Q41" s="50">
        <f t="shared" si="4"/>
        <v>0.96095272882177352</v>
      </c>
      <c r="R41" s="159">
        <f t="shared" si="5"/>
        <v>-701456.39800000191</v>
      </c>
    </row>
    <row r="42" spans="1:18" ht="15.75" thickBot="1" x14ac:dyDescent="0.3">
      <c r="C42" s="166" t="s">
        <v>43</v>
      </c>
      <c r="D42" s="177" t="s">
        <v>43</v>
      </c>
      <c r="E42" s="167"/>
      <c r="F42" s="179">
        <f>F40/F41</f>
        <v>0.3047037537305462</v>
      </c>
      <c r="G42" s="179">
        <f>G40/G41</f>
        <v>0.2415748656502707</v>
      </c>
      <c r="H42" s="179">
        <f>H40/H41</f>
        <v>0.2165600004835217</v>
      </c>
      <c r="I42" s="179"/>
      <c r="J42" s="179"/>
      <c r="L42" s="179">
        <f>L40-ינואר!J40-פברואר!J40-מרץ!J40-אפריל!J40-מאי!J40-יוני!J40-יולי!M40-אוגוסט!M40</f>
        <v>0</v>
      </c>
      <c r="M42" s="179"/>
      <c r="N42" s="179"/>
      <c r="P42" s="192"/>
      <c r="Q42" s="179" t="str">
        <f t="shared" si="4"/>
        <v>-</v>
      </c>
      <c r="R42" s="192"/>
    </row>
  </sheetData>
  <dataConsolidate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39FE-B968-4100-B73C-F0767898E7C7}">
  <dimension ref="A1:Y42"/>
  <sheetViews>
    <sheetView showGridLines="0" rightToLeft="1" tabSelected="1" zoomScaleNormal="100" workbookViewId="0">
      <pane xSplit="5" ySplit="2" topLeftCell="H16" activePane="bottomRight" state="frozen"/>
      <selection activeCell="J13" sqref="J13"/>
      <selection pane="topRight" activeCell="J13" sqref="J13"/>
      <selection pane="bottomLeft" activeCell="J13" sqref="J13"/>
      <selection pane="bottomRight" activeCell="X53" sqref="X53"/>
    </sheetView>
  </sheetViews>
  <sheetFormatPr defaultRowHeight="14.25" outlineLevelRow="1" x14ac:dyDescent="0.2"/>
  <cols>
    <col min="1" max="1" width="2.875" hidden="1" customWidth="1"/>
    <col min="2" max="2" width="26" style="100" hidden="1" customWidth="1"/>
    <col min="3" max="3" width="13.375" hidden="1" customWidth="1"/>
    <col min="4" max="4" width="26" style="100" customWidth="1"/>
    <col min="5" max="5" width="13.375" hidden="1" customWidth="1"/>
    <col min="6" max="7" width="9.875" hidden="1" customWidth="1"/>
    <col min="8" max="8" width="9.875" bestFit="1" customWidth="1"/>
    <col min="9" max="9" width="6.875" bestFit="1" customWidth="1"/>
    <col min="10" max="11" width="11.875" bestFit="1" customWidth="1"/>
    <col min="12" max="12" width="1.75" customWidth="1"/>
    <col min="13" max="13" width="10.25" bestFit="1" customWidth="1"/>
    <col min="14" max="14" width="11" bestFit="1" customWidth="1"/>
    <col min="15" max="15" width="6.875" bestFit="1" customWidth="1"/>
    <col min="16" max="16" width="10.75" bestFit="1" customWidth="1"/>
    <col min="17" max="17" width="3.5" customWidth="1"/>
    <col min="18" max="18" width="10.25" bestFit="1" customWidth="1"/>
    <col min="19" max="19" width="10.875" bestFit="1" customWidth="1"/>
    <col min="20" max="20" width="7.625" bestFit="1" customWidth="1"/>
    <col min="21" max="21" width="13" bestFit="1" customWidth="1"/>
    <col min="23" max="23" width="9.875" bestFit="1" customWidth="1"/>
    <col min="24" max="24" width="10.5" bestFit="1" customWidth="1"/>
    <col min="25" max="25" width="9" style="102"/>
  </cols>
  <sheetData>
    <row r="1" spans="1:25" ht="15.75" x14ac:dyDescent="0.25">
      <c r="B1" s="160"/>
      <c r="C1" s="34" t="s">
        <v>174</v>
      </c>
      <c r="D1" s="160" t="s">
        <v>174</v>
      </c>
      <c r="E1" s="34"/>
      <c r="F1" s="34"/>
      <c r="G1" s="34"/>
      <c r="H1" s="34"/>
      <c r="I1" s="34"/>
      <c r="J1" s="34"/>
      <c r="K1" s="34"/>
      <c r="M1" s="34"/>
      <c r="N1" s="34"/>
      <c r="O1" s="34"/>
      <c r="P1" s="34"/>
      <c r="R1" s="34"/>
      <c r="S1" s="34"/>
      <c r="T1" s="34"/>
      <c r="U1" s="34"/>
      <c r="W1" s="34"/>
    </row>
    <row r="2" spans="1:25" ht="15" x14ac:dyDescent="0.25">
      <c r="A2" s="133" t="s">
        <v>228</v>
      </c>
      <c r="B2" s="14"/>
      <c r="C2" s="146"/>
      <c r="D2" s="14"/>
      <c r="E2" s="146" t="s">
        <v>10</v>
      </c>
      <c r="F2" s="146">
        <v>9.2024000000000008</v>
      </c>
      <c r="G2" s="146">
        <v>9.2025000000000006</v>
      </c>
      <c r="H2" s="146">
        <v>9.2026000000000003</v>
      </c>
      <c r="I2" s="147" t="s">
        <v>225</v>
      </c>
      <c r="J2" s="147" t="s">
        <v>191</v>
      </c>
      <c r="K2" s="146" t="s">
        <v>192</v>
      </c>
      <c r="M2" s="146" t="s">
        <v>67</v>
      </c>
      <c r="N2" s="147" t="s">
        <v>68</v>
      </c>
      <c r="O2" s="147" t="s">
        <v>223</v>
      </c>
      <c r="P2" s="146" t="s">
        <v>71</v>
      </c>
      <c r="R2" s="148" t="s">
        <v>229</v>
      </c>
      <c r="S2" s="147" t="s">
        <v>231</v>
      </c>
      <c r="T2" s="147" t="s">
        <v>223</v>
      </c>
      <c r="U2" s="149" t="s">
        <v>232</v>
      </c>
      <c r="V2" s="90"/>
      <c r="W2" s="146">
        <v>9.2026000000000003</v>
      </c>
      <c r="X2" s="90"/>
    </row>
    <row r="3" spans="1:25" hidden="1" outlineLevel="1" x14ac:dyDescent="0.2">
      <c r="A3" s="140">
        <v>5</v>
      </c>
      <c r="B3" s="142" t="s">
        <v>115</v>
      </c>
      <c r="C3" s="86" t="s">
        <v>1</v>
      </c>
      <c r="D3" s="142" t="s">
        <v>1</v>
      </c>
      <c r="E3" s="86" t="s">
        <v>40</v>
      </c>
      <c r="F3" s="86">
        <f>VLOOKUP(B3,'2024'!$A:$O,10,0)</f>
        <v>124776.4</v>
      </c>
      <c r="G3" s="86">
        <f>VLOOKUP($B3,'2025'!$A:$O,10,0)</f>
        <v>157587.19</v>
      </c>
      <c r="H3" s="86">
        <v>193941.5</v>
      </c>
      <c r="I3" s="125">
        <f>IFERROR(H3/$H$19,"")</f>
        <v>0.11773529179658372</v>
      </c>
      <c r="J3" s="125">
        <f>IFERROR(H3/G3-1,"")</f>
        <v>0.23069330698770618</v>
      </c>
      <c r="K3" s="86">
        <f t="shared" ref="K3:K15" si="0">H3-G3</f>
        <v>36354.31</v>
      </c>
      <c r="M3" s="86">
        <f>VLOOKUP(C3,'תקציב  '!$B:$S,12,0)*1</f>
        <v>209841.26984126982</v>
      </c>
      <c r="N3" s="125">
        <f>IFERROR(H3/M3-1,"")</f>
        <v>-7.5770461422087654E-2</v>
      </c>
      <c r="O3" s="125">
        <f>IFERROR(H3/M3,"-")</f>
        <v>0.92422953857791235</v>
      </c>
      <c r="P3" s="86">
        <f t="shared" ref="P3:P15" si="1">H3-M3</f>
        <v>-15899.769841269823</v>
      </c>
      <c r="R3" s="89">
        <f>_xlfn.XLOOKUP(A3,'תקציב  '!A:A,'תקציב  '!AK:AK)</f>
        <v>200000</v>
      </c>
      <c r="S3" s="125">
        <f>IFERROR(H3/R3-1,"-")</f>
        <v>-3.0292500000000055E-2</v>
      </c>
      <c r="T3" s="125">
        <f>IFERROR(H3/R3,"-")</f>
        <v>0.96970749999999994</v>
      </c>
      <c r="U3" s="89">
        <f>H3-R3</f>
        <v>-6058.5</v>
      </c>
      <c r="W3" s="86">
        <v>193941.5</v>
      </c>
      <c r="X3" s="7">
        <f t="shared" ref="X3:X41" si="2">H3-W3</f>
        <v>0</v>
      </c>
      <c r="Y3" s="101">
        <f t="shared" ref="Y3:Y41" si="3">IFERROR((H3/W3)-1,"-")</f>
        <v>0</v>
      </c>
    </row>
    <row r="4" spans="1:25" hidden="1" outlineLevel="1" x14ac:dyDescent="0.2">
      <c r="A4" s="134">
        <v>1</v>
      </c>
      <c r="B4" s="142" t="s">
        <v>0</v>
      </c>
      <c r="C4" s="86" t="s">
        <v>0</v>
      </c>
      <c r="D4" s="142" t="s">
        <v>0</v>
      </c>
      <c r="E4" s="86" t="s">
        <v>40</v>
      </c>
      <c r="F4" s="86">
        <f>VLOOKUP(C4,'2024'!$A:$O,10,0)</f>
        <v>514559.04500000004</v>
      </c>
      <c r="G4" s="86">
        <f>VLOOKUP($B4,'2025'!$A:$O,10,0)</f>
        <v>465794.42000000004</v>
      </c>
      <c r="H4" s="86">
        <v>413784.462</v>
      </c>
      <c r="I4" s="125">
        <f t="shared" ref="I4:I41" si="4">IFERROR(H4/$H$19,"")</f>
        <v>0.25119448067825817</v>
      </c>
      <c r="J4" s="125">
        <f t="shared" ref="J4:J39" si="5">IFERROR(H4/G4-1,"")</f>
        <v>-0.11165861111002584</v>
      </c>
      <c r="K4" s="86">
        <f t="shared" si="0"/>
        <v>-52009.958000000042</v>
      </c>
      <c r="M4" s="86">
        <f>VLOOKUP(C4,'תקציב  '!$B:$S,12,0)*1</f>
        <v>527603.17460317456</v>
      </c>
      <c r="N4" s="125">
        <f t="shared" ref="N4:N39" si="6">IFERROR(H4/M4-1,"")</f>
        <v>-0.21572787671109228</v>
      </c>
      <c r="O4" s="125">
        <f t="shared" ref="O4:O41" si="7">IFERROR(H4/M4,"-")</f>
        <v>0.78427212328890772</v>
      </c>
      <c r="P4" s="86">
        <f t="shared" si="1"/>
        <v>-113818.71260317456</v>
      </c>
      <c r="R4" s="89">
        <f>_xlfn.XLOOKUP(A4,'תקציב  '!A:A,'תקציב  '!AK:AK)</f>
        <v>550000</v>
      </c>
      <c r="S4" s="125">
        <f t="shared" ref="S4:S41" si="8">IFERROR(H4/R4-1,"-")</f>
        <v>-0.24766461454545452</v>
      </c>
      <c r="T4" s="125">
        <f t="shared" ref="T4:T41" si="9">IFERROR(H4/R4,"-")</f>
        <v>0.75233538545454548</v>
      </c>
      <c r="U4" s="89">
        <f t="shared" ref="U4:U41" si="10">H4-R4</f>
        <v>-136215.538</v>
      </c>
      <c r="W4" s="86">
        <v>343121.50599999999</v>
      </c>
      <c r="X4" s="7">
        <f t="shared" si="2"/>
        <v>70662.956000000006</v>
      </c>
      <c r="Y4" s="101">
        <f t="shared" si="3"/>
        <v>0.20594149525561956</v>
      </c>
    </row>
    <row r="5" spans="1:25" hidden="1" outlineLevel="1" x14ac:dyDescent="0.2">
      <c r="A5" s="134">
        <v>7</v>
      </c>
      <c r="B5" s="142" t="s">
        <v>44</v>
      </c>
      <c r="C5" s="86" t="s">
        <v>44</v>
      </c>
      <c r="D5" s="142" t="s">
        <v>44</v>
      </c>
      <c r="E5" s="86" t="s">
        <v>40</v>
      </c>
      <c r="F5" s="86">
        <f>VLOOKUP(C5,'2024'!$A:$O,10,0)</f>
        <v>104489.47600000001</v>
      </c>
      <c r="G5" s="86">
        <f>VLOOKUP($B5,'2025'!$A:$O,10,0)</f>
        <v>64918.490000000005</v>
      </c>
      <c r="H5" s="86">
        <v>70795.452000000005</v>
      </c>
      <c r="I5" s="125">
        <f t="shared" si="4"/>
        <v>4.2977512286390677E-2</v>
      </c>
      <c r="J5" s="125">
        <f t="shared" si="5"/>
        <v>9.05283225164355E-2</v>
      </c>
      <c r="K5" s="86">
        <f t="shared" si="0"/>
        <v>5876.9619999999995</v>
      </c>
      <c r="M5" s="86">
        <f>VLOOKUP(C5,'תקציב  '!$B:$S,12,0)*1</f>
        <v>67857.142857142841</v>
      </c>
      <c r="N5" s="125">
        <f t="shared" si="6"/>
        <v>4.3301397894737192E-2</v>
      </c>
      <c r="O5" s="125">
        <f t="shared" si="7"/>
        <v>1.0433013978947372</v>
      </c>
      <c r="P5" s="86">
        <f t="shared" si="1"/>
        <v>2938.3091428571643</v>
      </c>
      <c r="R5" s="89">
        <f>_xlfn.XLOOKUP(A5,'תקציב  '!A:A,'תקציב  '!AK:AK)</f>
        <v>100000</v>
      </c>
      <c r="S5" s="125">
        <f t="shared" si="8"/>
        <v>-0.29204547999999997</v>
      </c>
      <c r="T5" s="125">
        <f t="shared" si="9"/>
        <v>0.70795452000000003</v>
      </c>
      <c r="U5" s="89">
        <f t="shared" si="10"/>
        <v>-29204.547999999995</v>
      </c>
      <c r="W5" s="86">
        <v>60296.235999999997</v>
      </c>
      <c r="X5" s="7">
        <f t="shared" si="2"/>
        <v>10499.216000000008</v>
      </c>
      <c r="Y5" s="101">
        <f t="shared" si="3"/>
        <v>0.17412722081026755</v>
      </c>
    </row>
    <row r="6" spans="1:25" hidden="1" outlineLevel="1" x14ac:dyDescent="0.2">
      <c r="A6" s="134">
        <v>4</v>
      </c>
      <c r="B6" s="142" t="s">
        <v>3</v>
      </c>
      <c r="C6" s="86" t="s">
        <v>3</v>
      </c>
      <c r="D6" s="142" t="s">
        <v>3</v>
      </c>
      <c r="E6" s="86" t="s">
        <v>40</v>
      </c>
      <c r="F6" s="86">
        <f>VLOOKUP(C6,'2024'!$A:$O,10,0)</f>
        <v>141046.59200000003</v>
      </c>
      <c r="G6" s="86">
        <f>VLOOKUP($B6,'2025'!$A:$O,10,0)</f>
        <v>134403.72999999989</v>
      </c>
      <c r="H6" s="86">
        <v>178661.46500000003</v>
      </c>
      <c r="I6" s="125">
        <f t="shared" si="4"/>
        <v>0.1084593019780714</v>
      </c>
      <c r="J6" s="125">
        <f t="shared" si="5"/>
        <v>0.32928948474867603</v>
      </c>
      <c r="K6" s="86">
        <f t="shared" si="0"/>
        <v>44257.735000000132</v>
      </c>
      <c r="M6" s="86">
        <f>VLOOKUP(B6,'תקציב  '!$B:$S,12,0)*1</f>
        <v>150253.96825396825</v>
      </c>
      <c r="N6" s="125">
        <f t="shared" si="6"/>
        <v>0.18906320462708659</v>
      </c>
      <c r="O6" s="125">
        <f t="shared" si="7"/>
        <v>1.1890632046270866</v>
      </c>
      <c r="P6" s="86">
        <f t="shared" si="1"/>
        <v>28407.496746031771</v>
      </c>
      <c r="R6" s="89">
        <f>_xlfn.XLOOKUP(A6,'תקציב  '!A:A,'תקציב  '!AK:AK)</f>
        <v>200000</v>
      </c>
      <c r="S6" s="125">
        <f t="shared" si="8"/>
        <v>-0.1066926749999999</v>
      </c>
      <c r="T6" s="125">
        <f t="shared" si="9"/>
        <v>0.8933073250000001</v>
      </c>
      <c r="U6" s="89">
        <f t="shared" si="10"/>
        <v>-21338.534999999974</v>
      </c>
      <c r="W6" s="86">
        <v>169016.55700000003</v>
      </c>
      <c r="X6" s="7">
        <f t="shared" si="2"/>
        <v>9644.9079999999958</v>
      </c>
      <c r="Y6" s="101">
        <f t="shared" si="3"/>
        <v>5.7064870869426132E-2</v>
      </c>
    </row>
    <row r="7" spans="1:25" hidden="1" outlineLevel="1" x14ac:dyDescent="0.2">
      <c r="A7" s="134">
        <v>3</v>
      </c>
      <c r="B7" s="142" t="s">
        <v>112</v>
      </c>
      <c r="C7" s="86" t="s">
        <v>2</v>
      </c>
      <c r="D7" s="142" t="s">
        <v>2</v>
      </c>
      <c r="E7" s="86" t="s">
        <v>40</v>
      </c>
      <c r="F7" s="86">
        <f>VLOOKUP(B7,'2024'!$A:$O,10,0)</f>
        <v>309520.8</v>
      </c>
      <c r="G7" s="86">
        <f>VLOOKUP($B7,'2025'!$A:$O,10,0)</f>
        <v>337200.15</v>
      </c>
      <c r="H7" s="86">
        <v>296928.09999999998</v>
      </c>
      <c r="I7" s="125">
        <f t="shared" si="4"/>
        <v>0.18025495572688252</v>
      </c>
      <c r="J7" s="125">
        <f t="shared" si="5"/>
        <v>-0.11943070013462342</v>
      </c>
      <c r="K7" s="86">
        <f t="shared" si="0"/>
        <v>-40272.050000000047</v>
      </c>
      <c r="M7" s="86">
        <f>VLOOKUP(C7,'תקציב  '!$B:$S,12,0)*1</f>
        <v>365000</v>
      </c>
      <c r="N7" s="125">
        <f t="shared" si="6"/>
        <v>-0.18649835616438359</v>
      </c>
      <c r="O7" s="125">
        <f t="shared" si="7"/>
        <v>0.81350164383561641</v>
      </c>
      <c r="P7" s="86">
        <f t="shared" si="1"/>
        <v>-68071.900000000023</v>
      </c>
      <c r="R7" s="89">
        <f>_xlfn.XLOOKUP(A7,'תקציב  '!A:A,'תקציב  '!AK:AK)</f>
        <v>330000</v>
      </c>
      <c r="S7" s="125">
        <f t="shared" si="8"/>
        <v>-0.10021787878787891</v>
      </c>
      <c r="T7" s="125">
        <f t="shared" si="9"/>
        <v>0.89978212121212109</v>
      </c>
      <c r="U7" s="89">
        <f t="shared" si="10"/>
        <v>-33071.900000000023</v>
      </c>
      <c r="W7" s="86">
        <v>224717.2</v>
      </c>
      <c r="X7" s="7">
        <f t="shared" si="2"/>
        <v>72210.899999999965</v>
      </c>
      <c r="Y7" s="101">
        <f t="shared" si="3"/>
        <v>0.32134122354675099</v>
      </c>
    </row>
    <row r="8" spans="1:25" hidden="1" outlineLevel="1" x14ac:dyDescent="0.2">
      <c r="A8" s="134">
        <v>8</v>
      </c>
      <c r="B8" s="142" t="s">
        <v>113</v>
      </c>
      <c r="C8" s="86" t="s">
        <v>5</v>
      </c>
      <c r="D8" s="142" t="s">
        <v>5</v>
      </c>
      <c r="E8" s="86" t="s">
        <v>40</v>
      </c>
      <c r="F8" s="86">
        <f>VLOOKUP(B8,'2024'!$A:$O,10,0)</f>
        <v>65554.729999999981</v>
      </c>
      <c r="G8" s="86">
        <f>VLOOKUP($B8,'2025'!$A:$O,10,0)</f>
        <v>89206.99</v>
      </c>
      <c r="H8" s="86">
        <v>54681.263000000006</v>
      </c>
      <c r="I8" s="125">
        <f t="shared" si="4"/>
        <v>3.3195135930735496E-2</v>
      </c>
      <c r="J8" s="125">
        <f t="shared" si="5"/>
        <v>-0.38702939085827237</v>
      </c>
      <c r="K8" s="86">
        <f t="shared" si="0"/>
        <v>-34525.726999999999</v>
      </c>
      <c r="M8" s="86">
        <f>VLOOKUP(C8,'תקציב  '!$B:$S,12,0)*1</f>
        <v>95396.825396825385</v>
      </c>
      <c r="N8" s="125">
        <f t="shared" si="6"/>
        <v>-0.42680206838602319</v>
      </c>
      <c r="O8" s="125">
        <f t="shared" si="7"/>
        <v>0.57319793161397681</v>
      </c>
      <c r="P8" s="86">
        <f t="shared" si="1"/>
        <v>-40715.562396825379</v>
      </c>
      <c r="R8" s="89">
        <f>_xlfn.XLOOKUP(A8,'תקציב  '!A:A,'תקציב  '!AK:AK)</f>
        <v>100000</v>
      </c>
      <c r="S8" s="125">
        <f t="shared" si="8"/>
        <v>-0.45318736999999998</v>
      </c>
      <c r="T8" s="125">
        <f t="shared" si="9"/>
        <v>0.54681263000000002</v>
      </c>
      <c r="U8" s="89">
        <f t="shared" si="10"/>
        <v>-45318.736999999994</v>
      </c>
      <c r="W8" s="86">
        <v>49516.012000000002</v>
      </c>
      <c r="X8" s="7">
        <f t="shared" si="2"/>
        <v>5165.2510000000038</v>
      </c>
      <c r="Y8" s="101">
        <f t="shared" si="3"/>
        <v>0.10431476185925481</v>
      </c>
    </row>
    <row r="9" spans="1:25" hidden="1" outlineLevel="1" x14ac:dyDescent="0.2">
      <c r="A9" s="134">
        <v>6</v>
      </c>
      <c r="B9" s="142" t="s">
        <v>121</v>
      </c>
      <c r="C9" s="86" t="s">
        <v>4</v>
      </c>
      <c r="D9" s="142" t="s">
        <v>4</v>
      </c>
      <c r="E9" s="86" t="s">
        <v>40</v>
      </c>
      <c r="F9" s="86">
        <f>VLOOKUP(B9,'2024'!$A:$O,10,0)</f>
        <v>65856.51999999999</v>
      </c>
      <c r="G9" s="86">
        <f>VLOOKUP($B9,'2025'!$A:$O,10,0)</f>
        <v>69988.58</v>
      </c>
      <c r="H9" s="86">
        <v>60353.17</v>
      </c>
      <c r="I9" s="125">
        <f t="shared" si="4"/>
        <v>3.6638357859451548E-2</v>
      </c>
      <c r="J9" s="125">
        <f t="shared" si="5"/>
        <v>-0.13767117435444476</v>
      </c>
      <c r="K9" s="86">
        <f t="shared" si="0"/>
        <v>-9635.4100000000035</v>
      </c>
      <c r="M9" s="86">
        <f>VLOOKUP(C9,'תקציב  '!$B:$S,12,0)*1</f>
        <v>166575.39682539681</v>
      </c>
      <c r="N9" s="125">
        <f t="shared" si="6"/>
        <v>-0.63768256807299228</v>
      </c>
      <c r="O9" s="125">
        <f t="shared" si="7"/>
        <v>0.36231743192700766</v>
      </c>
      <c r="P9" s="86">
        <f t="shared" si="1"/>
        <v>-106222.22682539681</v>
      </c>
      <c r="R9" s="89">
        <f>_xlfn.XLOOKUP(A9,'תקציב  '!A:A,'תקציב  '!AK:AK)</f>
        <v>100000</v>
      </c>
      <c r="S9" s="125">
        <f t="shared" si="8"/>
        <v>-0.3964683</v>
      </c>
      <c r="T9" s="125">
        <f t="shared" si="9"/>
        <v>0.6035317</v>
      </c>
      <c r="U9" s="89">
        <f t="shared" si="10"/>
        <v>-39646.83</v>
      </c>
      <c r="W9" s="86">
        <v>50664.95</v>
      </c>
      <c r="X9" s="7">
        <f t="shared" si="2"/>
        <v>9688.2200000000012</v>
      </c>
      <c r="Y9" s="101">
        <f t="shared" si="3"/>
        <v>0.19122134730222773</v>
      </c>
    </row>
    <row r="10" spans="1:25" hidden="1" outlineLevel="1" x14ac:dyDescent="0.2">
      <c r="A10" s="135">
        <v>10</v>
      </c>
      <c r="B10" s="132" t="s">
        <v>120</v>
      </c>
      <c r="C10" s="86" t="s">
        <v>6</v>
      </c>
      <c r="D10" s="132" t="s">
        <v>6</v>
      </c>
      <c r="E10" s="86" t="s">
        <v>40</v>
      </c>
      <c r="F10" s="86">
        <f>VLOOKUP(B10,'2024'!$A:$O,10,0)</f>
        <v>10468.760000000002</v>
      </c>
      <c r="G10" s="86">
        <f>VLOOKUP($B10,'2025'!$A:$O,10,0)</f>
        <v>17490.719999999998</v>
      </c>
      <c r="H10" s="86">
        <v>8755.86</v>
      </c>
      <c r="I10" s="125">
        <f t="shared" si="4"/>
        <v>5.3153849590213314E-3</v>
      </c>
      <c r="J10" s="125">
        <f t="shared" si="5"/>
        <v>-0.49939968165976001</v>
      </c>
      <c r="K10" s="86">
        <f t="shared" si="0"/>
        <v>-8734.8599999999969</v>
      </c>
      <c r="M10" s="86">
        <f>VLOOKUP(C10,'תקציב  '!$B:$S,12,0)*1</f>
        <v>14325.396825396825</v>
      </c>
      <c r="N10" s="125">
        <f t="shared" si="6"/>
        <v>-0.38878761218836555</v>
      </c>
      <c r="O10" s="125">
        <f t="shared" si="7"/>
        <v>0.61121238781163445</v>
      </c>
      <c r="P10" s="86">
        <f t="shared" si="1"/>
        <v>-5569.5368253968245</v>
      </c>
      <c r="R10" s="89">
        <f>_xlfn.XLOOKUP(A10,'תקציב  '!A:A,'תקציב  '!AK:AK)</f>
        <v>15000</v>
      </c>
      <c r="S10" s="125">
        <f t="shared" si="8"/>
        <v>-0.41627599999999998</v>
      </c>
      <c r="T10" s="125">
        <f t="shared" si="9"/>
        <v>0.58372400000000002</v>
      </c>
      <c r="U10" s="89">
        <f t="shared" si="10"/>
        <v>-6244.1399999999994</v>
      </c>
      <c r="W10" s="86">
        <v>8922.67</v>
      </c>
      <c r="X10" s="7">
        <f t="shared" si="2"/>
        <v>-166.80999999999949</v>
      </c>
      <c r="Y10" s="101">
        <f t="shared" si="3"/>
        <v>-1.8695076697894164E-2</v>
      </c>
    </row>
    <row r="11" spans="1:25" hidden="1" outlineLevel="1" x14ac:dyDescent="0.2">
      <c r="A11" s="134">
        <v>11</v>
      </c>
      <c r="B11" s="142" t="s">
        <v>117</v>
      </c>
      <c r="C11" s="86" t="s">
        <v>66</v>
      </c>
      <c r="D11" s="142" t="s">
        <v>66</v>
      </c>
      <c r="E11" s="86" t="s">
        <v>40</v>
      </c>
      <c r="F11" s="86">
        <f>VLOOKUP(B11,'2024'!$A:$O,10,0)</f>
        <v>3066.38</v>
      </c>
      <c r="G11" s="86">
        <f>VLOOKUP($B11,'2025'!$A:$O,10,0)</f>
        <v>4228.8700000000008</v>
      </c>
      <c r="H11" s="86">
        <v>5091.7</v>
      </c>
      <c r="I11" s="125">
        <f t="shared" si="4"/>
        <v>3.0909979825909633E-3</v>
      </c>
      <c r="J11" s="125">
        <f t="shared" si="5"/>
        <v>0.20403322873486274</v>
      </c>
      <c r="K11" s="86">
        <f t="shared" si="0"/>
        <v>862.82999999999902</v>
      </c>
      <c r="M11" s="86">
        <f>VLOOKUP(C11,'תקציב  '!$B:$S,12,0)*1</f>
        <v>8539.6825396825388</v>
      </c>
      <c r="N11" s="125">
        <f t="shared" si="6"/>
        <v>-0.4037600371747212</v>
      </c>
      <c r="O11" s="125">
        <f t="shared" si="7"/>
        <v>0.5962399628252788</v>
      </c>
      <c r="P11" s="86">
        <f t="shared" si="1"/>
        <v>-3447.982539682539</v>
      </c>
      <c r="R11" s="89">
        <f>_xlfn.XLOOKUP(A11,'תקציב  '!A:A,'תקציב  '!AK:AK)</f>
        <v>10000</v>
      </c>
      <c r="S11" s="125">
        <f t="shared" si="8"/>
        <v>-0.49082999999999999</v>
      </c>
      <c r="T11" s="125">
        <f t="shared" si="9"/>
        <v>0.50917000000000001</v>
      </c>
      <c r="U11" s="89">
        <f t="shared" si="10"/>
        <v>-4908.3</v>
      </c>
      <c r="W11" s="86">
        <v>5091.7</v>
      </c>
      <c r="X11" s="7">
        <f t="shared" si="2"/>
        <v>0</v>
      </c>
      <c r="Y11" s="101">
        <f t="shared" si="3"/>
        <v>0</v>
      </c>
    </row>
    <row r="12" spans="1:25" hidden="1" outlineLevel="1" x14ac:dyDescent="0.2">
      <c r="A12" s="134">
        <v>14</v>
      </c>
      <c r="B12" s="142" t="s">
        <v>116</v>
      </c>
      <c r="C12" s="86" t="s">
        <v>8</v>
      </c>
      <c r="D12" s="142" t="s">
        <v>8</v>
      </c>
      <c r="E12" s="86" t="s">
        <v>40</v>
      </c>
      <c r="F12" s="86">
        <f>VLOOKUP(B12,'2024'!$A:$O,10,0)</f>
        <v>850.4</v>
      </c>
      <c r="G12" s="86">
        <f>VLOOKUP($B12,'2025'!$A:$O,10,0)</f>
        <v>0</v>
      </c>
      <c r="H12" s="86">
        <v>0</v>
      </c>
      <c r="I12" s="125">
        <f t="shared" si="4"/>
        <v>0</v>
      </c>
      <c r="J12" s="125" t="str">
        <f t="shared" si="5"/>
        <v/>
      </c>
      <c r="K12" s="86">
        <f t="shared" si="0"/>
        <v>0</v>
      </c>
      <c r="M12" s="86">
        <f>VLOOKUP(C12,'תקציב  '!$B:$S,12,0)*1</f>
        <v>0</v>
      </c>
      <c r="N12" s="125" t="str">
        <f t="shared" si="6"/>
        <v/>
      </c>
      <c r="O12" s="125" t="str">
        <f t="shared" si="7"/>
        <v>-</v>
      </c>
      <c r="P12" s="86">
        <f t="shared" si="1"/>
        <v>0</v>
      </c>
      <c r="R12" s="89">
        <f>_xlfn.XLOOKUP(A12,'תקציב  '!A:A,'תקציב  '!AK:AK)</f>
        <v>5000</v>
      </c>
      <c r="S12" s="125">
        <f t="shared" si="8"/>
        <v>-1</v>
      </c>
      <c r="T12" s="125">
        <f t="shared" si="9"/>
        <v>0</v>
      </c>
      <c r="U12" s="89">
        <f t="shared" si="10"/>
        <v>-5000</v>
      </c>
      <c r="W12" s="86">
        <v>0</v>
      </c>
      <c r="X12" s="7">
        <f t="shared" si="2"/>
        <v>0</v>
      </c>
      <c r="Y12" s="101" t="str">
        <f t="shared" si="3"/>
        <v>-</v>
      </c>
    </row>
    <row r="13" spans="1:25" hidden="1" outlineLevel="1" x14ac:dyDescent="0.2">
      <c r="A13" s="134">
        <v>15</v>
      </c>
      <c r="B13" s="142" t="s">
        <v>119</v>
      </c>
      <c r="C13" s="86" t="s">
        <v>151</v>
      </c>
      <c r="D13" s="142" t="s">
        <v>151</v>
      </c>
      <c r="E13" s="86" t="s">
        <v>40</v>
      </c>
      <c r="F13" s="86">
        <f>VLOOKUP(B13,'2024'!$A:$O,10,0)</f>
        <v>0</v>
      </c>
      <c r="G13" s="86">
        <f>VLOOKUP($B13,'2025'!$A:$O,10,0)</f>
        <v>0</v>
      </c>
      <c r="H13" s="86">
        <v>0</v>
      </c>
      <c r="I13" s="125">
        <f t="shared" si="4"/>
        <v>0</v>
      </c>
      <c r="J13" s="125" t="str">
        <f t="shared" si="5"/>
        <v/>
      </c>
      <c r="K13" s="86">
        <f t="shared" si="0"/>
        <v>0</v>
      </c>
      <c r="M13" s="86">
        <f>VLOOKUP(C13,'תקציב  '!$B:$S,12,0)*1</f>
        <v>0</v>
      </c>
      <c r="N13" s="125" t="str">
        <f t="shared" si="6"/>
        <v/>
      </c>
      <c r="O13" s="125" t="str">
        <f t="shared" si="7"/>
        <v>-</v>
      </c>
      <c r="P13" s="86">
        <f t="shared" si="1"/>
        <v>0</v>
      </c>
      <c r="R13" s="89">
        <f>_xlfn.XLOOKUP(A13,'תקציב  '!A:A,'תקציב  '!AK:AK)</f>
        <v>5000</v>
      </c>
      <c r="S13" s="125">
        <f t="shared" si="8"/>
        <v>-1</v>
      </c>
      <c r="T13" s="125">
        <f t="shared" si="9"/>
        <v>0</v>
      </c>
      <c r="U13" s="89">
        <f t="shared" si="10"/>
        <v>-5000</v>
      </c>
      <c r="W13" s="86">
        <v>0</v>
      </c>
      <c r="X13" s="7">
        <f t="shared" si="2"/>
        <v>0</v>
      </c>
      <c r="Y13" s="101" t="str">
        <f t="shared" si="3"/>
        <v>-</v>
      </c>
    </row>
    <row r="14" spans="1:25" hidden="1" outlineLevel="1" x14ac:dyDescent="0.2">
      <c r="A14" s="134">
        <v>13</v>
      </c>
      <c r="B14" s="142" t="s">
        <v>114</v>
      </c>
      <c r="C14" s="86" t="s">
        <v>45</v>
      </c>
      <c r="D14" s="142" t="s">
        <v>45</v>
      </c>
      <c r="E14" s="86" t="s">
        <v>40</v>
      </c>
      <c r="F14" s="86">
        <f>VLOOKUP(B14,'2024'!$A:$O,10,0)</f>
        <v>0</v>
      </c>
      <c r="G14" s="86">
        <f>VLOOKUP($B14,'2025'!$A:$O,10,0)</f>
        <v>0</v>
      </c>
      <c r="H14" s="86">
        <v>6726.56</v>
      </c>
      <c r="I14" s="125">
        <f t="shared" si="4"/>
        <v>4.0834659131089952E-3</v>
      </c>
      <c r="J14" s="125" t="str">
        <f t="shared" si="5"/>
        <v/>
      </c>
      <c r="K14" s="86">
        <f t="shared" si="0"/>
        <v>6726.56</v>
      </c>
      <c r="M14" s="86">
        <f>VLOOKUP(C14,'תקציב  '!$B:$S,12,0)*1</f>
        <v>50000</v>
      </c>
      <c r="N14" s="125">
        <f t="shared" si="6"/>
        <v>-0.86546879999999993</v>
      </c>
      <c r="O14" s="125">
        <f t="shared" si="7"/>
        <v>0.13453120000000002</v>
      </c>
      <c r="P14" s="86">
        <f t="shared" si="1"/>
        <v>-43273.440000000002</v>
      </c>
      <c r="R14" s="89">
        <f>_xlfn.XLOOKUP(A14,'תקציב  '!A:A,'תקציב  '!AK:AK)</f>
        <v>5000</v>
      </c>
      <c r="S14" s="125">
        <f t="shared" si="8"/>
        <v>0.34531200000000006</v>
      </c>
      <c r="T14" s="125">
        <f t="shared" si="9"/>
        <v>1.3453120000000001</v>
      </c>
      <c r="U14" s="89">
        <f t="shared" si="10"/>
        <v>1726.5600000000004</v>
      </c>
      <c r="W14" s="86">
        <v>3512.91</v>
      </c>
      <c r="X14" s="7">
        <f t="shared" si="2"/>
        <v>3213.6500000000005</v>
      </c>
      <c r="Y14" s="101">
        <f t="shared" si="3"/>
        <v>0.9148113672140763</v>
      </c>
    </row>
    <row r="15" spans="1:25" hidden="1" outlineLevel="1" x14ac:dyDescent="0.2">
      <c r="A15" s="134">
        <v>9</v>
      </c>
      <c r="B15" s="142" t="s">
        <v>118</v>
      </c>
      <c r="C15" s="86" t="s">
        <v>73</v>
      </c>
      <c r="D15" s="142" t="s">
        <v>73</v>
      </c>
      <c r="E15" s="86" t="s">
        <v>40</v>
      </c>
      <c r="F15" s="86">
        <f>VLOOKUP(B15,'2024'!$A:$O,10,0)</f>
        <v>5902.85</v>
      </c>
      <c r="G15" s="86">
        <f>VLOOKUP($B15,'2025'!$A:$O,10,0)</f>
        <v>9679.4700000000012</v>
      </c>
      <c r="H15" s="86">
        <v>9421.74</v>
      </c>
      <c r="I15" s="125">
        <f t="shared" si="4"/>
        <v>5.7196180710757868E-3</v>
      </c>
      <c r="J15" s="125">
        <f t="shared" si="5"/>
        <v>-2.6626457853580976E-2</v>
      </c>
      <c r="K15" s="86">
        <f t="shared" si="0"/>
        <v>-257.73000000000138</v>
      </c>
      <c r="M15" s="86">
        <f>VLOOKUP(C15,'תקציב  '!$B:$S,12,0)*1</f>
        <v>15079.36507936508</v>
      </c>
      <c r="N15" s="125">
        <f t="shared" si="6"/>
        <v>-0.37518987368421053</v>
      </c>
      <c r="O15" s="125">
        <f t="shared" si="7"/>
        <v>0.62481012631578947</v>
      </c>
      <c r="P15" s="86">
        <f t="shared" si="1"/>
        <v>-5657.6250793650797</v>
      </c>
      <c r="R15" s="89">
        <f>_xlfn.XLOOKUP(A15,'תקציב  '!A:A,'תקציב  '!AK:AK)</f>
        <v>25000</v>
      </c>
      <c r="S15" s="125">
        <f t="shared" si="8"/>
        <v>-0.62313039999999997</v>
      </c>
      <c r="T15" s="125">
        <f t="shared" si="9"/>
        <v>0.37686959999999997</v>
      </c>
      <c r="U15" s="89">
        <f t="shared" si="10"/>
        <v>-15578.26</v>
      </c>
      <c r="W15" s="86">
        <v>9421.74</v>
      </c>
      <c r="X15" s="7">
        <f t="shared" si="2"/>
        <v>0</v>
      </c>
      <c r="Y15" s="101">
        <f t="shared" si="3"/>
        <v>0</v>
      </c>
    </row>
    <row r="16" spans="1:25" ht="15" collapsed="1" x14ac:dyDescent="0.25">
      <c r="A16" s="136"/>
      <c r="B16" s="150"/>
      <c r="C16" s="152" t="s">
        <v>221</v>
      </c>
      <c r="D16" s="150" t="s">
        <v>221</v>
      </c>
      <c r="E16" s="152"/>
      <c r="F16" s="152">
        <f>SUM(F3:F15)</f>
        <v>1346091.953</v>
      </c>
      <c r="G16" s="152">
        <f>SUM(G3:G15)</f>
        <v>1350498.61</v>
      </c>
      <c r="H16" s="152">
        <f>SUM(H3:H15)</f>
        <v>1299141.2720000003</v>
      </c>
      <c r="I16" s="153">
        <f t="shared" si="4"/>
        <v>0.78866450318217085</v>
      </c>
      <c r="J16" s="153">
        <f t="shared" ref="J16" si="11">H16/G16-1</f>
        <v>-3.802842714514143E-2</v>
      </c>
      <c r="K16" s="152">
        <f>SUM(K3:K15)</f>
        <v>-51357.337999999967</v>
      </c>
      <c r="M16" s="152">
        <f>SUM(M3:M15)</f>
        <v>1670472.222222222</v>
      </c>
      <c r="N16" s="153">
        <f>H16/M16-1</f>
        <v>-0.22229100567038562</v>
      </c>
      <c r="O16" s="153">
        <f t="shared" si="7"/>
        <v>0.77770899432961438</v>
      </c>
      <c r="P16" s="152">
        <f>SUM(P3:P15)</f>
        <v>-371330.95022222208</v>
      </c>
      <c r="R16" s="152">
        <f>SUM(R3:R15)</f>
        <v>1645000</v>
      </c>
      <c r="S16" s="153">
        <f t="shared" si="8"/>
        <v>-0.21024846686930065</v>
      </c>
      <c r="T16" s="153">
        <f t="shared" si="9"/>
        <v>0.78975153313069935</v>
      </c>
      <c r="U16" s="152">
        <f t="shared" si="10"/>
        <v>-345858.72799999965</v>
      </c>
      <c r="V16" s="143"/>
      <c r="W16" s="152">
        <v>1118222.9809999999</v>
      </c>
      <c r="X16" s="144">
        <f t="shared" si="2"/>
        <v>180918.29100000043</v>
      </c>
      <c r="Y16" s="145">
        <f t="shared" si="3"/>
        <v>0.1617908897188014</v>
      </c>
    </row>
    <row r="17" spans="1:25" hidden="1" outlineLevel="1" x14ac:dyDescent="0.2">
      <c r="A17" s="134">
        <v>2</v>
      </c>
      <c r="B17" s="142" t="s">
        <v>111</v>
      </c>
      <c r="C17" s="86" t="s">
        <v>7</v>
      </c>
      <c r="D17" s="142" t="s">
        <v>7</v>
      </c>
      <c r="E17" s="86" t="s">
        <v>40</v>
      </c>
      <c r="F17" s="86">
        <f>VLOOKUP(B17,'2024'!$A:$O,10,0)</f>
        <v>56193.190000000104</v>
      </c>
      <c r="G17" s="86">
        <f>VLOOKUP($B17,'2025'!$A:$O,10,0)</f>
        <v>143120.64999999831</v>
      </c>
      <c r="H17" s="86">
        <v>347579.04</v>
      </c>
      <c r="I17" s="125">
        <f t="shared" si="4"/>
        <v>0.21100341957124413</v>
      </c>
      <c r="J17" s="125">
        <f t="shared" si="5"/>
        <v>1.428573654465684</v>
      </c>
      <c r="K17" s="86">
        <f>H17-G17</f>
        <v>204458.39000000167</v>
      </c>
      <c r="M17" s="86">
        <f>VLOOKUP(C17,'תקציב  '!$B:$S,12,0)*1</f>
        <v>1012800</v>
      </c>
      <c r="N17" s="125">
        <f t="shared" si="6"/>
        <v>-0.65681374407582949</v>
      </c>
      <c r="O17" s="125">
        <f t="shared" si="7"/>
        <v>0.34318625592417057</v>
      </c>
      <c r="P17" s="86">
        <f>H17-M17</f>
        <v>-665220.96</v>
      </c>
      <c r="R17" s="89">
        <f>_xlfn.XLOOKUP(A17,'תקציב  '!A:A,'תקציב  '!AK:AK)</f>
        <v>977100.84745762718</v>
      </c>
      <c r="S17" s="125">
        <f t="shared" si="8"/>
        <v>-0.64427516268726492</v>
      </c>
      <c r="T17" s="125">
        <f t="shared" si="9"/>
        <v>0.35572483731273508</v>
      </c>
      <c r="U17" s="89">
        <f t="shared" si="10"/>
        <v>-629521.80745762726</v>
      </c>
      <c r="W17" s="86">
        <v>327556.57</v>
      </c>
      <c r="X17" s="7">
        <f t="shared" si="2"/>
        <v>20022.469999999972</v>
      </c>
      <c r="Y17" s="101">
        <f t="shared" si="3"/>
        <v>6.1126754380167014E-2</v>
      </c>
    </row>
    <row r="18" spans="1:25" hidden="1" outlineLevel="1" x14ac:dyDescent="0.2">
      <c r="A18" s="134">
        <v>12</v>
      </c>
      <c r="B18" s="142" t="s">
        <v>110</v>
      </c>
      <c r="C18" s="86" t="s">
        <v>65</v>
      </c>
      <c r="D18" s="142" t="s">
        <v>65</v>
      </c>
      <c r="E18" s="86" t="s">
        <v>40</v>
      </c>
      <c r="F18" s="86">
        <f>VLOOKUP(B18,'2024'!$A:$O,10,0)</f>
        <v>3358.5900000000006</v>
      </c>
      <c r="G18" s="86">
        <f>VLOOKUP($B18,'2025'!$A:$O,10,0)</f>
        <v>1798.35</v>
      </c>
      <c r="H18" s="86">
        <v>547.02</v>
      </c>
      <c r="I18" s="125">
        <f t="shared" si="4"/>
        <v>3.3207724658501262E-4</v>
      </c>
      <c r="J18" s="125">
        <f t="shared" si="5"/>
        <v>-0.69582116940528815</v>
      </c>
      <c r="K18" s="86">
        <f>H18-G18</f>
        <v>-1251.33</v>
      </c>
      <c r="M18" s="86">
        <f>VLOOKUP(C18,'תקציב  '!$B:$S,12,0)*1</f>
        <v>2536.9283333333324</v>
      </c>
      <c r="N18" s="125">
        <f t="shared" si="6"/>
        <v>-0.7843770386366189</v>
      </c>
      <c r="O18" s="125">
        <f t="shared" si="7"/>
        <v>0.2156229613633811</v>
      </c>
      <c r="P18" s="86">
        <f>H18-M18</f>
        <v>-1989.9083333333324</v>
      </c>
      <c r="R18" s="89">
        <f>_xlfn.XLOOKUP(A18,'תקציב  '!A:A,'תקציב  '!AK:AK)</f>
        <v>5000</v>
      </c>
      <c r="S18" s="125">
        <f t="shared" si="8"/>
        <v>-0.89059599999999994</v>
      </c>
      <c r="T18" s="125">
        <f t="shared" si="9"/>
        <v>0.109404</v>
      </c>
      <c r="U18" s="89">
        <f t="shared" si="10"/>
        <v>-4452.9799999999996</v>
      </c>
      <c r="W18" s="86">
        <v>547.02</v>
      </c>
      <c r="X18" s="7">
        <f t="shared" si="2"/>
        <v>0</v>
      </c>
      <c r="Y18" s="101">
        <f t="shared" si="3"/>
        <v>0</v>
      </c>
    </row>
    <row r="19" spans="1:25" ht="15" collapsed="1" x14ac:dyDescent="0.25">
      <c r="A19" s="135"/>
      <c r="B19" s="154"/>
      <c r="C19" s="152" t="s">
        <v>41</v>
      </c>
      <c r="D19" s="154" t="s">
        <v>41</v>
      </c>
      <c r="E19" s="152"/>
      <c r="F19" s="152">
        <f>F16+F17+F18</f>
        <v>1405643.7330000002</v>
      </c>
      <c r="G19" s="152">
        <f>G16+G17+G18</f>
        <v>1495417.6099999985</v>
      </c>
      <c r="H19" s="152">
        <f>H16+H17+H18</f>
        <v>1647267.3320000004</v>
      </c>
      <c r="I19" s="153">
        <f t="shared" si="4"/>
        <v>1</v>
      </c>
      <c r="J19" s="153">
        <f t="shared" ref="J19:J41" si="12">H19/G19-1</f>
        <v>0.10154335550455507</v>
      </c>
      <c r="K19" s="152">
        <f>K16+K17+K18</f>
        <v>151849.72200000173</v>
      </c>
      <c r="M19" s="152">
        <f>M16+M17+M18</f>
        <v>2685809.1505555552</v>
      </c>
      <c r="N19" s="153">
        <f>H19/M19-1</f>
        <v>-0.38667744442703023</v>
      </c>
      <c r="O19" s="153">
        <f t="shared" si="7"/>
        <v>0.61332255557296977</v>
      </c>
      <c r="P19" s="152">
        <f>P16+P17+P18</f>
        <v>-1038541.8185555554</v>
      </c>
      <c r="R19" s="152">
        <f>R16+R17+R18</f>
        <v>2627100.8474576273</v>
      </c>
      <c r="S19" s="153">
        <f t="shared" si="8"/>
        <v>-0.3729714131095726</v>
      </c>
      <c r="T19" s="153">
        <f t="shared" si="9"/>
        <v>0.6270285868904274</v>
      </c>
      <c r="U19" s="152">
        <f t="shared" si="10"/>
        <v>-979833.5154576269</v>
      </c>
      <c r="V19" s="143"/>
      <c r="W19" s="152">
        <v>1446326.571</v>
      </c>
      <c r="X19" s="144">
        <f t="shared" si="2"/>
        <v>200940.76100000041</v>
      </c>
      <c r="Y19" s="145">
        <f t="shared" si="3"/>
        <v>0.13893180491116097</v>
      </c>
    </row>
    <row r="20" spans="1:25" hidden="1" outlineLevel="1" x14ac:dyDescent="0.2">
      <c r="A20" s="135">
        <v>50</v>
      </c>
      <c r="B20" s="132" t="s">
        <v>92</v>
      </c>
      <c r="C20" s="86" t="s">
        <v>74</v>
      </c>
      <c r="D20" s="132" t="s">
        <v>47</v>
      </c>
      <c r="E20" s="86" t="s">
        <v>38</v>
      </c>
      <c r="F20" s="86">
        <f>VLOOKUP(B20,'2024'!$A:$O,10,0)</f>
        <v>258929.86</v>
      </c>
      <c r="G20" s="86">
        <f>VLOOKUP($B20,'2025'!$A:$O,10,0)</f>
        <v>247434.35</v>
      </c>
      <c r="H20" s="86">
        <v>198718.53000000003</v>
      </c>
      <c r="I20" s="125">
        <f t="shared" si="4"/>
        <v>0.12063526431907652</v>
      </c>
      <c r="J20" s="125">
        <f t="shared" si="5"/>
        <v>-0.19688381989000303</v>
      </c>
      <c r="K20" s="86">
        <f t="shared" ref="K20:K39" si="13">H20-G20</f>
        <v>-48715.819999999978</v>
      </c>
      <c r="M20" s="86">
        <f>VLOOKUP(C20,'תקציב  '!$B:$S,12,0)*1</f>
        <v>477395.46854999999</v>
      </c>
      <c r="N20" s="125">
        <f t="shared" si="6"/>
        <v>-0.58374441507882213</v>
      </c>
      <c r="O20" s="125">
        <f t="shared" si="7"/>
        <v>0.41625558492117787</v>
      </c>
      <c r="P20" s="86">
        <f t="shared" ref="P20:P39" si="14">H20-M20</f>
        <v>-278676.93854999996</v>
      </c>
      <c r="R20" s="89">
        <f>_xlfn.XLOOKUP(A20,'תקציב  '!A:A,'תקציב  '!AK:AK)</f>
        <v>327115.8</v>
      </c>
      <c r="S20" s="125">
        <f t="shared" si="8"/>
        <v>-0.39251320174690418</v>
      </c>
      <c r="T20" s="125">
        <f t="shared" si="9"/>
        <v>0.60748679825309582</v>
      </c>
      <c r="U20" s="89">
        <f t="shared" si="10"/>
        <v>-128397.26999999996</v>
      </c>
      <c r="W20" s="86">
        <v>183052.05</v>
      </c>
      <c r="X20" s="7">
        <f t="shared" si="2"/>
        <v>15666.48000000004</v>
      </c>
      <c r="Y20" s="101">
        <f t="shared" si="3"/>
        <v>8.5584837755163345E-2</v>
      </c>
    </row>
    <row r="21" spans="1:25" hidden="1" outlineLevel="1" x14ac:dyDescent="0.2">
      <c r="A21" s="135">
        <v>20</v>
      </c>
      <c r="B21" s="132" t="s">
        <v>93</v>
      </c>
      <c r="C21" s="86" t="s">
        <v>75</v>
      </c>
      <c r="D21" s="132" t="s">
        <v>13</v>
      </c>
      <c r="E21" s="86" t="s">
        <v>39</v>
      </c>
      <c r="F21" s="86">
        <f>VLOOKUP(B21,'2024'!$A:$O,10,0)</f>
        <v>159908.54</v>
      </c>
      <c r="G21" s="86">
        <f>VLOOKUP($B21,'2025'!$A:$O,10,0)</f>
        <v>0</v>
      </c>
      <c r="H21" s="86">
        <v>0</v>
      </c>
      <c r="I21" s="125">
        <f t="shared" si="4"/>
        <v>0</v>
      </c>
      <c r="J21" s="125" t="str">
        <f t="shared" si="5"/>
        <v/>
      </c>
      <c r="K21" s="86">
        <f t="shared" si="13"/>
        <v>0</v>
      </c>
      <c r="M21" s="86">
        <f>VLOOKUP(C21,'תקציב  '!$B:$S,12,0)*1</f>
        <v>0</v>
      </c>
      <c r="N21" s="125" t="str">
        <f t="shared" si="6"/>
        <v/>
      </c>
      <c r="O21" s="125" t="str">
        <f t="shared" si="7"/>
        <v>-</v>
      </c>
      <c r="P21" s="86">
        <f t="shared" si="14"/>
        <v>0</v>
      </c>
      <c r="R21" s="89">
        <f>_xlfn.XLOOKUP(A21,'תקציב  '!A:A,'תקציב  '!AK:AK)</f>
        <v>0</v>
      </c>
      <c r="S21" s="125" t="str">
        <f t="shared" si="8"/>
        <v>-</v>
      </c>
      <c r="T21" s="125" t="str">
        <f t="shared" si="9"/>
        <v>-</v>
      </c>
      <c r="U21" s="89">
        <f t="shared" si="10"/>
        <v>0</v>
      </c>
      <c r="W21" s="86">
        <v>0</v>
      </c>
      <c r="X21" s="7">
        <f t="shared" si="2"/>
        <v>0</v>
      </c>
      <c r="Y21" s="101" t="str">
        <f t="shared" si="3"/>
        <v>-</v>
      </c>
    </row>
    <row r="22" spans="1:25" hidden="1" outlineLevel="1" x14ac:dyDescent="0.2">
      <c r="A22" s="135">
        <v>21</v>
      </c>
      <c r="B22" s="132" t="s">
        <v>94</v>
      </c>
      <c r="C22" s="86" t="s">
        <v>80</v>
      </c>
      <c r="D22" s="132" t="s">
        <v>18</v>
      </c>
      <c r="E22" s="86" t="s">
        <v>19</v>
      </c>
      <c r="F22" s="86">
        <f>VLOOKUP(B22,'2024'!$A:$O,10,0)</f>
        <v>16422.810000000001</v>
      </c>
      <c r="G22" s="86">
        <f>VLOOKUP($B22,'2025'!$A:$O,10,0)</f>
        <v>10281.019999999999</v>
      </c>
      <c r="H22" s="86">
        <v>0</v>
      </c>
      <c r="I22" s="125">
        <f t="shared" si="4"/>
        <v>0</v>
      </c>
      <c r="J22" s="125">
        <f t="shared" si="5"/>
        <v>-1</v>
      </c>
      <c r="K22" s="86">
        <f t="shared" si="13"/>
        <v>-10281.019999999999</v>
      </c>
      <c r="M22" s="86">
        <f>VLOOKUP(C22,'תקציב  '!$B:$S,12,0)*1</f>
        <v>15000</v>
      </c>
      <c r="N22" s="125">
        <f t="shared" si="6"/>
        <v>-1</v>
      </c>
      <c r="O22" s="125">
        <f t="shared" si="7"/>
        <v>0</v>
      </c>
      <c r="P22" s="86">
        <f t="shared" si="14"/>
        <v>-15000</v>
      </c>
      <c r="R22" s="89">
        <f>_xlfn.XLOOKUP(A22,'תקציב  '!A:A,'תקציב  '!AK:AK)</f>
        <v>40000</v>
      </c>
      <c r="S22" s="125">
        <f t="shared" si="8"/>
        <v>-1</v>
      </c>
      <c r="T22" s="125">
        <f t="shared" si="9"/>
        <v>0</v>
      </c>
      <c r="U22" s="89">
        <f t="shared" si="10"/>
        <v>-40000</v>
      </c>
      <c r="W22" s="86">
        <v>0</v>
      </c>
      <c r="X22" s="7">
        <f t="shared" si="2"/>
        <v>0</v>
      </c>
      <c r="Y22" s="101" t="str">
        <f t="shared" si="3"/>
        <v>-</v>
      </c>
    </row>
    <row r="23" spans="1:25" hidden="1" outlineLevel="1" x14ac:dyDescent="0.2">
      <c r="A23" s="135">
        <v>22</v>
      </c>
      <c r="B23" s="132" t="s">
        <v>95</v>
      </c>
      <c r="C23" s="86" t="s">
        <v>82</v>
      </c>
      <c r="D23" s="132" t="s">
        <v>14</v>
      </c>
      <c r="E23" s="86" t="s">
        <v>15</v>
      </c>
      <c r="F23" s="86">
        <f>VLOOKUP(B23,'2024'!$A:$O,10,0)</f>
        <v>-4343.6899999999996</v>
      </c>
      <c r="G23" s="86">
        <f>VLOOKUP($B23,'2025'!$A:$O,10,0)</f>
        <v>0</v>
      </c>
      <c r="H23" s="86">
        <v>51223.23</v>
      </c>
      <c r="I23" s="125">
        <f t="shared" si="4"/>
        <v>3.1095881648917439E-2</v>
      </c>
      <c r="J23" s="125" t="str">
        <f t="shared" si="5"/>
        <v/>
      </c>
      <c r="K23" s="86">
        <f t="shared" si="13"/>
        <v>51223.23</v>
      </c>
      <c r="M23" s="86">
        <f>VLOOKUP(C23,'תקציב  '!$B:$S,12,0)*1</f>
        <v>85000</v>
      </c>
      <c r="N23" s="125">
        <f t="shared" si="6"/>
        <v>-0.39737376470588237</v>
      </c>
      <c r="O23" s="125">
        <f t="shared" si="7"/>
        <v>0.60262623529411763</v>
      </c>
      <c r="P23" s="86">
        <f t="shared" si="14"/>
        <v>-33776.769999999997</v>
      </c>
      <c r="R23" s="89">
        <f>_xlfn.XLOOKUP(A23,'תקציב  '!A:A,'תקציב  '!AK:AK)</f>
        <v>75000</v>
      </c>
      <c r="S23" s="125">
        <f t="shared" si="8"/>
        <v>-0.31702359999999996</v>
      </c>
      <c r="T23" s="125">
        <f t="shared" si="9"/>
        <v>0.68297640000000004</v>
      </c>
      <c r="U23" s="89">
        <f t="shared" si="10"/>
        <v>-23776.769999999997</v>
      </c>
      <c r="W23" s="86">
        <v>51223.23</v>
      </c>
      <c r="X23" s="7">
        <f t="shared" si="2"/>
        <v>0</v>
      </c>
      <c r="Y23" s="101">
        <f t="shared" si="3"/>
        <v>0</v>
      </c>
    </row>
    <row r="24" spans="1:25" hidden="1" outlineLevel="1" x14ac:dyDescent="0.2">
      <c r="A24" s="135">
        <v>23</v>
      </c>
      <c r="B24" s="132" t="s">
        <v>96</v>
      </c>
      <c r="C24" s="86" t="s">
        <v>78</v>
      </c>
      <c r="D24" s="132" t="s">
        <v>24</v>
      </c>
      <c r="E24" s="86" t="s">
        <v>25</v>
      </c>
      <c r="F24" s="86">
        <f>VLOOKUP(B24,'2024'!$A:$O,10,0)</f>
        <v>11239.03</v>
      </c>
      <c r="G24" s="86">
        <f>VLOOKUP($B24,'2025'!$A:$O,10,0)</f>
        <v>0</v>
      </c>
      <c r="H24" s="86">
        <v>15160.58</v>
      </c>
      <c r="I24" s="125">
        <f t="shared" si="4"/>
        <v>9.2034727487693511E-3</v>
      </c>
      <c r="J24" s="125" t="str">
        <f t="shared" si="5"/>
        <v/>
      </c>
      <c r="K24" s="86">
        <f t="shared" si="13"/>
        <v>15160.58</v>
      </c>
      <c r="M24" s="86">
        <f>VLOOKUP(C24,'תקציב  '!$B:$S,12,0)*1</f>
        <v>17000</v>
      </c>
      <c r="N24" s="125">
        <f t="shared" si="6"/>
        <v>-0.10820117647058825</v>
      </c>
      <c r="O24" s="125">
        <f t="shared" si="7"/>
        <v>0.89179882352941175</v>
      </c>
      <c r="P24" s="86">
        <f t="shared" si="14"/>
        <v>-1839.42</v>
      </c>
      <c r="R24" s="89">
        <f>_xlfn.XLOOKUP(A24,'תקציב  '!A:A,'תקציב  '!AK:AK)</f>
        <v>15000</v>
      </c>
      <c r="S24" s="125">
        <f t="shared" si="8"/>
        <v>1.0705333333333344E-2</v>
      </c>
      <c r="T24" s="125">
        <f t="shared" si="9"/>
        <v>1.0107053333333333</v>
      </c>
      <c r="U24" s="89">
        <f t="shared" si="10"/>
        <v>160.57999999999993</v>
      </c>
      <c r="W24" s="86">
        <v>15160.58</v>
      </c>
      <c r="X24" s="7">
        <f t="shared" si="2"/>
        <v>0</v>
      </c>
      <c r="Y24" s="101">
        <f t="shared" si="3"/>
        <v>0</v>
      </c>
    </row>
    <row r="25" spans="1:25" hidden="1" outlineLevel="1" x14ac:dyDescent="0.2">
      <c r="A25" s="135">
        <v>24</v>
      </c>
      <c r="B25" s="132" t="s">
        <v>97</v>
      </c>
      <c r="C25" s="86" t="s">
        <v>79</v>
      </c>
      <c r="D25" s="132" t="s">
        <v>27</v>
      </c>
      <c r="E25" s="86" t="s">
        <v>46</v>
      </c>
      <c r="F25" s="86">
        <f>VLOOKUP(B25,'2024'!$A:$O,10,0)</f>
        <v>0</v>
      </c>
      <c r="G25" s="86">
        <f>VLOOKUP($B25,'2025'!$A:$O,10,0)</f>
        <v>0</v>
      </c>
      <c r="H25" s="86">
        <v>0</v>
      </c>
      <c r="I25" s="125">
        <f t="shared" si="4"/>
        <v>0</v>
      </c>
      <c r="J25" s="125" t="str">
        <f t="shared" si="5"/>
        <v/>
      </c>
      <c r="K25" s="86">
        <f t="shared" si="13"/>
        <v>0</v>
      </c>
      <c r="M25" s="86">
        <f>VLOOKUP(C25,'תקציב  '!$B:$S,12,0)*1</f>
        <v>5000</v>
      </c>
      <c r="N25" s="125">
        <f t="shared" si="6"/>
        <v>-1</v>
      </c>
      <c r="O25" s="125">
        <f t="shared" si="7"/>
        <v>0</v>
      </c>
      <c r="P25" s="86">
        <f t="shared" si="14"/>
        <v>-5000</v>
      </c>
      <c r="R25" s="89">
        <f>_xlfn.XLOOKUP(A25,'תקציב  '!A:A,'תקציב  '!AK:AK)</f>
        <v>0</v>
      </c>
      <c r="S25" s="125" t="str">
        <f t="shared" si="8"/>
        <v>-</v>
      </c>
      <c r="T25" s="125" t="str">
        <f t="shared" si="9"/>
        <v>-</v>
      </c>
      <c r="U25" s="89">
        <f t="shared" si="10"/>
        <v>0</v>
      </c>
      <c r="W25" s="86">
        <v>0</v>
      </c>
      <c r="X25" s="7">
        <f t="shared" si="2"/>
        <v>0</v>
      </c>
      <c r="Y25" s="101" t="str">
        <f t="shared" si="3"/>
        <v>-</v>
      </c>
    </row>
    <row r="26" spans="1:25" ht="13.5" hidden="1" customHeight="1" outlineLevel="1" x14ac:dyDescent="0.2">
      <c r="A26" s="135">
        <v>25</v>
      </c>
      <c r="B26" s="132" t="s">
        <v>98</v>
      </c>
      <c r="C26" s="86" t="s">
        <v>87</v>
      </c>
      <c r="D26" s="132" t="s">
        <v>20</v>
      </c>
      <c r="E26" s="86" t="s">
        <v>21</v>
      </c>
      <c r="F26" s="86">
        <f>VLOOKUP(B26,'2024'!$A:$O,10,0)</f>
        <v>0</v>
      </c>
      <c r="G26" s="86">
        <f>VLOOKUP($B26,'2025'!$A:$O,10,0)</f>
        <v>0</v>
      </c>
      <c r="H26" s="86">
        <v>0</v>
      </c>
      <c r="I26" s="125">
        <f t="shared" si="4"/>
        <v>0</v>
      </c>
      <c r="J26" s="125" t="str">
        <f t="shared" si="5"/>
        <v/>
      </c>
      <c r="K26" s="86">
        <f t="shared" si="13"/>
        <v>0</v>
      </c>
      <c r="M26" s="86">
        <f>VLOOKUP(C26,'תקציב  '!$B:$S,12,0)*1</f>
        <v>0</v>
      </c>
      <c r="N26" s="125" t="str">
        <f t="shared" si="6"/>
        <v/>
      </c>
      <c r="O26" s="125" t="str">
        <f t="shared" si="7"/>
        <v>-</v>
      </c>
      <c r="P26" s="86">
        <f t="shared" si="14"/>
        <v>0</v>
      </c>
      <c r="R26" s="89">
        <f>_xlfn.XLOOKUP(A26,'תקציב  '!A:A,'תקציב  '!AK:AK)</f>
        <v>70000</v>
      </c>
      <c r="S26" s="125">
        <f t="shared" si="8"/>
        <v>-1</v>
      </c>
      <c r="T26" s="125">
        <f t="shared" si="9"/>
        <v>0</v>
      </c>
      <c r="U26" s="89">
        <f t="shared" si="10"/>
        <v>-70000</v>
      </c>
      <c r="W26" s="86">
        <v>0</v>
      </c>
      <c r="X26" s="7">
        <f t="shared" si="2"/>
        <v>0</v>
      </c>
      <c r="Y26" s="101" t="str">
        <f t="shared" si="3"/>
        <v>-</v>
      </c>
    </row>
    <row r="27" spans="1:25" hidden="1" outlineLevel="1" x14ac:dyDescent="0.2">
      <c r="A27" s="135">
        <v>26</v>
      </c>
      <c r="B27" s="132" t="s">
        <v>99</v>
      </c>
      <c r="C27" s="86" t="s">
        <v>77</v>
      </c>
      <c r="D27" s="132" t="s">
        <v>26</v>
      </c>
      <c r="E27" s="86" t="s">
        <v>28</v>
      </c>
      <c r="F27" s="86">
        <f>VLOOKUP(B27,'2024'!$A:$O,10,0)</f>
        <v>0</v>
      </c>
      <c r="G27" s="86">
        <f>VLOOKUP($B27,'2025'!$A:$O,10,0)</f>
        <v>0</v>
      </c>
      <c r="H27" s="86">
        <v>0</v>
      </c>
      <c r="I27" s="125">
        <f t="shared" si="4"/>
        <v>0</v>
      </c>
      <c r="J27" s="125" t="str">
        <f t="shared" si="5"/>
        <v/>
      </c>
      <c r="K27" s="86">
        <f t="shared" si="13"/>
        <v>0</v>
      </c>
      <c r="M27" s="86">
        <f>VLOOKUP(C27,'תקציב  '!$B:$S,12,0)*1</f>
        <v>0</v>
      </c>
      <c r="N27" s="125" t="str">
        <f t="shared" si="6"/>
        <v/>
      </c>
      <c r="O27" s="125" t="str">
        <f t="shared" si="7"/>
        <v>-</v>
      </c>
      <c r="P27" s="86">
        <f t="shared" si="14"/>
        <v>0</v>
      </c>
      <c r="R27" s="89">
        <f>_xlfn.XLOOKUP(A27,'תקציב  '!A:A,'תקציב  '!AK:AK)</f>
        <v>20000</v>
      </c>
      <c r="S27" s="125">
        <f t="shared" si="8"/>
        <v>-1</v>
      </c>
      <c r="T27" s="125">
        <f t="shared" si="9"/>
        <v>0</v>
      </c>
      <c r="U27" s="89">
        <f t="shared" si="10"/>
        <v>-20000</v>
      </c>
      <c r="W27" s="86">
        <v>0</v>
      </c>
      <c r="X27" s="7">
        <f t="shared" si="2"/>
        <v>0</v>
      </c>
      <c r="Y27" s="101" t="str">
        <f t="shared" si="3"/>
        <v>-</v>
      </c>
    </row>
    <row r="28" spans="1:25" ht="13.5" hidden="1" customHeight="1" outlineLevel="1" x14ac:dyDescent="0.2">
      <c r="A28" s="135">
        <v>27</v>
      </c>
      <c r="B28" s="132" t="s">
        <v>100</v>
      </c>
      <c r="C28" s="86" t="s">
        <v>88</v>
      </c>
      <c r="D28" s="132" t="s">
        <v>22</v>
      </c>
      <c r="E28" s="86" t="s">
        <v>23</v>
      </c>
      <c r="F28" s="86">
        <f>VLOOKUP(B28,'2024'!$A:$O,10,0)</f>
        <v>0</v>
      </c>
      <c r="G28" s="86">
        <f>VLOOKUP($B28,'2025'!$A:$O,10,0)</f>
        <v>0</v>
      </c>
      <c r="H28" s="86">
        <v>0</v>
      </c>
      <c r="I28" s="125">
        <f t="shared" si="4"/>
        <v>0</v>
      </c>
      <c r="J28" s="125" t="str">
        <f t="shared" si="5"/>
        <v/>
      </c>
      <c r="K28" s="86">
        <f t="shared" si="13"/>
        <v>0</v>
      </c>
      <c r="M28" s="86">
        <f>VLOOKUP(C28,'תקציב  '!$B:$S,12,0)*1</f>
        <v>0</v>
      </c>
      <c r="N28" s="125" t="str">
        <f t="shared" si="6"/>
        <v/>
      </c>
      <c r="O28" s="125" t="str">
        <f t="shared" si="7"/>
        <v>-</v>
      </c>
      <c r="P28" s="86">
        <f t="shared" si="14"/>
        <v>0</v>
      </c>
      <c r="R28" s="89">
        <f>_xlfn.XLOOKUP(A28,'תקציב  '!A:A,'תקציב  '!AK:AK)</f>
        <v>150000</v>
      </c>
      <c r="S28" s="125">
        <f t="shared" si="8"/>
        <v>-1</v>
      </c>
      <c r="T28" s="125">
        <f t="shared" si="9"/>
        <v>0</v>
      </c>
      <c r="U28" s="89">
        <f t="shared" si="10"/>
        <v>-150000</v>
      </c>
      <c r="W28" s="86">
        <v>0</v>
      </c>
      <c r="X28" s="7">
        <f t="shared" si="2"/>
        <v>0</v>
      </c>
      <c r="Y28" s="101" t="str">
        <f t="shared" si="3"/>
        <v>-</v>
      </c>
    </row>
    <row r="29" spans="1:25" ht="13.5" hidden="1" customHeight="1" outlineLevel="1" x14ac:dyDescent="0.2">
      <c r="A29" s="135">
        <v>28</v>
      </c>
      <c r="B29" s="132" t="s">
        <v>101</v>
      </c>
      <c r="C29" s="86" t="s">
        <v>89</v>
      </c>
      <c r="D29" s="132" t="s">
        <v>16</v>
      </c>
      <c r="E29" s="86" t="s">
        <v>17</v>
      </c>
      <c r="F29" s="86">
        <f>VLOOKUP(B29,'2024'!$A:$O,10,0)</f>
        <v>64828.58</v>
      </c>
      <c r="G29" s="86">
        <f>VLOOKUP($B29,'2025'!$A:$O,10,0)</f>
        <v>27485.960000000003</v>
      </c>
      <c r="H29" s="86">
        <v>25430.19</v>
      </c>
      <c r="I29" s="125">
        <f t="shared" si="4"/>
        <v>1.5437803874325841E-2</v>
      </c>
      <c r="J29" s="125">
        <f t="shared" si="5"/>
        <v>-7.4793458187380146E-2</v>
      </c>
      <c r="K29" s="86">
        <f t="shared" si="13"/>
        <v>-2055.7700000000041</v>
      </c>
      <c r="M29" s="86">
        <f>VLOOKUP(C29,'תקציב  '!$B:$S,12,0)*1</f>
        <v>39765.076000000001</v>
      </c>
      <c r="N29" s="125">
        <f t="shared" si="6"/>
        <v>-0.36048933994241583</v>
      </c>
      <c r="O29" s="125">
        <f t="shared" si="7"/>
        <v>0.63951066005758417</v>
      </c>
      <c r="P29" s="86">
        <f t="shared" si="14"/>
        <v>-14334.886000000002</v>
      </c>
      <c r="R29" s="89">
        <f>_xlfn.XLOOKUP(A29,'תקציב  '!A:A,'תקציב  '!AK:AK)</f>
        <v>40000</v>
      </c>
      <c r="S29" s="125">
        <f t="shared" si="8"/>
        <v>-0.36424525000000008</v>
      </c>
      <c r="T29" s="125">
        <f t="shared" si="9"/>
        <v>0.63575474999999992</v>
      </c>
      <c r="U29" s="89">
        <f t="shared" si="10"/>
        <v>-14569.810000000001</v>
      </c>
      <c r="W29" s="86">
        <v>25430.19</v>
      </c>
      <c r="X29" s="7">
        <f t="shared" si="2"/>
        <v>0</v>
      </c>
      <c r="Y29" s="101">
        <f t="shared" si="3"/>
        <v>0</v>
      </c>
    </row>
    <row r="30" spans="1:25" hidden="1" outlineLevel="1" x14ac:dyDescent="0.2">
      <c r="A30" s="135">
        <v>29</v>
      </c>
      <c r="B30" s="132" t="s">
        <v>102</v>
      </c>
      <c r="C30" s="86" t="s">
        <v>81</v>
      </c>
      <c r="D30" s="132" t="s">
        <v>29</v>
      </c>
      <c r="E30" s="86" t="s">
        <v>30</v>
      </c>
      <c r="F30" s="86">
        <f>VLOOKUP(B30,'2024'!$A:$O,10,0)</f>
        <v>54153.1</v>
      </c>
      <c r="G30" s="86">
        <f>VLOOKUP($B30,'2025'!$A:$O,10,0)</f>
        <v>0</v>
      </c>
      <c r="H30" s="86">
        <v>0</v>
      </c>
      <c r="I30" s="125">
        <f t="shared" si="4"/>
        <v>0</v>
      </c>
      <c r="J30" s="125" t="str">
        <f t="shared" si="5"/>
        <v/>
      </c>
      <c r="K30" s="86">
        <f t="shared" si="13"/>
        <v>0</v>
      </c>
      <c r="M30" s="86">
        <f>VLOOKUP(C30,'תקציב  '!$B:$S,12,0)*1</f>
        <v>0</v>
      </c>
      <c r="N30" s="125" t="str">
        <f t="shared" si="6"/>
        <v/>
      </c>
      <c r="O30" s="125" t="str">
        <f t="shared" si="7"/>
        <v>-</v>
      </c>
      <c r="P30" s="86">
        <f t="shared" si="14"/>
        <v>0</v>
      </c>
      <c r="R30" s="89">
        <f>_xlfn.XLOOKUP(A30,'תקציב  '!A:A,'תקציב  '!AK:AK)</f>
        <v>0</v>
      </c>
      <c r="S30" s="125" t="str">
        <f t="shared" si="8"/>
        <v>-</v>
      </c>
      <c r="T30" s="125" t="str">
        <f t="shared" si="9"/>
        <v>-</v>
      </c>
      <c r="U30" s="89">
        <f t="shared" si="10"/>
        <v>0</v>
      </c>
      <c r="W30" s="86">
        <v>0</v>
      </c>
      <c r="X30" s="7">
        <f t="shared" si="2"/>
        <v>0</v>
      </c>
      <c r="Y30" s="101" t="str">
        <f t="shared" si="3"/>
        <v>-</v>
      </c>
    </row>
    <row r="31" spans="1:25" hidden="1" outlineLevel="1" x14ac:dyDescent="0.2">
      <c r="A31" s="135">
        <v>30</v>
      </c>
      <c r="B31" s="132" t="s">
        <v>103</v>
      </c>
      <c r="C31" s="86" t="s">
        <v>76</v>
      </c>
      <c r="D31" s="132" t="s">
        <v>34</v>
      </c>
      <c r="E31" s="86" t="s">
        <v>30</v>
      </c>
      <c r="F31" s="86">
        <f>VLOOKUP(B31,'2024'!$A:$O,10,0)</f>
        <v>20673.57</v>
      </c>
      <c r="G31" s="86">
        <f>VLOOKUP($B31,'2025'!$A:$O,10,0)</f>
        <v>0</v>
      </c>
      <c r="H31" s="86">
        <v>21590.63</v>
      </c>
      <c r="I31" s="125">
        <f t="shared" si="4"/>
        <v>1.310693752044856E-2</v>
      </c>
      <c r="J31" s="125" t="str">
        <f t="shared" si="5"/>
        <v/>
      </c>
      <c r="K31" s="86">
        <f t="shared" si="13"/>
        <v>21590.63</v>
      </c>
      <c r="M31" s="86">
        <f>VLOOKUP(C31,'תקציב  '!$B:$S,12,0)*1</f>
        <v>0</v>
      </c>
      <c r="N31" s="125" t="str">
        <f t="shared" si="6"/>
        <v/>
      </c>
      <c r="O31" s="125" t="str">
        <f t="shared" si="7"/>
        <v>-</v>
      </c>
      <c r="P31" s="86">
        <f t="shared" si="14"/>
        <v>21590.63</v>
      </c>
      <c r="R31" s="89">
        <f>_xlfn.XLOOKUP(A31,'תקציב  '!A:A,'תקציב  '!AK:AK)</f>
        <v>25000</v>
      </c>
      <c r="S31" s="125">
        <f t="shared" si="8"/>
        <v>-0.13637479999999991</v>
      </c>
      <c r="T31" s="125">
        <f t="shared" si="9"/>
        <v>0.86362520000000009</v>
      </c>
      <c r="U31" s="89">
        <f t="shared" si="10"/>
        <v>-3409.369999999999</v>
      </c>
      <c r="W31" s="86">
        <v>21590.63</v>
      </c>
      <c r="X31" s="7">
        <f t="shared" si="2"/>
        <v>0</v>
      </c>
      <c r="Y31" s="101">
        <f t="shared" si="3"/>
        <v>0</v>
      </c>
    </row>
    <row r="32" spans="1:25" ht="13.5" hidden="1" customHeight="1" outlineLevel="1" x14ac:dyDescent="0.2">
      <c r="A32" s="135">
        <v>31</v>
      </c>
      <c r="B32" s="132" t="s">
        <v>85</v>
      </c>
      <c r="C32" s="86" t="s">
        <v>85</v>
      </c>
      <c r="D32" s="132" t="s">
        <v>32</v>
      </c>
      <c r="E32" s="86" t="s">
        <v>33</v>
      </c>
      <c r="F32" s="86">
        <f>VLOOKUP(B32,'2024'!$A:$O,10,0)</f>
        <v>31722.98</v>
      </c>
      <c r="G32" s="86">
        <f>VLOOKUP($B32,'2025'!$A:$O,10,0)</f>
        <v>50202.49</v>
      </c>
      <c r="H32" s="86">
        <v>0</v>
      </c>
      <c r="I32" s="125">
        <f t="shared" si="4"/>
        <v>0</v>
      </c>
      <c r="J32" s="125">
        <f t="shared" si="5"/>
        <v>-1</v>
      </c>
      <c r="K32" s="86">
        <f t="shared" si="13"/>
        <v>-50202.49</v>
      </c>
      <c r="M32" s="86">
        <f>VLOOKUP(C32,'תקציב  '!$B:$S,12,0)*1</f>
        <v>49000</v>
      </c>
      <c r="N32" s="125">
        <f t="shared" si="6"/>
        <v>-1</v>
      </c>
      <c r="O32" s="125">
        <f t="shared" si="7"/>
        <v>0</v>
      </c>
      <c r="P32" s="86">
        <f t="shared" si="14"/>
        <v>-49000</v>
      </c>
      <c r="R32" s="89">
        <f>_xlfn.XLOOKUP(A32,'תקציב  '!A:A,'תקציב  '!AK:AK)</f>
        <v>17500</v>
      </c>
      <c r="S32" s="125">
        <f t="shared" si="8"/>
        <v>-1</v>
      </c>
      <c r="T32" s="125">
        <f t="shared" si="9"/>
        <v>0</v>
      </c>
      <c r="U32" s="89">
        <f t="shared" si="10"/>
        <v>-17500</v>
      </c>
      <c r="W32" s="86">
        <v>0</v>
      </c>
      <c r="X32" s="7">
        <f t="shared" si="2"/>
        <v>0</v>
      </c>
      <c r="Y32" s="101" t="str">
        <f t="shared" si="3"/>
        <v>-</v>
      </c>
    </row>
    <row r="33" spans="1:25" ht="13.5" hidden="1" customHeight="1" outlineLevel="1" x14ac:dyDescent="0.2">
      <c r="A33" s="135"/>
      <c r="B33" s="132"/>
      <c r="C33" s="86"/>
      <c r="D33" s="132" t="s">
        <v>11</v>
      </c>
      <c r="E33" s="86" t="s">
        <v>12</v>
      </c>
      <c r="F33" s="86"/>
      <c r="G33" s="86"/>
      <c r="H33" s="86">
        <v>0</v>
      </c>
      <c r="I33" s="125">
        <f t="shared" si="4"/>
        <v>0</v>
      </c>
      <c r="J33" s="125" t="str">
        <f t="shared" si="5"/>
        <v/>
      </c>
      <c r="K33" s="86">
        <f t="shared" si="13"/>
        <v>0</v>
      </c>
      <c r="M33" s="86"/>
      <c r="N33" s="125" t="str">
        <f t="shared" si="6"/>
        <v/>
      </c>
      <c r="O33" s="125" t="str">
        <f t="shared" si="7"/>
        <v>-</v>
      </c>
      <c r="P33" s="86">
        <f t="shared" si="14"/>
        <v>0</v>
      </c>
      <c r="R33" s="89">
        <f>_xlfn.XLOOKUP(A33,'תקציב  '!A:A,'תקציב  '!AK:AK)</f>
        <v>0</v>
      </c>
      <c r="S33" s="125" t="str">
        <f t="shared" si="8"/>
        <v>-</v>
      </c>
      <c r="T33" s="125" t="str">
        <f t="shared" si="9"/>
        <v>-</v>
      </c>
      <c r="U33" s="89">
        <f t="shared" si="10"/>
        <v>0</v>
      </c>
      <c r="W33" s="86">
        <v>0</v>
      </c>
      <c r="X33" s="7">
        <f t="shared" si="2"/>
        <v>0</v>
      </c>
      <c r="Y33" s="101" t="str">
        <f t="shared" si="3"/>
        <v>-</v>
      </c>
    </row>
    <row r="34" spans="1:25" ht="13.5" hidden="1" customHeight="1" outlineLevel="1" x14ac:dyDescent="0.2">
      <c r="A34" s="135">
        <v>32</v>
      </c>
      <c r="B34" s="132" t="s">
        <v>104</v>
      </c>
      <c r="C34" s="86" t="s">
        <v>86</v>
      </c>
      <c r="D34" s="132" t="s">
        <v>31</v>
      </c>
      <c r="E34" s="86" t="s">
        <v>49</v>
      </c>
      <c r="F34" s="86">
        <f>VLOOKUP(B34,'2024'!$A:$O,10,0)</f>
        <v>1987.54</v>
      </c>
      <c r="G34" s="86">
        <f>VLOOKUP($B34,'2025'!$A:$O,10,0)</f>
        <v>0</v>
      </c>
      <c r="H34" s="86">
        <v>0</v>
      </c>
      <c r="I34" s="125">
        <f t="shared" si="4"/>
        <v>0</v>
      </c>
      <c r="J34" s="125" t="str">
        <f t="shared" si="5"/>
        <v/>
      </c>
      <c r="K34" s="86">
        <f t="shared" si="13"/>
        <v>0</v>
      </c>
      <c r="M34" s="86">
        <f>VLOOKUP(C34,'תקציב  '!$B:$S,12,0)*1</f>
        <v>0</v>
      </c>
      <c r="N34" s="125" t="str">
        <f t="shared" si="6"/>
        <v/>
      </c>
      <c r="O34" s="125" t="str">
        <f t="shared" si="7"/>
        <v>-</v>
      </c>
      <c r="P34" s="86">
        <f t="shared" si="14"/>
        <v>0</v>
      </c>
      <c r="R34" s="89">
        <f>_xlfn.XLOOKUP(A34,'תקציב  '!A:A,'תקציב  '!AK:AK)</f>
        <v>0</v>
      </c>
      <c r="S34" s="125" t="str">
        <f t="shared" si="8"/>
        <v>-</v>
      </c>
      <c r="T34" s="125" t="str">
        <f t="shared" si="9"/>
        <v>-</v>
      </c>
      <c r="U34" s="89">
        <f t="shared" si="10"/>
        <v>0</v>
      </c>
      <c r="W34" s="86">
        <v>0</v>
      </c>
      <c r="X34" s="7">
        <f t="shared" si="2"/>
        <v>0</v>
      </c>
      <c r="Y34" s="101" t="str">
        <f t="shared" si="3"/>
        <v>-</v>
      </c>
    </row>
    <row r="35" spans="1:25" ht="13.5" hidden="1" customHeight="1" outlineLevel="1" x14ac:dyDescent="0.2">
      <c r="A35" s="135">
        <v>33</v>
      </c>
      <c r="B35" s="132" t="s">
        <v>105</v>
      </c>
      <c r="C35" s="86" t="s">
        <v>83</v>
      </c>
      <c r="D35" s="132" t="s">
        <v>84</v>
      </c>
      <c r="E35" s="86" t="s">
        <v>48</v>
      </c>
      <c r="F35" s="86">
        <f>VLOOKUP(B35,'2024'!$A:$O,10,0)</f>
        <v>0</v>
      </c>
      <c r="G35" s="86">
        <f>VLOOKUP($B35,'2025'!$A:$O,10,0)</f>
        <v>0</v>
      </c>
      <c r="H35" s="86">
        <v>0</v>
      </c>
      <c r="I35" s="125">
        <f t="shared" si="4"/>
        <v>0</v>
      </c>
      <c r="J35" s="125" t="str">
        <f t="shared" si="5"/>
        <v/>
      </c>
      <c r="K35" s="86">
        <f t="shared" si="13"/>
        <v>0</v>
      </c>
      <c r="M35" s="86">
        <f>VLOOKUP(C35,'תקציב  '!$B:$S,12,0)*1</f>
        <v>0</v>
      </c>
      <c r="N35" s="125" t="str">
        <f t="shared" si="6"/>
        <v/>
      </c>
      <c r="O35" s="125" t="str">
        <f t="shared" si="7"/>
        <v>-</v>
      </c>
      <c r="P35" s="86">
        <f t="shared" si="14"/>
        <v>0</v>
      </c>
      <c r="R35" s="89">
        <f>_xlfn.XLOOKUP(A35,'תקציב  '!A:A,'תקציב  '!AK:AK)</f>
        <v>0</v>
      </c>
      <c r="S35" s="125" t="str">
        <f t="shared" si="8"/>
        <v>-</v>
      </c>
      <c r="T35" s="125" t="str">
        <f t="shared" si="9"/>
        <v>-</v>
      </c>
      <c r="U35" s="89">
        <f t="shared" si="10"/>
        <v>0</v>
      </c>
      <c r="W35" s="86">
        <v>0</v>
      </c>
      <c r="X35" s="7">
        <f t="shared" si="2"/>
        <v>0</v>
      </c>
      <c r="Y35" s="101" t="str">
        <f t="shared" si="3"/>
        <v>-</v>
      </c>
    </row>
    <row r="36" spans="1:25" hidden="1" outlineLevel="1" x14ac:dyDescent="0.2">
      <c r="A36" s="135"/>
      <c r="B36" s="132" t="s">
        <v>107</v>
      </c>
      <c r="C36" s="86" t="s">
        <v>107</v>
      </c>
      <c r="D36" s="132" t="s">
        <v>37</v>
      </c>
      <c r="E36" s="86" t="s">
        <v>17</v>
      </c>
      <c r="F36" s="86">
        <f>VLOOKUP(B36,'2024'!$A:$O,10,0)</f>
        <v>0</v>
      </c>
      <c r="G36" s="86">
        <f>VLOOKUP($B36,'2025'!$A:$O,10,0)</f>
        <v>0</v>
      </c>
      <c r="H36" s="86">
        <v>0</v>
      </c>
      <c r="I36" s="125">
        <f t="shared" si="4"/>
        <v>0</v>
      </c>
      <c r="J36" s="125" t="str">
        <f t="shared" si="5"/>
        <v/>
      </c>
      <c r="K36" s="86">
        <f t="shared" si="13"/>
        <v>0</v>
      </c>
      <c r="M36" s="86"/>
      <c r="N36" s="125" t="str">
        <f t="shared" si="6"/>
        <v/>
      </c>
      <c r="O36" s="125" t="str">
        <f t="shared" si="7"/>
        <v>-</v>
      </c>
      <c r="P36" s="86">
        <f t="shared" si="14"/>
        <v>0</v>
      </c>
      <c r="R36" s="89">
        <f>_xlfn.XLOOKUP(A36,'תקציב  '!A:A,'תקציב  '!AK:AK)</f>
        <v>0</v>
      </c>
      <c r="S36" s="125" t="str">
        <f t="shared" si="8"/>
        <v>-</v>
      </c>
      <c r="T36" s="125" t="str">
        <f t="shared" si="9"/>
        <v>-</v>
      </c>
      <c r="U36" s="89">
        <f t="shared" si="10"/>
        <v>0</v>
      </c>
      <c r="W36" s="86">
        <v>0</v>
      </c>
      <c r="X36" s="7">
        <f t="shared" si="2"/>
        <v>0</v>
      </c>
      <c r="Y36" s="101" t="str">
        <f t="shared" si="3"/>
        <v>-</v>
      </c>
    </row>
    <row r="37" spans="1:25" hidden="1" outlineLevel="1" x14ac:dyDescent="0.2">
      <c r="A37" s="135">
        <v>34</v>
      </c>
      <c r="B37" s="132" t="s">
        <v>108</v>
      </c>
      <c r="C37" s="86" t="s">
        <v>108</v>
      </c>
      <c r="D37" s="132" t="s">
        <v>35</v>
      </c>
      <c r="E37" s="86" t="s">
        <v>36</v>
      </c>
      <c r="F37" s="86">
        <f>VLOOKUP(B37,'2024'!$A:$O,10,0)</f>
        <v>0</v>
      </c>
      <c r="G37" s="86">
        <f>VLOOKUP($B37,'2025'!$A:$O,10,0)</f>
        <v>0</v>
      </c>
      <c r="H37" s="86">
        <v>0</v>
      </c>
      <c r="I37" s="125">
        <f t="shared" si="4"/>
        <v>0</v>
      </c>
      <c r="J37" s="125" t="str">
        <f t="shared" si="5"/>
        <v/>
      </c>
      <c r="K37" s="86">
        <f t="shared" si="13"/>
        <v>0</v>
      </c>
      <c r="M37" s="86"/>
      <c r="N37" s="125" t="str">
        <f t="shared" si="6"/>
        <v/>
      </c>
      <c r="O37" s="125" t="str">
        <f t="shared" si="7"/>
        <v>-</v>
      </c>
      <c r="P37" s="86">
        <f t="shared" si="14"/>
        <v>0</v>
      </c>
      <c r="R37" s="89">
        <f>_xlfn.XLOOKUP(A37,'תקציב  '!A:A,'תקציב  '!AK:AK)</f>
        <v>0</v>
      </c>
      <c r="S37" s="125" t="str">
        <f t="shared" si="8"/>
        <v>-</v>
      </c>
      <c r="T37" s="125" t="str">
        <f t="shared" si="9"/>
        <v>-</v>
      </c>
      <c r="U37" s="89">
        <f t="shared" si="10"/>
        <v>0</v>
      </c>
      <c r="W37" s="86">
        <v>0</v>
      </c>
      <c r="X37" s="7">
        <f t="shared" si="2"/>
        <v>0</v>
      </c>
      <c r="Y37" s="101" t="str">
        <f t="shared" si="3"/>
        <v>-</v>
      </c>
    </row>
    <row r="38" spans="1:25" ht="13.5" hidden="1" customHeight="1" outlineLevel="1" x14ac:dyDescent="0.2">
      <c r="A38" s="135">
        <v>35</v>
      </c>
      <c r="B38" s="132" t="s">
        <v>109</v>
      </c>
      <c r="C38" s="86" t="s">
        <v>109</v>
      </c>
      <c r="D38" s="132" t="s">
        <v>70</v>
      </c>
      <c r="E38" s="86" t="s">
        <v>38</v>
      </c>
      <c r="F38" s="86">
        <f>VLOOKUP(B38,'2024'!$A:$O,10,0)</f>
        <v>-1.37</v>
      </c>
      <c r="G38" s="86">
        <f>VLOOKUP($B38,'2025'!$A:$O,10,0)</f>
        <v>0</v>
      </c>
      <c r="H38" s="86">
        <v>0</v>
      </c>
      <c r="I38" s="125">
        <f t="shared" si="4"/>
        <v>0</v>
      </c>
      <c r="J38" s="125" t="str">
        <f t="shared" si="5"/>
        <v/>
      </c>
      <c r="K38" s="86">
        <f t="shared" si="13"/>
        <v>0</v>
      </c>
      <c r="M38" s="86">
        <f>VLOOKUP(C38,'תקציב  '!$B:$S,12,0)*1</f>
        <v>0</v>
      </c>
      <c r="N38" s="125" t="str">
        <f t="shared" si="6"/>
        <v/>
      </c>
      <c r="O38" s="125" t="str">
        <f t="shared" si="7"/>
        <v>-</v>
      </c>
      <c r="P38" s="86">
        <f t="shared" si="14"/>
        <v>0</v>
      </c>
      <c r="R38" s="89">
        <f>_xlfn.XLOOKUP(A38,'תקציב  '!A:A,'תקציב  '!AK:AK)</f>
        <v>0</v>
      </c>
      <c r="S38" s="125" t="str">
        <f t="shared" si="8"/>
        <v>-</v>
      </c>
      <c r="T38" s="125" t="str">
        <f t="shared" si="9"/>
        <v>-</v>
      </c>
      <c r="U38" s="89">
        <f t="shared" si="10"/>
        <v>0</v>
      </c>
      <c r="W38" s="86">
        <v>0</v>
      </c>
      <c r="X38" s="7">
        <f t="shared" si="2"/>
        <v>0</v>
      </c>
      <c r="Y38" s="101" t="str">
        <f t="shared" si="3"/>
        <v>-</v>
      </c>
    </row>
    <row r="39" spans="1:25" ht="13.5" hidden="1" customHeight="1" outlineLevel="1" x14ac:dyDescent="0.2">
      <c r="A39" s="188">
        <v>36</v>
      </c>
      <c r="B39" s="189"/>
      <c r="C39" s="190" t="s">
        <v>91</v>
      </c>
      <c r="D39" s="189" t="s">
        <v>91</v>
      </c>
      <c r="E39" s="190"/>
      <c r="F39" s="86"/>
      <c r="G39" s="86"/>
      <c r="H39" s="86">
        <v>0</v>
      </c>
      <c r="I39" s="191">
        <f t="shared" si="4"/>
        <v>0</v>
      </c>
      <c r="J39" s="125" t="str">
        <f t="shared" si="5"/>
        <v/>
      </c>
      <c r="K39" s="86">
        <f t="shared" si="13"/>
        <v>0</v>
      </c>
      <c r="M39" s="86">
        <f>VLOOKUP(C39,'תקציב  '!$B:$S,12,0)*1</f>
        <v>0</v>
      </c>
      <c r="N39" s="125" t="str">
        <f t="shared" si="6"/>
        <v/>
      </c>
      <c r="O39" s="191" t="str">
        <f t="shared" si="7"/>
        <v>-</v>
      </c>
      <c r="P39" s="86">
        <f t="shared" si="14"/>
        <v>0</v>
      </c>
      <c r="R39" s="89">
        <f>_xlfn.XLOOKUP(A39,'תקציב  '!A:A,'תקציב  '!AK:AK)</f>
        <v>0</v>
      </c>
      <c r="S39" s="125" t="str">
        <f t="shared" si="8"/>
        <v>-</v>
      </c>
      <c r="T39" s="125" t="str">
        <f t="shared" si="9"/>
        <v>-</v>
      </c>
      <c r="U39" s="89">
        <f t="shared" si="10"/>
        <v>0</v>
      </c>
      <c r="W39" s="86">
        <v>0</v>
      </c>
      <c r="X39" s="7">
        <f t="shared" si="2"/>
        <v>0</v>
      </c>
      <c r="Y39" s="101" t="str">
        <f t="shared" si="3"/>
        <v>-</v>
      </c>
    </row>
    <row r="40" spans="1:25" ht="15" collapsed="1" x14ac:dyDescent="0.25">
      <c r="A40" s="135"/>
      <c r="B40" s="156"/>
      <c r="C40" s="157" t="s">
        <v>42</v>
      </c>
      <c r="D40" s="156" t="s">
        <v>42</v>
      </c>
      <c r="E40" s="157"/>
      <c r="F40" s="157">
        <f>SUM(F20:F39)</f>
        <v>615520.95000000007</v>
      </c>
      <c r="G40" s="157">
        <f>SUM(G20:G39)</f>
        <v>335403.82</v>
      </c>
      <c r="H40" s="157">
        <f>SUM(H20:H39)</f>
        <v>312123.16000000003</v>
      </c>
      <c r="I40" s="97">
        <f t="shared" si="4"/>
        <v>0.18947936011153771</v>
      </c>
      <c r="J40" s="97">
        <f t="shared" si="12"/>
        <v>-6.941083736017073E-2</v>
      </c>
      <c r="K40" s="157">
        <f>SUM(K20:K39)</f>
        <v>-23280.659999999974</v>
      </c>
      <c r="M40" s="157">
        <f>SUM(M20:M39)</f>
        <v>688160.54454999999</v>
      </c>
      <c r="N40" s="97">
        <f>H40/M40-1</f>
        <v>-0.54643845470085362</v>
      </c>
      <c r="O40" s="97">
        <f t="shared" si="7"/>
        <v>0.45356154529914633</v>
      </c>
      <c r="P40" s="157">
        <f>SUM(P20:P39)</f>
        <v>-376037.38454999996</v>
      </c>
      <c r="R40" s="157">
        <f>SUM(R20:R39)</f>
        <v>779615.8</v>
      </c>
      <c r="S40" s="97">
        <f t="shared" si="8"/>
        <v>-0.59964490201455645</v>
      </c>
      <c r="T40" s="97">
        <f t="shared" si="9"/>
        <v>0.40035509798544361</v>
      </c>
      <c r="U40" s="157">
        <f t="shared" si="10"/>
        <v>-467492.64</v>
      </c>
      <c r="V40" s="143"/>
      <c r="W40" s="157">
        <v>296456.68</v>
      </c>
      <c r="X40" s="144">
        <f t="shared" si="2"/>
        <v>15666.48000000004</v>
      </c>
      <c r="Y40" s="145">
        <f t="shared" si="3"/>
        <v>5.2845764851714661E-2</v>
      </c>
    </row>
    <row r="41" spans="1:25" ht="15" x14ac:dyDescent="0.25">
      <c r="A41" s="135"/>
      <c r="B41" s="158"/>
      <c r="C41" s="159" t="s">
        <v>69</v>
      </c>
      <c r="D41" s="158" t="s">
        <v>69</v>
      </c>
      <c r="E41" s="159"/>
      <c r="F41" s="159">
        <f>F40+F19</f>
        <v>2021164.6830000002</v>
      </c>
      <c r="G41" s="159">
        <f>G40+G19</f>
        <v>1830821.4299999985</v>
      </c>
      <c r="H41" s="159">
        <f>H40+H19</f>
        <v>1959390.4920000006</v>
      </c>
      <c r="I41" s="50">
        <f t="shared" si="4"/>
        <v>1.1894793601115379</v>
      </c>
      <c r="J41" s="50">
        <f t="shared" si="12"/>
        <v>7.0224796309054538E-2</v>
      </c>
      <c r="K41" s="159">
        <f>K40+K19</f>
        <v>128569.06200000175</v>
      </c>
      <c r="M41" s="159">
        <f>M40+M19</f>
        <v>3373969.6951055555</v>
      </c>
      <c r="N41" s="50">
        <f>H41/M41-1</f>
        <v>-0.41926256929859573</v>
      </c>
      <c r="O41" s="50">
        <f t="shared" si="7"/>
        <v>0.58073743070140427</v>
      </c>
      <c r="P41" s="159">
        <f>P40+P19</f>
        <v>-1414579.2031055554</v>
      </c>
      <c r="R41" s="159">
        <f>R40+R19</f>
        <v>3406716.6474576276</v>
      </c>
      <c r="S41" s="50">
        <f t="shared" si="8"/>
        <v>-0.42484488885735217</v>
      </c>
      <c r="T41" s="50">
        <f t="shared" si="9"/>
        <v>0.57515511114264783</v>
      </c>
      <c r="U41" s="159">
        <f t="shared" si="10"/>
        <v>-1447326.155457627</v>
      </c>
      <c r="V41" s="143"/>
      <c r="W41" s="159">
        <v>1742783.2509999999</v>
      </c>
      <c r="X41" s="144">
        <f t="shared" si="2"/>
        <v>216607.24100000062</v>
      </c>
      <c r="Y41" s="145">
        <f t="shared" si="3"/>
        <v>0.12428811263575801</v>
      </c>
    </row>
    <row r="42" spans="1:25" x14ac:dyDescent="0.2">
      <c r="C42" s="47"/>
      <c r="E42" s="47"/>
      <c r="F42">
        <f>F41-'2024'!J38</f>
        <v>0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97AE-FD2F-484D-87A8-5CF11537949C}">
  <dimension ref="A1:R43"/>
  <sheetViews>
    <sheetView showGridLines="0" rightToLeft="1" workbookViewId="0">
      <pane xSplit="5" ySplit="2" topLeftCell="F3" activePane="bottomRight" state="frozen"/>
      <selection activeCell="J13" sqref="J13"/>
      <selection pane="topRight" activeCell="J13" sqref="J13"/>
      <selection pane="bottomLeft" activeCell="J13" sqref="J13"/>
      <selection pane="bottomRight" activeCell="L16" sqref="L16"/>
    </sheetView>
  </sheetViews>
  <sheetFormatPr defaultRowHeight="14.25" x14ac:dyDescent="0.2"/>
  <cols>
    <col min="1" max="1" width="2.875" bestFit="1" customWidth="1"/>
    <col min="2" max="3" width="28" hidden="1" customWidth="1"/>
    <col min="4" max="4" width="28" bestFit="1" customWidth="1"/>
    <col min="5" max="5" width="12.5" style="1" bestFit="1" customWidth="1"/>
    <col min="6" max="8" width="10.875" bestFit="1" customWidth="1"/>
    <col min="9" max="9" width="10.75" style="51" bestFit="1" customWidth="1"/>
    <col min="10" max="10" width="11.875" bestFit="1" customWidth="1"/>
    <col min="12" max="12" width="10.875" bestFit="1" customWidth="1"/>
    <col min="13" max="13" width="10.75" style="51" bestFit="1" customWidth="1"/>
    <col min="14" max="14" width="11.5" bestFit="1" customWidth="1"/>
    <col min="16" max="16" width="10.875" bestFit="1" customWidth="1"/>
    <col min="17" max="17" width="6.75" style="51" bestFit="1" customWidth="1"/>
    <col min="18" max="18" width="13" bestFit="1" customWidth="1"/>
  </cols>
  <sheetData>
    <row r="1" spans="1:18" ht="15.75" x14ac:dyDescent="0.25">
      <c r="B1" s="34"/>
      <c r="C1" s="34" t="s">
        <v>173</v>
      </c>
      <c r="D1" s="34" t="s">
        <v>173</v>
      </c>
      <c r="E1" s="174"/>
      <c r="F1" s="174"/>
      <c r="G1" s="174"/>
      <c r="H1" s="174"/>
      <c r="I1" s="175"/>
      <c r="J1" s="174"/>
      <c r="L1" s="174"/>
      <c r="M1" s="175"/>
      <c r="N1" s="174"/>
      <c r="P1" s="34"/>
      <c r="Q1" s="175"/>
      <c r="R1" s="34"/>
    </row>
    <row r="2" spans="1:18" ht="15" x14ac:dyDescent="0.25">
      <c r="A2" s="133" t="s">
        <v>228</v>
      </c>
      <c r="B2" s="149"/>
      <c r="C2" s="149"/>
      <c r="D2" s="149"/>
      <c r="E2" s="146" t="s">
        <v>10</v>
      </c>
      <c r="F2" s="146" t="s">
        <v>144</v>
      </c>
      <c r="G2" s="146" t="s">
        <v>198</v>
      </c>
      <c r="H2" s="146" t="s">
        <v>212</v>
      </c>
      <c r="I2" s="171" t="s">
        <v>191</v>
      </c>
      <c r="J2" s="146" t="s">
        <v>192</v>
      </c>
      <c r="L2" s="146" t="s">
        <v>67</v>
      </c>
      <c r="M2" s="171" t="s">
        <v>68</v>
      </c>
      <c r="N2" s="146" t="s">
        <v>71</v>
      </c>
      <c r="P2" s="148" t="s">
        <v>229</v>
      </c>
      <c r="Q2" s="171" t="s">
        <v>223</v>
      </c>
      <c r="R2" s="149" t="s">
        <v>232</v>
      </c>
    </row>
    <row r="3" spans="1:18" x14ac:dyDescent="0.2">
      <c r="A3" s="140">
        <v>5</v>
      </c>
      <c r="B3" s="89" t="s">
        <v>115</v>
      </c>
      <c r="C3" s="89" t="s">
        <v>1</v>
      </c>
      <c r="D3" s="89" t="s">
        <v>1</v>
      </c>
      <c r="E3" s="3" t="s">
        <v>40</v>
      </c>
      <c r="F3" s="86">
        <f>ינואר!E3+פברואר!E3+מרץ!E3+אפריל!E3+מאי!E3+יוני!E3+יולי!F3+אוגוסט!F3+ספטמבר!F3</f>
        <v>1550839.8599999999</v>
      </c>
      <c r="G3" s="86">
        <f>ינואר!F3+פברואר!F3+מרץ!F3+אפריל!F3+מאי!F3+יוני!F3+יולי!G3+אוגוסט!G3+ספטמבר!G3</f>
        <v>1311421.69</v>
      </c>
      <c r="H3" s="86">
        <f>ינואר!G3+פברואר!G3+מרץ!G3+אפריל!G3+מאי!G3+יוני!G3+יולי!H3+אוגוסט!H3+ספטמבר!H3</f>
        <v>1307775.3499999999</v>
      </c>
      <c r="I3" s="172">
        <f>IFERROR(H3/G3-1,"")</f>
        <v>-2.7804481409789972E-3</v>
      </c>
      <c r="J3" s="86">
        <f t="shared" ref="J3:J15" si="0">H3-G3</f>
        <v>-3646.3400000000838</v>
      </c>
      <c r="L3" s="86">
        <f>ינואר!J3+פברואר!J3+מרץ!J3+אפריל!J3+מאי!J3+יוני!J3+יולי!M3+אוגוסט!M3+ספטמבר!M3</f>
        <v>1814761.9047619046</v>
      </c>
      <c r="M3" s="172">
        <f>H3/L3-1</f>
        <v>-0.27936808318026762</v>
      </c>
      <c r="N3" s="86">
        <f t="shared" ref="N3:N15" si="1">H3-L3</f>
        <v>-506986.55476190476</v>
      </c>
      <c r="P3" s="89">
        <f>_xlfn.XLOOKUP($A3,'תקציב  '!A:A,'תקציב  '!AT:AT)</f>
        <v>1340443.2999999998</v>
      </c>
      <c r="Q3" s="172">
        <f>IFERROR(H3/P3,"-")</f>
        <v>0.97562899527342939</v>
      </c>
      <c r="R3" s="89">
        <f>H3-P3</f>
        <v>-32667.949999999953</v>
      </c>
    </row>
    <row r="4" spans="1:18" x14ac:dyDescent="0.2">
      <c r="A4" s="134">
        <v>1</v>
      </c>
      <c r="B4" s="89" t="s">
        <v>0</v>
      </c>
      <c r="C4" s="89" t="s">
        <v>0</v>
      </c>
      <c r="D4" s="89" t="s">
        <v>0</v>
      </c>
      <c r="E4" s="3" t="s">
        <v>40</v>
      </c>
      <c r="F4" s="86">
        <f>ינואר!E4+פברואר!E4+מרץ!E4+אפריל!E4+מאי!E4+יוני!E4+יולי!F4+אוגוסט!F4+ספטמבר!F4</f>
        <v>4225823.3289999999</v>
      </c>
      <c r="G4" s="86">
        <f>ינואר!F4+פברואר!F4+מרץ!F4+אפריל!F4+מאי!F4+יוני!F4+יולי!G4+אוגוסט!G4+ספטמבר!G4</f>
        <v>4693830.1426000372</v>
      </c>
      <c r="H4" s="86">
        <f>ינואר!G4+פברואר!G4+מרץ!G4+אפריל!G4+מאי!G4+יוני!G4+יולי!H4+אוגוסט!H4+ספטמבר!H4</f>
        <v>4231396.2600000007</v>
      </c>
      <c r="I4" s="172">
        <f t="shared" ref="I4:I41" si="2">IFERROR(H4/G4-1,"")</f>
        <v>-9.8519517867317163E-2</v>
      </c>
      <c r="J4" s="86">
        <f t="shared" si="0"/>
        <v>-462433.88260003645</v>
      </c>
      <c r="L4" s="86">
        <f>ינואר!J4+פברואר!J4+מרץ!J4+אפריל!J4+מאי!J4+יוני!J4+יולי!M4+אוגוסט!M4+ספטמבר!M4</f>
        <v>5058904.7619047612</v>
      </c>
      <c r="M4" s="172">
        <f>H4/L4-1</f>
        <v>-0.16357463539068284</v>
      </c>
      <c r="N4" s="86">
        <f t="shared" si="1"/>
        <v>-827508.50190476049</v>
      </c>
      <c r="P4" s="89">
        <f>_xlfn.XLOOKUP($A4,'תקציב  '!A:A,'תקציב  '!AT:AT)</f>
        <v>4424937.8930000011</v>
      </c>
      <c r="Q4" s="172">
        <f t="shared" ref="Q4:Q42" si="3">IFERROR(H4/P4,"-")</f>
        <v>0.95626116395753891</v>
      </c>
      <c r="R4" s="89">
        <f t="shared" ref="R4:R39" si="4">H4-P4</f>
        <v>-193541.63300000038</v>
      </c>
    </row>
    <row r="5" spans="1:18" x14ac:dyDescent="0.2">
      <c r="A5" s="134">
        <v>7</v>
      </c>
      <c r="B5" s="89" t="s">
        <v>44</v>
      </c>
      <c r="C5" s="89" t="s">
        <v>44</v>
      </c>
      <c r="D5" s="89" t="s">
        <v>44</v>
      </c>
      <c r="E5" s="3" t="s">
        <v>40</v>
      </c>
      <c r="F5" s="86">
        <f>ינואר!E5+פברואר!E5+מרץ!E5+אפריל!E5+מאי!E5+יוני!E5+יולי!F5+אוגוסט!F5+ספטמבר!F5</f>
        <v>840253.86900000018</v>
      </c>
      <c r="G5" s="86">
        <f>ינואר!F5+פברואר!F5+מרץ!F5+אפריל!F5+מאי!F5+יוני!F5+יולי!G5+אוגוסט!G5+ספטמבר!G5</f>
        <v>620118.77</v>
      </c>
      <c r="H5" s="86">
        <f>ינואר!G5+פברואר!G5+מרץ!G5+אפריל!G5+מאי!G5+יוני!G5+יולי!H5+אוגוסט!H5+ספטמבר!H5</f>
        <v>651059.04500000004</v>
      </c>
      <c r="I5" s="172">
        <f t="shared" si="2"/>
        <v>4.9894111413528064E-2</v>
      </c>
      <c r="J5" s="86">
        <f t="shared" si="0"/>
        <v>30940.275000000023</v>
      </c>
      <c r="L5" s="86">
        <f>ינואר!J5+פברואר!J5+מרץ!J5+אפריל!J5+מאי!J5+יוני!J5+יולי!M5+אוגוסט!M5+ספטמבר!M5</f>
        <v>664285.71428571432</v>
      </c>
      <c r="M5" s="172">
        <f>H5/L5-1</f>
        <v>-1.9911115053763417E-2</v>
      </c>
      <c r="N5" s="86">
        <f t="shared" si="1"/>
        <v>-13226.669285714277</v>
      </c>
      <c r="P5" s="89">
        <f>_xlfn.XLOOKUP($A5,'תקציב  '!A:A,'תקציב  '!AT:AT)</f>
        <v>737274.56499999994</v>
      </c>
      <c r="Q5" s="172">
        <f t="shared" si="3"/>
        <v>0.88306185498207179</v>
      </c>
      <c r="R5" s="89">
        <f t="shared" si="4"/>
        <v>-86215.519999999902</v>
      </c>
    </row>
    <row r="6" spans="1:18" x14ac:dyDescent="0.2">
      <c r="A6" s="134">
        <v>4</v>
      </c>
      <c r="B6" s="89" t="s">
        <v>3</v>
      </c>
      <c r="C6" s="89" t="s">
        <v>3</v>
      </c>
      <c r="D6" s="89" t="s">
        <v>3</v>
      </c>
      <c r="E6" s="3" t="s">
        <v>40</v>
      </c>
      <c r="F6" s="86">
        <f>ינואר!E6+פברואר!E6+מרץ!E6+אפריל!E6+מאי!E6+יוני!E6+יולי!F6+אוגוסט!F6+ספטמבר!F6</f>
        <v>1412930.0419999999</v>
      </c>
      <c r="G6" s="86">
        <f>ינואר!F6+פברואר!F6+מרץ!F6+אפריל!F6+מאי!F6+יוני!F6+יולי!G6+אוגוסט!G6+ספטמבר!G6</f>
        <v>1478563.5894000016</v>
      </c>
      <c r="H6" s="86">
        <f>ינואר!G6+פברואר!G6+מרץ!G6+אפריל!G6+מאי!G6+יוני!G6+יולי!H6+אוגוסט!H6+ספטמבר!H6</f>
        <v>1409547.8450000002</v>
      </c>
      <c r="I6" s="172">
        <f t="shared" si="2"/>
        <v>-4.6677562530812677E-2</v>
      </c>
      <c r="J6" s="86">
        <f t="shared" si="0"/>
        <v>-69015.744400001364</v>
      </c>
      <c r="L6" s="86">
        <f>ינואר!J6+פברואר!J6+מרץ!J6+אפריל!J6+מאי!J6+יוני!J6+יולי!M6+אוגוסט!M6+ספטמבר!M6</f>
        <v>1440380.9523809524</v>
      </c>
      <c r="M6" s="172">
        <f>IFERROR(H6/L6-1,"")</f>
        <v>-2.1406217105263026E-2</v>
      </c>
      <c r="N6" s="86">
        <f t="shared" si="1"/>
        <v>-30833.10738095222</v>
      </c>
      <c r="P6" s="89">
        <f>_xlfn.XLOOKUP($A6,'תקציב  '!A:A,'תקציב  '!AT:AT)</f>
        <v>1518523.9780000001</v>
      </c>
      <c r="Q6" s="172">
        <f t="shared" si="3"/>
        <v>0.92823548750048124</v>
      </c>
      <c r="R6" s="89">
        <f t="shared" si="4"/>
        <v>-108976.13299999991</v>
      </c>
    </row>
    <row r="7" spans="1:18" x14ac:dyDescent="0.2">
      <c r="A7" s="134">
        <v>3</v>
      </c>
      <c r="B7" s="89" t="s">
        <v>112</v>
      </c>
      <c r="C7" s="89" t="s">
        <v>2</v>
      </c>
      <c r="D7" s="89" t="s">
        <v>2</v>
      </c>
      <c r="E7" s="3" t="s">
        <v>40</v>
      </c>
      <c r="F7" s="86">
        <f>ינואר!E7+פברואר!E7+מרץ!E7+אפריל!E7+מאי!E7+יוני!E7+יולי!F7+אוגוסט!F7+ספטמבר!F7</f>
        <v>3129635.8</v>
      </c>
      <c r="G7" s="86">
        <f>ינואר!F7+פברואר!F7+מרץ!F7+אפריל!F7+מאי!F7+יוני!F7+יולי!G7+אוגוסט!G7+ספטמבר!G7</f>
        <v>2948891.75</v>
      </c>
      <c r="H7" s="86">
        <f>ינואר!G7+פברואר!G7+מרץ!G7+אפריל!G7+מאי!G7+יוני!G7+יולי!H7+אוגוסט!H7+ספטמבר!H7</f>
        <v>2727663.25</v>
      </c>
      <c r="I7" s="172">
        <f t="shared" si="2"/>
        <v>-7.5020895561866641E-2</v>
      </c>
      <c r="J7" s="86">
        <f t="shared" si="0"/>
        <v>-221228.5</v>
      </c>
      <c r="L7" s="86">
        <f>ינואר!J7+פברואר!J7+מרץ!J7+אפריל!J7+מאי!J7+יוני!J7+יולי!M7+אוגוסט!M7+ספטמבר!M7</f>
        <v>3285000</v>
      </c>
      <c r="M7" s="172">
        <f t="shared" ref="M7:M42" si="5">IFERROR(H7/L7-1,"")</f>
        <v>-0.16966111111111115</v>
      </c>
      <c r="N7" s="86">
        <f t="shared" si="1"/>
        <v>-557336.75</v>
      </c>
      <c r="P7" s="89">
        <f>_xlfn.XLOOKUP($A7,'תקציב  '!A:A,'תקציב  '!AT:AT)</f>
        <v>2732410.85</v>
      </c>
      <c r="Q7" s="172">
        <f t="shared" si="3"/>
        <v>0.99826248677061136</v>
      </c>
      <c r="R7" s="89">
        <f t="shared" si="4"/>
        <v>-4747.6000000000931</v>
      </c>
    </row>
    <row r="8" spans="1:18" x14ac:dyDescent="0.2">
      <c r="A8" s="134">
        <v>8</v>
      </c>
      <c r="B8" s="89" t="s">
        <v>113</v>
      </c>
      <c r="C8" s="89" t="s">
        <v>5</v>
      </c>
      <c r="D8" s="89" t="s">
        <v>5</v>
      </c>
      <c r="E8" s="3" t="s">
        <v>40</v>
      </c>
      <c r="F8" s="86">
        <f>ינואר!E8+פברואר!E8+מרץ!E8+אפריל!E8+מאי!E8+יוני!E8+יולי!F8+אוגוסט!F8+ספטמבר!F8</f>
        <v>622235.07000000007</v>
      </c>
      <c r="G8" s="86">
        <f>ינואר!F8+פברואר!F8+מרץ!F8+אפריל!F8+מאי!F8+יוני!F8+יולי!G8+אוגוסט!G8+ספטמבר!G8</f>
        <v>693798.13</v>
      </c>
      <c r="H8" s="86">
        <f>ינואר!G8+פברואר!G8+מרץ!G8+אפריל!G8+מאי!G8+יוני!G8+יולי!H8+אוגוסט!H8+ספטמבר!H8</f>
        <v>520254.74100000004</v>
      </c>
      <c r="I8" s="172">
        <f t="shared" si="2"/>
        <v>-0.25013527926343637</v>
      </c>
      <c r="J8" s="86">
        <f t="shared" si="0"/>
        <v>-173543.38899999997</v>
      </c>
      <c r="L8" s="86">
        <f>ינואר!J8+פברואר!J8+מרץ!J8+אפריל!J8+מאי!J8+יוני!J8+יולי!M8+אוגוסט!M8+ספטמבר!M8</f>
        <v>918095.23809523811</v>
      </c>
      <c r="M8" s="172">
        <f t="shared" si="5"/>
        <v>-0.43333249164937759</v>
      </c>
      <c r="N8" s="86">
        <f t="shared" si="1"/>
        <v>-397840.49709523807</v>
      </c>
      <c r="P8" s="89">
        <f>_xlfn.XLOOKUP($A8,'תקציב  '!A:A,'תקציב  '!AT:AT)</f>
        <v>643097.61100000003</v>
      </c>
      <c r="Q8" s="172">
        <f t="shared" si="3"/>
        <v>0.80898254339806597</v>
      </c>
      <c r="R8" s="89">
        <f t="shared" si="4"/>
        <v>-122842.87</v>
      </c>
    </row>
    <row r="9" spans="1:18" x14ac:dyDescent="0.2">
      <c r="A9" s="134">
        <v>6</v>
      </c>
      <c r="B9" s="89" t="s">
        <v>121</v>
      </c>
      <c r="C9" s="89" t="s">
        <v>4</v>
      </c>
      <c r="D9" s="89" t="s">
        <v>4</v>
      </c>
      <c r="E9" s="3" t="s">
        <v>40</v>
      </c>
      <c r="F9" s="86">
        <f>ינואר!E9+פברואר!E9+מרץ!E9+אפריל!E9+מאי!E9+יוני!E9+יולי!F9+אוגוסט!F9+ספטמבר!F9</f>
        <v>716219.16999999993</v>
      </c>
      <c r="G9" s="86">
        <f>ינואר!F9+פברואר!F9+מרץ!F9+אפריל!F9+מאי!F9+יוני!F9+יולי!G9+אוגוסט!G9+ספטמבר!G9</f>
        <v>631237.26000000013</v>
      </c>
      <c r="H9" s="86">
        <f>ינואר!G9+פברואר!G9+מרץ!G9+אפריל!G9+מאי!G9+יוני!G9+יולי!H9+אוגוסט!H9+ספטמבר!H9</f>
        <v>678114.16</v>
      </c>
      <c r="I9" s="172">
        <f t="shared" si="2"/>
        <v>7.4261934411159247E-2</v>
      </c>
      <c r="J9" s="86">
        <f t="shared" si="0"/>
        <v>46876.899999999907</v>
      </c>
      <c r="L9" s="86">
        <f>ינואר!J9+פברואר!J9+מרץ!J9+אפריל!J9+מאי!J9+יוני!J9+יולי!M9+אוגוסט!M9+ספטמבר!M9</f>
        <v>1450738.0952380951</v>
      </c>
      <c r="M9" s="172">
        <f t="shared" si="5"/>
        <v>-0.53257299699660265</v>
      </c>
      <c r="N9" s="86">
        <f t="shared" si="1"/>
        <v>-772623.93523809512</v>
      </c>
      <c r="P9" s="89">
        <f>_xlfn.XLOOKUP($A9,'תקציב  '!A:A,'תקציב  '!AT:AT)</f>
        <v>775277.57</v>
      </c>
      <c r="Q9" s="172">
        <f t="shared" si="3"/>
        <v>0.87467274462745015</v>
      </c>
      <c r="R9" s="89">
        <f t="shared" si="4"/>
        <v>-97163.409999999916</v>
      </c>
    </row>
    <row r="10" spans="1:18" x14ac:dyDescent="0.2">
      <c r="A10" s="135">
        <v>10</v>
      </c>
      <c r="B10" s="89" t="s">
        <v>120</v>
      </c>
      <c r="C10" s="89" t="s">
        <v>6</v>
      </c>
      <c r="D10" s="89" t="s">
        <v>6</v>
      </c>
      <c r="E10" s="3" t="s">
        <v>40</v>
      </c>
      <c r="F10" s="86">
        <f>ינואר!E10+פברואר!E10+מרץ!E10+אפריל!E10+מאי!E10+יוני!E10+יולי!F10+אוגוסט!F10+ספטמבר!F10</f>
        <v>148594.22</v>
      </c>
      <c r="G10" s="86">
        <f>ינואר!F10+פברואר!F10+מרץ!F10+אפריל!F10+מאי!F10+יוני!F10+יולי!G10+אוגוסט!G10+ספטמבר!G10</f>
        <v>136440.48000000001</v>
      </c>
      <c r="H10" s="86">
        <f>ינואר!G10+פברואר!G10+מרץ!G10+אפריל!G10+מאי!G10+יוני!G10+יולי!H10+אוגוסט!H10+ספטמבר!H10</f>
        <v>79418.590000000011</v>
      </c>
      <c r="I10" s="172">
        <f t="shared" si="2"/>
        <v>-0.41792501756077083</v>
      </c>
      <c r="J10" s="86">
        <f t="shared" si="0"/>
        <v>-57021.89</v>
      </c>
      <c r="L10" s="86">
        <f>ינואר!J10+פברואר!J10+מרץ!J10+אפריל!J10+מאי!J10+יוני!J10+יולי!M10+אוגוסט!M10+ספטמבר!M10</f>
        <v>140238.09523809524</v>
      </c>
      <c r="M10" s="172">
        <f t="shared" si="5"/>
        <v>-0.43368747368421046</v>
      </c>
      <c r="N10" s="86">
        <f t="shared" si="1"/>
        <v>-60819.505238095226</v>
      </c>
      <c r="P10" s="89">
        <f>_xlfn.XLOOKUP($A10,'תקציב  '!A:A,'תקציב  '!AT:AT)</f>
        <v>106235.08</v>
      </c>
      <c r="Q10" s="172">
        <f t="shared" si="3"/>
        <v>0.74757405934085064</v>
      </c>
      <c r="R10" s="89">
        <f t="shared" si="4"/>
        <v>-26816.489999999991</v>
      </c>
    </row>
    <row r="11" spans="1:18" x14ac:dyDescent="0.2">
      <c r="A11" s="134">
        <v>11</v>
      </c>
      <c r="B11" s="89" t="s">
        <v>117</v>
      </c>
      <c r="C11" s="89" t="s">
        <v>66</v>
      </c>
      <c r="D11" s="89" t="s">
        <v>66</v>
      </c>
      <c r="E11" s="3" t="s">
        <v>40</v>
      </c>
      <c r="F11" s="86">
        <f>ינואר!E11+פברואר!E11+מרץ!E11+אפריל!E11+מאי!E11+יוני!E11+יולי!F11+אוגוסט!F11+ספטמבר!F11</f>
        <v>53025.06</v>
      </c>
      <c r="G11" s="86">
        <f>ינואר!F11+פברואר!F11+מרץ!F11+אפריל!F11+מאי!F11+יוני!F11+יולי!G11+אוגוסט!G11+ספטמבר!G11</f>
        <v>46316.380000000005</v>
      </c>
      <c r="H11" s="86">
        <f>ינואר!G11+פברואר!G11+מרץ!G11+אפריל!G11+מאי!G11+יוני!G11+יולי!H11+אוגוסט!H11+ספטמבר!H11</f>
        <v>45013.96</v>
      </c>
      <c r="I11" s="172">
        <f t="shared" si="2"/>
        <v>-2.8120073287247527E-2</v>
      </c>
      <c r="J11" s="86">
        <f t="shared" si="0"/>
        <v>-1302.4200000000055</v>
      </c>
      <c r="L11" s="86">
        <f>ינואר!J11+פברואר!J11+מרץ!J11+אפריל!J11+מאי!J11+יוני!J11+יולי!M11+אוגוסט!M11+ספטמבר!M11</f>
        <v>72809.523809523802</v>
      </c>
      <c r="M11" s="172">
        <f t="shared" si="5"/>
        <v>-0.38175725310660558</v>
      </c>
      <c r="N11" s="86">
        <f t="shared" si="1"/>
        <v>-27795.563809523803</v>
      </c>
      <c r="P11" s="89">
        <f>_xlfn.XLOOKUP($A11,'תקציב  '!A:A,'תקציב  '!AT:AT)</f>
        <v>64015.41</v>
      </c>
      <c r="Q11" s="172">
        <f t="shared" si="3"/>
        <v>0.70317381393011458</v>
      </c>
      <c r="R11" s="89">
        <f t="shared" si="4"/>
        <v>-19001.450000000004</v>
      </c>
    </row>
    <row r="12" spans="1:18" x14ac:dyDescent="0.2">
      <c r="A12" s="134">
        <v>14</v>
      </c>
      <c r="B12" s="89" t="s">
        <v>116</v>
      </c>
      <c r="C12" s="89" t="s">
        <v>8</v>
      </c>
      <c r="D12" s="89" t="s">
        <v>8</v>
      </c>
      <c r="E12" s="3" t="s">
        <v>40</v>
      </c>
      <c r="F12" s="86">
        <f>ינואר!E12+פברואר!E12+מרץ!E12+אפריל!E12+מאי!E12+יוני!E12+יולי!F12+אוגוסט!F12+ספטמבר!F12</f>
        <v>2380.1</v>
      </c>
      <c r="G12" s="86">
        <f>ינואר!F12+פברואר!F12+מרץ!F12+אפריל!F12+מאי!F12+יוני!F12+יולי!G12+אוגוסט!G12+ספטמבר!G12</f>
        <v>2977.14</v>
      </c>
      <c r="H12" s="86">
        <f>ינואר!G12+פברואר!G12+מרץ!G12+אפריל!G12+מאי!G12+יוני!G12+יולי!H12+אוגוסט!H12+ספטמבר!H12</f>
        <v>4305.0200000000004</v>
      </c>
      <c r="I12" s="172">
        <f t="shared" si="2"/>
        <v>0.44602538006274495</v>
      </c>
      <c r="J12" s="86">
        <f t="shared" si="0"/>
        <v>1327.8800000000006</v>
      </c>
      <c r="L12" s="86">
        <f>ינואר!J12+פברואר!J12+מרץ!J12+אפריל!J12+מאי!J12+יוני!J12+יולי!M12+אוגוסט!M12+ספטמבר!M12</f>
        <v>0</v>
      </c>
      <c r="M12" s="172" t="str">
        <f t="shared" si="5"/>
        <v/>
      </c>
      <c r="N12" s="86">
        <f t="shared" si="1"/>
        <v>4305.0200000000004</v>
      </c>
      <c r="P12" s="89">
        <f>_xlfn.XLOOKUP($A12,'תקציב  '!A:A,'תקציב  '!AT:AT)</f>
        <v>18576.150000000001</v>
      </c>
      <c r="Q12" s="172">
        <f t="shared" si="3"/>
        <v>0.23174985128780723</v>
      </c>
      <c r="R12" s="89">
        <f t="shared" si="4"/>
        <v>-14271.130000000001</v>
      </c>
    </row>
    <row r="13" spans="1:18" x14ac:dyDescent="0.2">
      <c r="A13" s="134">
        <v>15</v>
      </c>
      <c r="B13" s="89" t="s">
        <v>119</v>
      </c>
      <c r="C13" s="89" t="s">
        <v>151</v>
      </c>
      <c r="D13" s="89" t="s">
        <v>151</v>
      </c>
      <c r="E13" s="3" t="s">
        <v>40</v>
      </c>
      <c r="F13" s="86">
        <f>ינואר!E13+פברואר!E13+מרץ!E13+אפריל!E13+מאי!E13+יוני!E13+יולי!F13+אוגוסט!F13+ספטמבר!F13</f>
        <v>1597.46</v>
      </c>
      <c r="G13" s="86">
        <f>ינואר!F13+פברואר!F13+מרץ!F13+אפריל!F13+מאי!F13+יוני!F13+יולי!G13+אוגוסט!G13+ספטמבר!G13</f>
        <v>0</v>
      </c>
      <c r="H13" s="86">
        <f>ינואר!G13+פברואר!G13+מרץ!G13+אפריל!G13+מאי!G13+יוני!G13+יולי!H13+אוגוסט!H13+ספטמבר!H13</f>
        <v>1896.82</v>
      </c>
      <c r="I13" s="172" t="str">
        <f t="shared" si="2"/>
        <v/>
      </c>
      <c r="J13" s="86">
        <f t="shared" si="0"/>
        <v>1896.82</v>
      </c>
      <c r="L13" s="86">
        <f>ינואר!J13+פברואר!J13+מרץ!J13+אפריל!J13+מאי!J13+יוני!J13+יולי!M13+אוגוסט!M13+ספטמבר!M13</f>
        <v>12500</v>
      </c>
      <c r="M13" s="172">
        <f t="shared" si="5"/>
        <v>-0.84825439999999996</v>
      </c>
      <c r="N13" s="86">
        <f t="shared" si="1"/>
        <v>-10603.18</v>
      </c>
      <c r="P13" s="89">
        <f>_xlfn.XLOOKUP($A13,'תקציב  '!A:A,'תקציב  '!AT:AT)</f>
        <v>16896.82</v>
      </c>
      <c r="Q13" s="172">
        <f t="shared" si="3"/>
        <v>0.11225899311231344</v>
      </c>
      <c r="R13" s="89">
        <f t="shared" si="4"/>
        <v>-15000</v>
      </c>
    </row>
    <row r="14" spans="1:18" x14ac:dyDescent="0.2">
      <c r="A14" s="134">
        <v>13</v>
      </c>
      <c r="B14" s="89" t="s">
        <v>114</v>
      </c>
      <c r="C14" s="89" t="s">
        <v>45</v>
      </c>
      <c r="D14" s="89" t="s">
        <v>45</v>
      </c>
      <c r="E14" s="3" t="s">
        <v>40</v>
      </c>
      <c r="F14" s="86">
        <f>ינואר!E14+פברואר!E14+מרץ!E14+אפריל!E14+מאי!E14+יוני!E14+יולי!F14+אוגוסט!F14+ספטמבר!F14</f>
        <v>5854.85</v>
      </c>
      <c r="G14" s="86">
        <f>ינואר!F14+פברואר!F14+מרץ!F14+אפריל!F14+מאי!F14+יוני!F14+יולי!G14+אוגוסט!G14+ספטמבר!G14</f>
        <v>11718.66</v>
      </c>
      <c r="H14" s="86">
        <f>ינואר!G14+פברואר!G14+מרץ!G14+אפריל!G14+מאי!G14+יוני!G14+יולי!H14+אוגוסט!H14+ספטמבר!H14</f>
        <v>14953.48</v>
      </c>
      <c r="I14" s="172">
        <f t="shared" si="2"/>
        <v>0.27604009332125012</v>
      </c>
      <c r="J14" s="86">
        <f t="shared" si="0"/>
        <v>3234.8199999999997</v>
      </c>
      <c r="L14" s="86">
        <f>ינואר!J14+פברואר!J14+מרץ!J14+אפריל!J14+מאי!J14+יוני!J14+יולי!M14+אוגוסט!M14+ספטמבר!M14</f>
        <v>300000</v>
      </c>
      <c r="M14" s="172">
        <f t="shared" si="5"/>
        <v>-0.95015506666666671</v>
      </c>
      <c r="N14" s="86">
        <f t="shared" si="1"/>
        <v>-285046.52</v>
      </c>
      <c r="P14" s="89">
        <f>_xlfn.XLOOKUP($A14,'תקציב  '!A:A,'תקציב  '!AT:AT)</f>
        <v>22748.720000000001</v>
      </c>
      <c r="Q14" s="172">
        <f t="shared" si="3"/>
        <v>0.65733280817558082</v>
      </c>
      <c r="R14" s="89">
        <f t="shared" si="4"/>
        <v>-7795.2400000000016</v>
      </c>
    </row>
    <row r="15" spans="1:18" x14ac:dyDescent="0.2">
      <c r="A15" s="134">
        <v>9</v>
      </c>
      <c r="B15" s="89" t="s">
        <v>118</v>
      </c>
      <c r="C15" s="89" t="s">
        <v>73</v>
      </c>
      <c r="D15" s="89" t="s">
        <v>73</v>
      </c>
      <c r="E15" s="3" t="s">
        <v>40</v>
      </c>
      <c r="F15" s="86">
        <f>ינואר!E15+פברואר!E15+מרץ!E15+אפריל!E15+מאי!E15+יוני!E15+יולי!F15+אוגוסט!F15+ספטמבר!F15</f>
        <v>61289.159999999996</v>
      </c>
      <c r="G15" s="86">
        <f>ינואר!F15+פברואר!F15+מרץ!F15+אפריל!F15+מאי!F15+יוני!F15+יולי!G15+אוגוסט!G15+ספטמבר!G15</f>
        <v>77370.670000000013</v>
      </c>
      <c r="H15" s="86">
        <f>ינואר!G15+פברואר!G15+מרץ!G15+אפריל!G15+מאי!G15+יוני!G15+יולי!H15+אוגוסט!H15+ספטמבר!H15</f>
        <v>118677.26000000001</v>
      </c>
      <c r="I15" s="172">
        <f t="shared" si="2"/>
        <v>0.53387918186568628</v>
      </c>
      <c r="J15" s="86">
        <f t="shared" si="0"/>
        <v>41306.589999999997</v>
      </c>
      <c r="L15" s="86">
        <f>ינואר!J15+פברואר!J15+מרץ!J15+אפריל!J15+מאי!J15+יוני!J15+יולי!M15+אוגוסט!M15+ספטמבר!M15</f>
        <v>147619.0476190476</v>
      </c>
      <c r="M15" s="172">
        <f t="shared" si="5"/>
        <v>-0.19605727096774184</v>
      </c>
      <c r="N15" s="86">
        <f t="shared" si="1"/>
        <v>-28941.787619047594</v>
      </c>
      <c r="P15" s="89">
        <f>_xlfn.XLOOKUP($A15,'תקציב  '!A:A,'תקציב  '!AT:AT)</f>
        <v>164111.1</v>
      </c>
      <c r="Q15" s="172">
        <f t="shared" si="3"/>
        <v>0.72315193792497889</v>
      </c>
      <c r="R15" s="89">
        <f t="shared" si="4"/>
        <v>-45433.84</v>
      </c>
    </row>
    <row r="16" spans="1:18" ht="15" x14ac:dyDescent="0.25">
      <c r="A16" s="136"/>
      <c r="B16" s="152"/>
      <c r="C16" s="152" t="s">
        <v>221</v>
      </c>
      <c r="D16" s="152" t="s">
        <v>221</v>
      </c>
      <c r="E16" s="152"/>
      <c r="F16" s="152">
        <f>SUM(F3:F15)</f>
        <v>12770677.99</v>
      </c>
      <c r="G16" s="152">
        <f>SUM(G3:G15)</f>
        <v>12652684.662000041</v>
      </c>
      <c r="H16" s="152">
        <f>SUM(H3:H15)</f>
        <v>11790075.781000001</v>
      </c>
      <c r="I16" s="173">
        <f t="shared" si="2"/>
        <v>-6.8175956648214298E-2</v>
      </c>
      <c r="J16" s="152">
        <f>SUM(J3:J15)</f>
        <v>-862608.88100003812</v>
      </c>
      <c r="L16" s="152">
        <f>SUM(L3:L15)</f>
        <v>15305333.333333334</v>
      </c>
      <c r="M16" s="173">
        <f t="shared" si="5"/>
        <v>-0.22967533445857646</v>
      </c>
      <c r="N16" s="152">
        <f>SUM(N3:N15)</f>
        <v>-3515257.5523333317</v>
      </c>
      <c r="P16" s="152">
        <f>SUM(P3:P15)</f>
        <v>12564549.047000002</v>
      </c>
      <c r="Q16" s="173">
        <f t="shared" si="3"/>
        <v>0.9383604407048004</v>
      </c>
      <c r="R16" s="152">
        <f t="shared" ref="R16:R41" si="6">E16-P16</f>
        <v>-12564549.047000002</v>
      </c>
    </row>
    <row r="17" spans="1:18" x14ac:dyDescent="0.2">
      <c r="A17" s="134">
        <v>2</v>
      </c>
      <c r="B17" s="89" t="s">
        <v>111</v>
      </c>
      <c r="C17" s="89" t="s">
        <v>7</v>
      </c>
      <c r="D17" s="89" t="s">
        <v>7</v>
      </c>
      <c r="E17" s="3" t="s">
        <v>40</v>
      </c>
      <c r="F17" s="86">
        <f>ינואר!E17+פברואר!E17+מרץ!E17+אפריל!E17+מאי!E17+יוני!E17+יולי!F17+אוגוסט!F17+ספטמבר!F17</f>
        <v>429620.91000000003</v>
      </c>
      <c r="G17" s="86">
        <f>ינואר!F17+פברואר!F17+מרץ!F17+אפריל!F17+מאי!F17+יוני!F17+יולי!G17+אוגוסט!G17+ספטמבר!G17</f>
        <v>1057143.2099999962</v>
      </c>
      <c r="H17" s="86">
        <f>ינואר!G17+פברואר!G17+מרץ!G17+אפריל!G17+מאי!G17+יוני!G17+יולי!H17+אוגוסט!H17+ספטמבר!H17</f>
        <v>3368003.3100000275</v>
      </c>
      <c r="I17" s="172">
        <f t="shared" si="2"/>
        <v>2.1859480136092815</v>
      </c>
      <c r="J17" s="86">
        <f>H17-G17</f>
        <v>2310860.1000000313</v>
      </c>
      <c r="L17" s="86">
        <f>ינואר!J17+פברואר!J17+מרץ!J17+אפריל!J17+מאי!J17+יוני!J17+יולי!M17+אוגוסט!M17+ספטמבר!M17</f>
        <v>6314447.4576271195</v>
      </c>
      <c r="M17" s="172">
        <f t="shared" si="5"/>
        <v>-0.46661947342172105</v>
      </c>
      <c r="N17" s="86">
        <f>H17-L17</f>
        <v>-2946444.147627092</v>
      </c>
      <c r="P17" s="89">
        <f>_xlfn.XLOOKUP($A17,'תקציב  '!A:A,'תקציב  '!AT:AT)</f>
        <v>4139839.0474576582</v>
      </c>
      <c r="Q17" s="172">
        <f t="shared" si="3"/>
        <v>0.81355899864473535</v>
      </c>
      <c r="R17" s="89">
        <f t="shared" si="4"/>
        <v>-771835.73745763069</v>
      </c>
    </row>
    <row r="18" spans="1:18" x14ac:dyDescent="0.2">
      <c r="A18" s="134">
        <v>12</v>
      </c>
      <c r="B18" s="89" t="s">
        <v>110</v>
      </c>
      <c r="C18" s="89" t="s">
        <v>65</v>
      </c>
      <c r="D18" s="89" t="s">
        <v>65</v>
      </c>
      <c r="E18" s="3" t="s">
        <v>40</v>
      </c>
      <c r="F18" s="86">
        <f>ינואר!E18+פברואר!E18+מרץ!E18+אפריל!E18+מאי!E18+יוני!E18+יולי!F18+אוגוסט!F18+ספטמבר!F18</f>
        <v>25303.930000000004</v>
      </c>
      <c r="G18" s="86">
        <f>ינואר!F18+פברואר!F18+מרץ!F18+אפריל!F18+מאי!F18+יוני!F18+יולי!G18+אוגוסט!G18+ספטמבר!G18</f>
        <v>22943.14</v>
      </c>
      <c r="H18" s="86">
        <f>ינואר!G18+פברואר!G18+מרץ!G18+אפריל!G18+מאי!G18+יוני!G18+יולי!H18+אוגוסט!H18+ספטמבר!H18</f>
        <v>13580.480000000003</v>
      </c>
      <c r="I18" s="172">
        <f t="shared" si="2"/>
        <v>-0.40808102116798295</v>
      </c>
      <c r="J18" s="86">
        <f>H18-G18</f>
        <v>-9362.6599999999962</v>
      </c>
      <c r="L18" s="86">
        <f>ינואר!J18+פברואר!J18+מרץ!J18+אפריל!J18+מאי!J18+יוני!J18+יולי!M18+אוגוסט!M18+ספטמבר!M18</f>
        <v>22832.354999999996</v>
      </c>
      <c r="M18" s="172">
        <f t="shared" si="5"/>
        <v>-0.40520896771270398</v>
      </c>
      <c r="N18" s="86">
        <f>H18-L18</f>
        <v>-9251.8749999999927</v>
      </c>
      <c r="P18" s="89">
        <f>_xlfn.XLOOKUP($A18,'תקציב  '!A:A,'תקציב  '!AT:AT)</f>
        <v>24807.020000000004</v>
      </c>
      <c r="Q18" s="172">
        <f t="shared" si="3"/>
        <v>0.5474450377352863</v>
      </c>
      <c r="R18" s="89">
        <f t="shared" si="4"/>
        <v>-11226.54</v>
      </c>
    </row>
    <row r="19" spans="1:18" ht="15" x14ac:dyDescent="0.25">
      <c r="A19" s="135"/>
      <c r="B19" s="152"/>
      <c r="C19" s="152" t="s">
        <v>41</v>
      </c>
      <c r="D19" s="152" t="s">
        <v>41</v>
      </c>
      <c r="E19" s="152"/>
      <c r="F19" s="152">
        <f>F16+F17+F18</f>
        <v>13225602.83</v>
      </c>
      <c r="G19" s="152">
        <f>G16+G17+G18</f>
        <v>13732771.012000039</v>
      </c>
      <c r="H19" s="152">
        <f>H16+H17+H18</f>
        <v>15171659.571000028</v>
      </c>
      <c r="I19" s="173">
        <f t="shared" si="2"/>
        <v>0.10477772896254156</v>
      </c>
      <c r="J19" s="152">
        <f>J16+J17+J18</f>
        <v>1438888.5589999931</v>
      </c>
      <c r="L19" s="152">
        <f>L16+L17+L18</f>
        <v>21642613.145960454</v>
      </c>
      <c r="M19" s="173">
        <f t="shared" si="5"/>
        <v>-0.29899132472218193</v>
      </c>
      <c r="N19" s="152">
        <f>N16+N17+N18</f>
        <v>-6470953.5749604236</v>
      </c>
      <c r="P19" s="152">
        <f>P16+P17+P18</f>
        <v>16729195.114457659</v>
      </c>
      <c r="Q19" s="173">
        <f t="shared" si="3"/>
        <v>0.90689716194943637</v>
      </c>
      <c r="R19" s="152">
        <f t="shared" si="6"/>
        <v>-16729195.114457659</v>
      </c>
    </row>
    <row r="20" spans="1:18" x14ac:dyDescent="0.2">
      <c r="A20" s="135">
        <v>50</v>
      </c>
      <c r="B20" s="89" t="s">
        <v>92</v>
      </c>
      <c r="C20" s="89" t="s">
        <v>74</v>
      </c>
      <c r="D20" s="89" t="s">
        <v>47</v>
      </c>
      <c r="E20" s="3" t="s">
        <v>38</v>
      </c>
      <c r="F20" s="86">
        <f>ינואר!E20+פברואר!E20+מרץ!E20+אפריל!E20+מאי!E20+יוני!E20+יולי!F20+אוגוסט!F20+ספטמבר!F20</f>
        <v>2906580.68</v>
      </c>
      <c r="G20" s="86">
        <f>ינואר!F20+פברואר!F20+מרץ!F20+אפריל!F20+מאי!F20+יוני!F20+יולי!G20+אוגוסט!G20+ספטמבר!G20</f>
        <v>2028417.5100000002</v>
      </c>
      <c r="H20" s="86">
        <f>ינואר!G20+פברואר!G20+מרץ!G20+אפריל!G20+מאי!G20+יוני!G20+יולי!H20+אוגוסט!H20+ספטמבר!H20</f>
        <v>1879662.74</v>
      </c>
      <c r="I20" s="172">
        <f t="shared" si="2"/>
        <v>-7.3335380545004436E-2</v>
      </c>
      <c r="J20" s="86">
        <f t="shared" ref="J20:J39" si="7">H20-G20</f>
        <v>-148754.77000000025</v>
      </c>
      <c r="L20" s="86">
        <f>ינואר!J20+פברואר!J20+מרץ!J20+אפריל!J20+מאי!J20+יוני!J20+יולי!M20+אוגוסט!M20+ספטמבר!M20</f>
        <v>3531906.2241374999</v>
      </c>
      <c r="M20" s="172">
        <f t="shared" si="5"/>
        <v>-0.46780502631860843</v>
      </c>
      <c r="N20" s="86">
        <f t="shared" ref="N20:N39" si="8">H20-L20</f>
        <v>-1652243.4841374999</v>
      </c>
      <c r="P20" s="89">
        <f>_xlfn.XLOOKUP($A20,'תקציב  '!A:A,'תקציב  '!AT:AT)</f>
        <v>2152452.4099999997</v>
      </c>
      <c r="Q20" s="172">
        <f t="shared" si="3"/>
        <v>0.87326564400092832</v>
      </c>
      <c r="R20" s="89">
        <f t="shared" si="4"/>
        <v>-272789.66999999969</v>
      </c>
    </row>
    <row r="21" spans="1:18" x14ac:dyDescent="0.2">
      <c r="A21" s="135">
        <v>20</v>
      </c>
      <c r="B21" s="89" t="s">
        <v>93</v>
      </c>
      <c r="C21" s="89" t="s">
        <v>75</v>
      </c>
      <c r="D21" s="89" t="s">
        <v>13</v>
      </c>
      <c r="E21" s="3" t="s">
        <v>39</v>
      </c>
      <c r="F21" s="86">
        <f>ינואר!E21+פברואר!E21+מרץ!E21+אפריל!E21+מאי!E21+יוני!E21+יולי!F21+אוגוסט!F21+ספטמבר!F21</f>
        <v>741409.27</v>
      </c>
      <c r="G21" s="86">
        <f>ינואר!F21+פברואר!F21+מרץ!F21+אפריל!F21+מאי!F21+יוני!F21+יולי!G21+אוגוסט!G21+ספטמבר!G21</f>
        <v>617670.46</v>
      </c>
      <c r="H21" s="86">
        <f>ינואר!G21+פברואר!G21+מרץ!G21+אפריל!G21+מאי!G21+יוני!G21+יולי!H21+אוגוסט!H21+ספטמבר!H21</f>
        <v>474182.59</v>
      </c>
      <c r="I21" s="172">
        <f t="shared" si="2"/>
        <v>-0.23230489280643263</v>
      </c>
      <c r="J21" s="86">
        <f t="shared" si="7"/>
        <v>-143487.86999999994</v>
      </c>
      <c r="L21" s="86">
        <f>ינואר!J21+פברואר!J21+מרץ!J21+אפריל!J21+מאי!J21+יוני!J21+יולי!M21+אוגוסט!M21+ספטמבר!M21</f>
        <v>676200</v>
      </c>
      <c r="M21" s="172">
        <f t="shared" si="5"/>
        <v>-0.29875393374741199</v>
      </c>
      <c r="N21" s="86">
        <f t="shared" si="8"/>
        <v>-202017.40999999997</v>
      </c>
      <c r="P21" s="89">
        <f>_xlfn.XLOOKUP($A21,'תקציב  '!A:A,'תקציב  '!AT:AT)</f>
        <v>472081.02</v>
      </c>
      <c r="Q21" s="172">
        <f t="shared" si="3"/>
        <v>1.004451714665419</v>
      </c>
      <c r="R21" s="89">
        <f t="shared" si="4"/>
        <v>2101.570000000007</v>
      </c>
    </row>
    <row r="22" spans="1:18" x14ac:dyDescent="0.2">
      <c r="A22" s="135">
        <v>21</v>
      </c>
      <c r="B22" s="89" t="s">
        <v>94</v>
      </c>
      <c r="C22" s="89" t="s">
        <v>80</v>
      </c>
      <c r="D22" s="89" t="s">
        <v>18</v>
      </c>
      <c r="E22" s="3" t="s">
        <v>19</v>
      </c>
      <c r="F22" s="86">
        <f>ינואר!E22+פברואר!E22+מרץ!E22+אפריל!E22+מאי!E22+יוני!E22+יולי!F22+אוגוסט!F22+ספטמבר!F22</f>
        <v>412922.25</v>
      </c>
      <c r="G22" s="86">
        <f>ינואר!F22+פברואר!F22+מרץ!F22+אפריל!F22+מאי!F22+יוני!F22+יולי!G22+אוגוסט!G22+ספטמבר!G22</f>
        <v>351270.78</v>
      </c>
      <c r="H22" s="86">
        <f>ינואר!G22+פברואר!G22+מרץ!G22+אפריל!G22+מאי!G22+יוני!G22+יולי!H22+אוגוסט!H22+ספטמבר!H22</f>
        <v>344263.09</v>
      </c>
      <c r="I22" s="172">
        <f t="shared" si="2"/>
        <v>-1.9949538643664E-2</v>
      </c>
      <c r="J22" s="86">
        <f t="shared" si="7"/>
        <v>-7007.6900000000023</v>
      </c>
      <c r="L22" s="86">
        <f>ינואר!J22+פברואר!J22+מרץ!J22+אפריל!J22+מאי!J22+יוני!J22+יולי!M22+אוגוסט!M22+ספטמבר!M22</f>
        <v>450000.27</v>
      </c>
      <c r="M22" s="172">
        <f t="shared" si="5"/>
        <v>-0.23497137012828906</v>
      </c>
      <c r="N22" s="86">
        <f t="shared" si="8"/>
        <v>-105737.18</v>
      </c>
      <c r="P22" s="89">
        <f>_xlfn.XLOOKUP($A22,'תקציב  '!A:A,'תקציב  '!AT:AT)</f>
        <v>393276.52</v>
      </c>
      <c r="Q22" s="172">
        <f t="shared" si="3"/>
        <v>0.87537158333276543</v>
      </c>
      <c r="R22" s="89">
        <f t="shared" si="4"/>
        <v>-49013.429999999993</v>
      </c>
    </row>
    <row r="23" spans="1:18" x14ac:dyDescent="0.2">
      <c r="A23" s="135">
        <v>22</v>
      </c>
      <c r="B23" s="89" t="s">
        <v>95</v>
      </c>
      <c r="C23" s="89" t="s">
        <v>82</v>
      </c>
      <c r="D23" s="89" t="s">
        <v>14</v>
      </c>
      <c r="E23" s="3" t="s">
        <v>15</v>
      </c>
      <c r="F23" s="86">
        <f>ינואר!E23+פברואר!E23+מרץ!E23+אפריל!E23+מאי!E23+יוני!E23+יולי!F23+אוגוסט!F23+ספטמבר!F23</f>
        <v>322584.46999999997</v>
      </c>
      <c r="G23" s="86">
        <f>ינואר!F23+פברואר!F23+מרץ!F23+אפריל!F23+מאי!F23+יוני!F23+יולי!G23+אוגוסט!G23+ספטמבר!G23</f>
        <v>330674.84999999998</v>
      </c>
      <c r="H23" s="86">
        <f>ינואר!G23+פברואר!G23+מרץ!G23+אפריל!G23+מאי!G23+יוני!G23+יולי!H23+אוגוסט!H23+ספטמבר!H23</f>
        <v>358276.36</v>
      </c>
      <c r="I23" s="172">
        <f t="shared" si="2"/>
        <v>8.3470242747520684E-2</v>
      </c>
      <c r="J23" s="86">
        <f t="shared" si="7"/>
        <v>27601.510000000009</v>
      </c>
      <c r="L23" s="86">
        <f>ינואר!J23+פברואר!J23+מרץ!J23+אפריל!J23+מאי!J23+יוני!J23+יולי!M23+אוגוסט!M23+ספטמבר!M23</f>
        <v>417158.97</v>
      </c>
      <c r="M23" s="172">
        <f t="shared" si="5"/>
        <v>-0.14115148956283974</v>
      </c>
      <c r="N23" s="86">
        <f t="shared" si="8"/>
        <v>-58882.609999999986</v>
      </c>
      <c r="P23" s="89">
        <f>_xlfn.XLOOKUP($A23,'תקציב  '!A:A,'תקציב  '!AT:AT)</f>
        <v>382053.13</v>
      </c>
      <c r="Q23" s="172">
        <f t="shared" si="3"/>
        <v>0.93776580236366602</v>
      </c>
      <c r="R23" s="89">
        <f t="shared" si="4"/>
        <v>-23776.770000000019</v>
      </c>
    </row>
    <row r="24" spans="1:18" x14ac:dyDescent="0.2">
      <c r="A24" s="135">
        <v>23</v>
      </c>
      <c r="B24" s="89" t="s">
        <v>96</v>
      </c>
      <c r="C24" s="89" t="s">
        <v>78</v>
      </c>
      <c r="D24" s="89" t="s">
        <v>24</v>
      </c>
      <c r="E24" s="3" t="s">
        <v>25</v>
      </c>
      <c r="F24" s="86">
        <f>ינואר!E24+פברואר!E24+מרץ!E24+אפריל!E24+מאי!E24+יוני!E24+יולי!F24+אוגוסט!F24+ספטמבר!F24</f>
        <v>110944.93</v>
      </c>
      <c r="G24" s="86">
        <f>ינואר!F24+פברואר!F24+מרץ!F24+אפריל!F24+מאי!F24+יוני!F24+יולי!G24+אוגוסט!G24+ספטמבר!G24</f>
        <v>91180.65</v>
      </c>
      <c r="H24" s="86">
        <f>ינואר!G24+פברואר!G24+מרץ!G24+אפריל!G24+מאי!G24+יוני!G24+יולי!H24+אוגוסט!H24+ספטמבר!H24</f>
        <v>111290.53</v>
      </c>
      <c r="I24" s="172">
        <f t="shared" si="2"/>
        <v>0.22054986447234159</v>
      </c>
      <c r="J24" s="86">
        <f t="shared" si="7"/>
        <v>20109.880000000005</v>
      </c>
      <c r="L24" s="86">
        <f>ינואר!J24+פברואר!J24+מרץ!J24+אפריל!J24+מאי!J24+יוני!J24+יולי!M24+אוגוסט!M24+ספטמבר!M24</f>
        <v>113774.92</v>
      </c>
      <c r="M24" s="172">
        <f t="shared" si="5"/>
        <v>-2.1836007443468253E-2</v>
      </c>
      <c r="N24" s="86">
        <f t="shared" si="8"/>
        <v>-2484.3899999999994</v>
      </c>
      <c r="P24" s="89">
        <f>_xlfn.XLOOKUP($A24,'תקציב  '!A:A,'תקציב  '!AT:AT)</f>
        <v>111678.59</v>
      </c>
      <c r="Q24" s="172">
        <f t="shared" si="3"/>
        <v>0.99652520684582424</v>
      </c>
      <c r="R24" s="89">
        <f t="shared" si="4"/>
        <v>-388.05999999999767</v>
      </c>
    </row>
    <row r="25" spans="1:18" x14ac:dyDescent="0.2">
      <c r="A25" s="135">
        <v>24</v>
      </c>
      <c r="B25" s="89" t="s">
        <v>97</v>
      </c>
      <c r="C25" s="89" t="s">
        <v>79</v>
      </c>
      <c r="D25" s="89" t="s">
        <v>27</v>
      </c>
      <c r="E25" s="3" t="s">
        <v>46</v>
      </c>
      <c r="F25" s="86">
        <f>ינואר!E25+פברואר!E25+מרץ!E25+אפריל!E25+מאי!E25+יוני!E25+יולי!F25+אוגוסט!F25+ספטמבר!F25</f>
        <v>116140.04999999999</v>
      </c>
      <c r="G25" s="86">
        <f>ינואר!F25+פברואר!F25+מרץ!F25+אפריל!F25+מאי!F25+יוני!F25+יולי!G25+אוגוסט!G25+ספטמבר!G25</f>
        <v>52899.82</v>
      </c>
      <c r="H25" s="86">
        <f>ינואר!G25+פברואר!G25+מרץ!G25+אפריל!G25+מאי!G25+יוני!G25+יולי!H25+אוגוסט!H25+ספטמבר!H25</f>
        <v>0</v>
      </c>
      <c r="I25" s="172">
        <f t="shared" si="2"/>
        <v>-1</v>
      </c>
      <c r="J25" s="86">
        <f t="shared" si="7"/>
        <v>-52899.82</v>
      </c>
      <c r="L25" s="86">
        <f>ינואר!J25+פברואר!J25+מרץ!J25+אפריל!J25+מאי!J25+יוני!J25+יולי!M25+אוגוסט!M25+ספטמבר!M25</f>
        <v>35000</v>
      </c>
      <c r="M25" s="172">
        <f t="shared" si="5"/>
        <v>-1</v>
      </c>
      <c r="N25" s="86">
        <f t="shared" si="8"/>
        <v>-35000</v>
      </c>
      <c r="P25" s="89">
        <f>_xlfn.XLOOKUP($A25,'תקציב  '!A:A,'תקציב  '!AT:AT)</f>
        <v>0</v>
      </c>
      <c r="Q25" s="172" t="str">
        <f t="shared" si="3"/>
        <v>-</v>
      </c>
      <c r="R25" s="89">
        <f t="shared" si="4"/>
        <v>0</v>
      </c>
    </row>
    <row r="26" spans="1:18" ht="13.5" customHeight="1" x14ac:dyDescent="0.2">
      <c r="A26" s="135">
        <v>25</v>
      </c>
      <c r="B26" s="89" t="s">
        <v>98</v>
      </c>
      <c r="C26" s="89" t="s">
        <v>87</v>
      </c>
      <c r="D26" s="89" t="s">
        <v>20</v>
      </c>
      <c r="E26" s="3" t="s">
        <v>21</v>
      </c>
      <c r="F26" s="86">
        <f>ינואר!E26+פברואר!E26+מרץ!E26+אפריל!E26+מאי!E26+יוני!E26+יולי!F26+אוגוסט!F26+ספטמבר!F26</f>
        <v>249206.12</v>
      </c>
      <c r="G26" s="86">
        <f>ינואר!F26+פברואר!F26+מרץ!F26+אפריל!F26+מאי!F26+יוני!F26+יולי!G26+אוגוסט!G26+ספטמבר!G26</f>
        <v>172805.93</v>
      </c>
      <c r="H26" s="86">
        <f>ינואר!G26+פברואר!G26+מרץ!G26+אפריל!G26+מאי!G26+יוני!G26+יולי!H26+אוגוסט!H26+ספטמבר!H26</f>
        <v>365555.25</v>
      </c>
      <c r="I26" s="172">
        <f t="shared" si="2"/>
        <v>1.115409176062419</v>
      </c>
      <c r="J26" s="86">
        <f t="shared" si="7"/>
        <v>192749.32</v>
      </c>
      <c r="L26" s="86">
        <f>ינואר!J26+פברואר!J26+מרץ!J26+אפריל!J26+מאי!J26+יוני!J26+יולי!M26+אוגוסט!M26+ספטמבר!M26</f>
        <v>300000</v>
      </c>
      <c r="M26" s="172">
        <f t="shared" si="5"/>
        <v>0.21851749999999992</v>
      </c>
      <c r="N26" s="86">
        <f t="shared" si="8"/>
        <v>65555.25</v>
      </c>
      <c r="P26" s="89">
        <f>_xlfn.XLOOKUP($A26,'תקציב  '!A:A,'תקציב  '!AT:AT)</f>
        <v>454147.47</v>
      </c>
      <c r="Q26" s="172">
        <f t="shared" si="3"/>
        <v>0.80492631611489551</v>
      </c>
      <c r="R26" s="89">
        <f t="shared" si="4"/>
        <v>-88592.219999999972</v>
      </c>
    </row>
    <row r="27" spans="1:18" x14ac:dyDescent="0.2">
      <c r="A27" s="135">
        <v>26</v>
      </c>
      <c r="B27" s="89" t="s">
        <v>99</v>
      </c>
      <c r="C27" s="89" t="s">
        <v>77</v>
      </c>
      <c r="D27" s="89" t="s">
        <v>26</v>
      </c>
      <c r="E27" s="3" t="s">
        <v>28</v>
      </c>
      <c r="F27" s="86">
        <f>ינואר!E27+פברואר!E27+מרץ!E27+אפריל!E27+מאי!E27+יוני!E27+יולי!F27+אוגוסט!F27+ספטמבר!F27</f>
        <v>142243.82999999999</v>
      </c>
      <c r="G27" s="86">
        <f>ינואר!F27+פברואר!F27+מרץ!F27+אפריל!F27+מאי!F27+יוני!F27+יולי!G27+אוגוסט!G27+ספטמבר!G27</f>
        <v>66251.42</v>
      </c>
      <c r="H27" s="86">
        <f>ינואר!G27+פברואר!G27+מרץ!G27+אפריל!G27+מאי!G27+יוני!G27+יולי!H27+אוגוסט!H27+ספטמבר!H27</f>
        <v>60694.009999999995</v>
      </c>
      <c r="I27" s="172">
        <f t="shared" si="2"/>
        <v>-8.3883636003575512E-2</v>
      </c>
      <c r="J27" s="86">
        <f t="shared" si="7"/>
        <v>-5557.4100000000035</v>
      </c>
      <c r="L27" s="86">
        <f>ינואר!J27+פברואר!J27+מרץ!J27+אפריל!J27+מאי!J27+יוני!J27+יולי!M27+אוגוסט!M27+ספטמבר!M27</f>
        <v>160000</v>
      </c>
      <c r="M27" s="172">
        <f t="shared" si="5"/>
        <v>-0.62066243750000005</v>
      </c>
      <c r="N27" s="86">
        <f t="shared" si="8"/>
        <v>-99305.99</v>
      </c>
      <c r="P27" s="89">
        <f>_xlfn.XLOOKUP($A27,'תקציב  '!A:A,'תקציב  '!AT:AT)</f>
        <v>80694.009999999995</v>
      </c>
      <c r="Q27" s="172">
        <f t="shared" si="3"/>
        <v>0.75215012861549446</v>
      </c>
      <c r="R27" s="89">
        <f t="shared" si="4"/>
        <v>-20000</v>
      </c>
    </row>
    <row r="28" spans="1:18" ht="13.5" customHeight="1" x14ac:dyDescent="0.2">
      <c r="A28" s="135">
        <v>27</v>
      </c>
      <c r="B28" s="89" t="s">
        <v>100</v>
      </c>
      <c r="C28" s="89" t="s">
        <v>88</v>
      </c>
      <c r="D28" s="89" t="s">
        <v>22</v>
      </c>
      <c r="E28" s="3" t="s">
        <v>23</v>
      </c>
      <c r="F28" s="86">
        <f>ינואר!E28+פברואר!E28+מרץ!E28+אפריל!E28+מאי!E28+יוני!E28+יולי!F28+אוגוסט!F28+ספטמבר!F28</f>
        <v>171813.81000000003</v>
      </c>
      <c r="G28" s="86">
        <f>ינואר!F28+פברואר!F28+מרץ!F28+אפריל!F28+מאי!F28+יוני!F28+יולי!G28+אוגוסט!G28+ספטמבר!G28</f>
        <v>0.22</v>
      </c>
      <c r="H28" s="86">
        <f>ינואר!G28+פברואר!G28+מרץ!G28+אפריל!G28+מאי!G28+יוני!G28+יולי!H28+אוגוסט!H28+ספטמבר!H28</f>
        <v>0</v>
      </c>
      <c r="I28" s="172">
        <f t="shared" si="2"/>
        <v>-1</v>
      </c>
      <c r="J28" s="86">
        <f t="shared" si="7"/>
        <v>-0.22</v>
      </c>
      <c r="L28" s="86">
        <f>ינואר!J28+פברואר!J28+מרץ!J28+אפריל!J28+מאי!J28+יוני!J28+יולי!M28+אוגוסט!M28+ספטמבר!M28</f>
        <v>250000</v>
      </c>
      <c r="M28" s="172">
        <f t="shared" si="5"/>
        <v>-1</v>
      </c>
      <c r="N28" s="86">
        <f t="shared" si="8"/>
        <v>-250000</v>
      </c>
      <c r="P28" s="89">
        <f>_xlfn.XLOOKUP($A28,'תקציב  '!A:A,'תקציב  '!AT:AT)</f>
        <v>150000</v>
      </c>
      <c r="Q28" s="172">
        <f t="shared" si="3"/>
        <v>0</v>
      </c>
      <c r="R28" s="89">
        <f t="shared" si="4"/>
        <v>-150000</v>
      </c>
    </row>
    <row r="29" spans="1:18" ht="13.5" customHeight="1" x14ac:dyDescent="0.2">
      <c r="A29" s="135">
        <v>28</v>
      </c>
      <c r="B29" s="89" t="s">
        <v>101</v>
      </c>
      <c r="C29" s="89" t="s">
        <v>89</v>
      </c>
      <c r="D29" s="89" t="s">
        <v>16</v>
      </c>
      <c r="E29" s="3" t="s">
        <v>17</v>
      </c>
      <c r="F29" s="86">
        <f>ינואר!E29+פברואר!E29+מרץ!E29+אפריל!E29+מאי!E29+יוני!E29+יולי!F29+אוגוסט!F29+ספטמבר!F29</f>
        <v>286240.18</v>
      </c>
      <c r="G29" s="86">
        <f>ינואר!F29+פברואר!F29+מרץ!F29+אפריל!F29+מאי!F29+יוני!F29+יולי!G29+אוגוסט!G29+ספטמבר!G29</f>
        <v>299071.09000000003</v>
      </c>
      <c r="H29" s="86">
        <f>ינואר!G29+פברואר!G29+מרץ!G29+אפריל!G29+מאי!G29+יוני!G29+יולי!H29+אוגוסט!H29+ספטמבר!H29</f>
        <v>300835.11</v>
      </c>
      <c r="I29" s="172">
        <f t="shared" si="2"/>
        <v>5.8983300592510002E-3</v>
      </c>
      <c r="J29" s="86">
        <f t="shared" si="7"/>
        <v>1764.0199999999604</v>
      </c>
      <c r="L29" s="86">
        <f>ינואר!J29+פברואר!J29+מרץ!J29+אפריל!J29+מאי!J29+יוני!J29+יולי!M29+אוגוסט!M29+ספטמבר!M29</f>
        <v>330704.772</v>
      </c>
      <c r="M29" s="172">
        <f t="shared" si="5"/>
        <v>-9.032123068366249E-2</v>
      </c>
      <c r="N29" s="86">
        <f t="shared" si="8"/>
        <v>-29869.662000000011</v>
      </c>
      <c r="P29" s="89">
        <f>_xlfn.XLOOKUP($A29,'תקציב  '!A:A,'תקציב  '!AT:AT)</f>
        <v>303207.08999999997</v>
      </c>
      <c r="Q29" s="172">
        <f t="shared" si="3"/>
        <v>0.99217702989728906</v>
      </c>
      <c r="R29" s="89">
        <f t="shared" si="4"/>
        <v>-2371.9799999999814</v>
      </c>
    </row>
    <row r="30" spans="1:18" x14ac:dyDescent="0.2">
      <c r="A30" s="135">
        <v>29</v>
      </c>
      <c r="B30" s="89" t="s">
        <v>102</v>
      </c>
      <c r="C30" s="89" t="s">
        <v>81</v>
      </c>
      <c r="D30" s="89" t="s">
        <v>29</v>
      </c>
      <c r="E30" s="3" t="s">
        <v>30</v>
      </c>
      <c r="F30" s="86">
        <f>ינואר!E30+פברואר!E30+מרץ!E30+אפריל!E30+מאי!E30+יוני!E30+יולי!F30+אוגוסט!F30+ספטמבר!F30</f>
        <v>103770.69</v>
      </c>
      <c r="G30" s="86">
        <f>ינואר!F30+פברואר!F30+מרץ!F30+אפריל!F30+מאי!F30+יוני!F30+יולי!G30+אוגוסט!G30+ספטמבר!G30</f>
        <v>32010.18</v>
      </c>
      <c r="H30" s="86">
        <f>ינואר!G30+פברואר!G30+מרץ!G30+אפריל!G30+מאי!G30+יוני!G30+יולי!H30+אוגוסט!H30+ספטמבר!H30</f>
        <v>43116.44</v>
      </c>
      <c r="I30" s="172">
        <f t="shared" si="2"/>
        <v>0.34696024827101879</v>
      </c>
      <c r="J30" s="86">
        <f t="shared" si="7"/>
        <v>11106.260000000002</v>
      </c>
      <c r="L30" s="86">
        <f>ינואר!J30+פברואר!J30+מרץ!J30+אפריל!J30+מאי!J30+יוני!J30+יולי!M30+אוגוסט!M30+ספטמבר!M30</f>
        <v>35000</v>
      </c>
      <c r="M30" s="172">
        <f t="shared" si="5"/>
        <v>0.23189828571428572</v>
      </c>
      <c r="N30" s="86">
        <f t="shared" si="8"/>
        <v>8116.4400000000023</v>
      </c>
      <c r="P30" s="89">
        <f>_xlfn.XLOOKUP($A30,'תקציב  '!A:A,'תקציב  '!AT:AT)</f>
        <v>43116.44</v>
      </c>
      <c r="Q30" s="172">
        <f t="shared" si="3"/>
        <v>1</v>
      </c>
      <c r="R30" s="89">
        <f t="shared" si="4"/>
        <v>0</v>
      </c>
    </row>
    <row r="31" spans="1:18" x14ac:dyDescent="0.2">
      <c r="A31" s="135">
        <v>30</v>
      </c>
      <c r="B31" s="89" t="s">
        <v>103</v>
      </c>
      <c r="C31" s="89" t="s">
        <v>76</v>
      </c>
      <c r="D31" s="89" t="s">
        <v>34</v>
      </c>
      <c r="E31" s="3" t="s">
        <v>30</v>
      </c>
      <c r="F31" s="86">
        <f>ינואר!E31+פברואר!E31+מרץ!E31+אפריל!E31+מאי!E31+יוני!E31+יולי!F31+אוגוסט!F31+ספטמבר!F31</f>
        <v>41028.36</v>
      </c>
      <c r="G31" s="86">
        <f>ינואר!F31+פברואר!F31+מרץ!F31+אפריל!F31+מאי!F31+יוני!F31+יולי!G31+אוגוסט!G31+ספטמבר!G31</f>
        <v>38733.300000000003</v>
      </c>
      <c r="H31" s="86">
        <f>ינואר!G31+פברואר!G31+מרץ!G31+אפריל!G31+מאי!G31+יוני!G31+יולי!H31+אוגוסט!H31+ספטמבר!H31</f>
        <v>39400.130000000005</v>
      </c>
      <c r="I31" s="172">
        <f t="shared" si="2"/>
        <v>1.7215935641941238E-2</v>
      </c>
      <c r="J31" s="86">
        <f t="shared" si="7"/>
        <v>666.83000000000175</v>
      </c>
      <c r="L31" s="86">
        <f>ינואר!J31+פברואר!J31+מרץ!J31+אפריל!J31+מאי!J31+יוני!J31+יולי!M31+אוגוסט!M31+ספטמבר!M31</f>
        <v>40000</v>
      </c>
      <c r="M31" s="172">
        <f t="shared" si="5"/>
        <v>-1.4996749999999892E-2</v>
      </c>
      <c r="N31" s="86">
        <f t="shared" si="8"/>
        <v>-599.86999999999534</v>
      </c>
      <c r="P31" s="89">
        <f>_xlfn.XLOOKUP($A31,'תקציב  '!A:A,'תקציב  '!AT:AT)</f>
        <v>42809.5</v>
      </c>
      <c r="Q31" s="172">
        <f t="shared" si="3"/>
        <v>0.92035949964377073</v>
      </c>
      <c r="R31" s="89">
        <f t="shared" si="4"/>
        <v>-3409.3699999999953</v>
      </c>
    </row>
    <row r="32" spans="1:18" ht="13.5" customHeight="1" x14ac:dyDescent="0.2">
      <c r="A32" s="135">
        <v>31</v>
      </c>
      <c r="B32" s="89" t="s">
        <v>85</v>
      </c>
      <c r="C32" s="89" t="s">
        <v>85</v>
      </c>
      <c r="D32" s="89" t="s">
        <v>32</v>
      </c>
      <c r="E32" s="3" t="s">
        <v>33</v>
      </c>
      <c r="F32" s="86">
        <f>ינואר!E32+פברואר!E32+מרץ!E32+אפריל!E32+מאי!E32+יוני!E32+יולי!F32+אוגוסט!F32+ספטמבר!F32</f>
        <v>31722.98</v>
      </c>
      <c r="G32" s="86">
        <f>ינואר!F32+פברואר!F32+מרץ!F32+אפריל!F32+מאי!F32+יוני!F32+יולי!G32+אוגוסט!G32+ספטמבר!G32</f>
        <v>81786.570000000007</v>
      </c>
      <c r="H32" s="86">
        <f>ינואר!G32+פברואר!G32+מרץ!G32+אפריל!G32+מאי!G32+יוני!G32+יולי!H32+אוגוסט!H32+ספטמבר!H32</f>
        <v>10037.15</v>
      </c>
      <c r="I32" s="172">
        <f t="shared" si="2"/>
        <v>-0.87727630587760319</v>
      </c>
      <c r="J32" s="86">
        <f t="shared" si="7"/>
        <v>-71749.420000000013</v>
      </c>
      <c r="L32" s="86">
        <f>ינואר!J32+פברואר!J32+מרץ!J32+אפריל!J32+מאי!J32+יוני!J32+יולי!M32+אוגוסט!M32+ספטמבר!M32</f>
        <v>85000</v>
      </c>
      <c r="M32" s="172">
        <f t="shared" si="5"/>
        <v>-0.88191588235294116</v>
      </c>
      <c r="N32" s="86">
        <f t="shared" si="8"/>
        <v>-74962.850000000006</v>
      </c>
      <c r="P32" s="89">
        <f>_xlfn.XLOOKUP($A32,'תקציב  '!A:A,'תקציב  '!AT:AT)</f>
        <v>17500</v>
      </c>
      <c r="Q32" s="172">
        <f t="shared" si="3"/>
        <v>0.5735514285714286</v>
      </c>
      <c r="R32" s="89">
        <f t="shared" si="4"/>
        <v>-7462.85</v>
      </c>
    </row>
    <row r="33" spans="1:18" ht="13.5" customHeight="1" x14ac:dyDescent="0.2">
      <c r="A33" s="135"/>
      <c r="B33" s="89"/>
      <c r="C33" s="89"/>
      <c r="D33" s="89" t="s">
        <v>11</v>
      </c>
      <c r="E33" s="3" t="s">
        <v>12</v>
      </c>
      <c r="F33" s="86">
        <f>ינואר!E33+פברואר!E33+מרץ!E33+אפריל!E33+מאי!E33+יוני!E33+יולי!F33+אוגוסט!F33+ספטמבר!F33</f>
        <v>0</v>
      </c>
      <c r="G33" s="86">
        <f>ינואר!F33+פברואר!F33+מרץ!F33+אפריל!F33+מאי!F33+יוני!F33+יולי!G33+אוגוסט!G33+ספטמבר!G33</f>
        <v>0</v>
      </c>
      <c r="H33" s="86">
        <f>ינואר!G33+פברואר!G33+מרץ!G33+אפריל!G33+מאי!G33+יוני!G33+יולי!H33+אוגוסט!H33+ספטמבר!H33</f>
        <v>0</v>
      </c>
      <c r="I33" s="172" t="str">
        <f t="shared" si="2"/>
        <v/>
      </c>
      <c r="J33" s="86">
        <f t="shared" si="7"/>
        <v>0</v>
      </c>
      <c r="L33" s="86">
        <f>ינואר!J33+פברואר!J33+מרץ!J33+אפריל!J33+מאי!J33+יוני!J33+יולי!M33+אוגוסט!M33+ספטמבר!M33</f>
        <v>0</v>
      </c>
      <c r="M33" s="172" t="str">
        <f t="shared" si="5"/>
        <v/>
      </c>
      <c r="N33" s="86">
        <f t="shared" si="8"/>
        <v>0</v>
      </c>
      <c r="P33" s="89">
        <f>_xlfn.XLOOKUP($A33,'תקציב  '!A:A,'תקציב  '!AT:AT)</f>
        <v>0</v>
      </c>
      <c r="Q33" s="172" t="str">
        <f t="shared" si="3"/>
        <v>-</v>
      </c>
      <c r="R33" s="89">
        <f t="shared" si="4"/>
        <v>0</v>
      </c>
    </row>
    <row r="34" spans="1:18" ht="13.5" customHeight="1" x14ac:dyDescent="0.2">
      <c r="A34" s="135">
        <v>32</v>
      </c>
      <c r="B34" s="89" t="s">
        <v>104</v>
      </c>
      <c r="C34" s="89" t="s">
        <v>86</v>
      </c>
      <c r="D34" s="89" t="s">
        <v>31</v>
      </c>
      <c r="E34" s="3" t="s">
        <v>49</v>
      </c>
      <c r="F34" s="86">
        <f>ינואר!E34+פברואר!E34+מרץ!E34+אפריל!E34+מאי!E34+יוני!E34+יולי!F34+אוגוסט!F34+ספטמבר!F34</f>
        <v>35826.780000000006</v>
      </c>
      <c r="G34" s="86">
        <f>ינואר!F34+פברואר!F34+מרץ!F34+אפריל!F34+מאי!F34+יוני!F34+יולי!G34+אוגוסט!G34+ספטמבר!G34</f>
        <v>39713.57</v>
      </c>
      <c r="H34" s="86">
        <f>ינואר!G34+פברואר!G34+מרץ!G34+אפריל!G34+מאי!G34+יוני!G34+יולי!H34+אוגוסט!H34+ספטמבר!H34</f>
        <v>37142.71</v>
      </c>
      <c r="I34" s="172">
        <f t="shared" si="2"/>
        <v>-6.4735051520173115E-2</v>
      </c>
      <c r="J34" s="86">
        <f t="shared" si="7"/>
        <v>-2570.8600000000006</v>
      </c>
      <c r="L34" s="86">
        <f>ינואר!J34+פברואר!J34+מרץ!J34+אפריל!J34+מאי!J34+יוני!J34+יולי!M34+אוגוסט!M34+ספטמבר!M34</f>
        <v>40000</v>
      </c>
      <c r="M34" s="172">
        <f t="shared" si="5"/>
        <v>-7.1432249999999975E-2</v>
      </c>
      <c r="N34" s="86">
        <f t="shared" si="8"/>
        <v>-2857.2900000000009</v>
      </c>
      <c r="P34" s="89">
        <f>_xlfn.XLOOKUP($A34,'תקציב  '!A:A,'תקציב  '!AT:AT)</f>
        <v>38792.660000000003</v>
      </c>
      <c r="Q34" s="172">
        <f t="shared" si="3"/>
        <v>0.95746746936147187</v>
      </c>
      <c r="R34" s="89">
        <f t="shared" si="4"/>
        <v>-1649.9500000000044</v>
      </c>
    </row>
    <row r="35" spans="1:18" ht="13.5" customHeight="1" x14ac:dyDescent="0.2">
      <c r="A35" s="135">
        <v>33</v>
      </c>
      <c r="B35" s="89" t="s">
        <v>105</v>
      </c>
      <c r="C35" s="89" t="s">
        <v>83</v>
      </c>
      <c r="D35" s="89" t="s">
        <v>84</v>
      </c>
      <c r="E35" s="3" t="s">
        <v>48</v>
      </c>
      <c r="F35" s="86">
        <f>ינואר!E35+פברואר!E35+מרץ!E35+אפריל!E35+מאי!E35+יוני!E35+יולי!F35+אוגוסט!F35+ספטמבר!F35</f>
        <v>59175.03</v>
      </c>
      <c r="G35" s="86">
        <f>ינואר!F35+פברואר!F35+מרץ!F35+אפריל!F35+מאי!F35+יוני!F35+יולי!G35+אוגוסט!G35+ספטמבר!G35</f>
        <v>30531.53</v>
      </c>
      <c r="H35" s="86">
        <f>ינואר!G35+פברואר!G35+מרץ!G35+אפריל!G35+מאי!G35+יוני!G35+יולי!H35+אוגוסט!H35+ספטמבר!H35</f>
        <v>26105.72</v>
      </c>
      <c r="I35" s="172">
        <f t="shared" si="2"/>
        <v>-0.14495867059397283</v>
      </c>
      <c r="J35" s="86">
        <f t="shared" si="7"/>
        <v>-4425.8099999999977</v>
      </c>
      <c r="L35" s="86">
        <f>ינואר!J35+פברואר!J35+מרץ!J35+אפריל!J35+מאי!J35+יוני!J35+יולי!M35+אוגוסט!M35+ספטמבר!M35</f>
        <v>40000</v>
      </c>
      <c r="M35" s="172">
        <f t="shared" si="5"/>
        <v>-0.34735699999999992</v>
      </c>
      <c r="N35" s="86">
        <f t="shared" si="8"/>
        <v>-13894.279999999999</v>
      </c>
      <c r="P35" s="89">
        <f>_xlfn.XLOOKUP($A35,'תקציב  '!A:A,'תקציב  '!AT:AT)</f>
        <v>0</v>
      </c>
      <c r="Q35" s="172" t="str">
        <f t="shared" si="3"/>
        <v>-</v>
      </c>
      <c r="R35" s="89">
        <f t="shared" si="4"/>
        <v>26105.72</v>
      </c>
    </row>
    <row r="36" spans="1:18" x14ac:dyDescent="0.2">
      <c r="A36" s="135"/>
      <c r="B36" s="89" t="s">
        <v>107</v>
      </c>
      <c r="C36" s="89" t="s">
        <v>107</v>
      </c>
      <c r="D36" s="89" t="s">
        <v>37</v>
      </c>
      <c r="E36" s="3" t="s">
        <v>17</v>
      </c>
      <c r="F36" s="86">
        <f>ינואר!E36+פברואר!E36+מרץ!E36+אפריל!E36+מאי!E36+יוני!E36+יולי!F36+אוגוסט!F36+ספטמבר!F36</f>
        <v>41531.96</v>
      </c>
      <c r="G36" s="86">
        <f>ינואר!F36+פברואר!F36+מרץ!F36+אפריל!F36+מאי!F36+יוני!F36+יולי!G36+אוגוסט!G36+ספטמבר!G36</f>
        <v>0</v>
      </c>
      <c r="H36" s="86">
        <f>ינואר!G36+פברואר!G36+מרץ!G36+אפריל!G36+מאי!G36+יוני!G36+יולי!H36+אוגוסט!H36+ספטמבר!H36</f>
        <v>0</v>
      </c>
      <c r="I36" s="172" t="str">
        <f t="shared" si="2"/>
        <v/>
      </c>
      <c r="J36" s="86">
        <f t="shared" si="7"/>
        <v>0</v>
      </c>
      <c r="L36" s="86">
        <f>ינואר!J36+פברואר!J36+מרץ!J36+אפריל!J36+מאי!J36+יוני!J36+יולי!M36+אוגוסט!M36+ספטמבר!M36</f>
        <v>0</v>
      </c>
      <c r="M36" s="172" t="str">
        <f t="shared" si="5"/>
        <v/>
      </c>
      <c r="N36" s="86">
        <f t="shared" si="8"/>
        <v>0</v>
      </c>
      <c r="P36" s="89">
        <f>_xlfn.XLOOKUP($A36,'תקציב  '!A:A,'תקציב  '!AT:AT)</f>
        <v>0</v>
      </c>
      <c r="Q36" s="172" t="str">
        <f t="shared" si="3"/>
        <v>-</v>
      </c>
      <c r="R36" s="89">
        <f t="shared" si="4"/>
        <v>0</v>
      </c>
    </row>
    <row r="37" spans="1:18" x14ac:dyDescent="0.2">
      <c r="A37" s="135">
        <v>34</v>
      </c>
      <c r="B37" s="89" t="s">
        <v>108</v>
      </c>
      <c r="C37" s="89" t="s">
        <v>108</v>
      </c>
      <c r="D37" s="89" t="s">
        <v>35</v>
      </c>
      <c r="E37" s="3" t="s">
        <v>36</v>
      </c>
      <c r="F37" s="86">
        <f>ינואר!E37+פברואר!E37+מרץ!E37+אפריל!E37+מאי!E37+יוני!E37+יולי!F37+אוגוסט!F37+ספטמבר!F37</f>
        <v>22310.959999999999</v>
      </c>
      <c r="G37" s="86">
        <f>ינואר!F37+פברואר!F37+מרץ!F37+אפריל!F37+מאי!F37+יוני!F37+יולי!G37+אוגוסט!G37+ספטמבר!G37</f>
        <v>0</v>
      </c>
      <c r="H37" s="86">
        <f>ינואר!G37+פברואר!G37+מרץ!G37+אפריל!G37+מאי!G37+יוני!G37+יולי!H37+אוגוסט!H37+ספטמבר!H37</f>
        <v>0</v>
      </c>
      <c r="I37" s="172" t="str">
        <f t="shared" si="2"/>
        <v/>
      </c>
      <c r="J37" s="86">
        <f t="shared" si="7"/>
        <v>0</v>
      </c>
      <c r="L37" s="86">
        <f>ינואר!J37+פברואר!J37+מרץ!J37+אפריל!J37+מאי!J37+יוני!J37+יולי!M37+אוגוסט!M37+ספטמבר!M37</f>
        <v>0</v>
      </c>
      <c r="M37" s="172" t="str">
        <f t="shared" si="5"/>
        <v/>
      </c>
      <c r="N37" s="86">
        <f t="shared" si="8"/>
        <v>0</v>
      </c>
      <c r="P37" s="89">
        <f>_xlfn.XLOOKUP($A37,'תקציב  '!A:A,'תקציב  '!AT:AT)</f>
        <v>0</v>
      </c>
      <c r="Q37" s="172" t="str">
        <f t="shared" si="3"/>
        <v>-</v>
      </c>
      <c r="R37" s="89">
        <f t="shared" si="4"/>
        <v>0</v>
      </c>
    </row>
    <row r="38" spans="1:18" ht="13.5" customHeight="1" x14ac:dyDescent="0.2">
      <c r="A38" s="135">
        <v>35</v>
      </c>
      <c r="B38" s="89" t="s">
        <v>109</v>
      </c>
      <c r="C38" s="89" t="s">
        <v>109</v>
      </c>
      <c r="D38" s="89" t="s">
        <v>70</v>
      </c>
      <c r="E38" s="3" t="s">
        <v>38</v>
      </c>
      <c r="F38" s="86">
        <f>ינואר!E38+פברואר!E38+מרץ!E38+אפריל!E38+מאי!E38+יוני!E38+יולי!F38+אוגוסט!F38+ספטמבר!F38</f>
        <v>-1.37</v>
      </c>
      <c r="G38" s="86">
        <f>ינואר!F38+פברואר!F38+מרץ!F38+אפריל!F38+מאי!F38+יוני!F38+יולי!G38+אוגוסט!G38+ספטמבר!G38</f>
        <v>248.59</v>
      </c>
      <c r="H38" s="86">
        <f>ינואר!G38+פברואר!G38+מרץ!G38+אפריל!G38+מאי!G38+יוני!G38+יולי!H38+אוגוסט!H38+ספטמבר!H38</f>
        <v>0</v>
      </c>
      <c r="I38" s="172">
        <f t="shared" si="2"/>
        <v>-1</v>
      </c>
      <c r="J38" s="86">
        <f t="shared" si="7"/>
        <v>-248.59</v>
      </c>
      <c r="L38" s="86">
        <f>ינואר!J38+פברואר!J38+מרץ!J38+אפריל!J38+מאי!J38+יוני!J38+יולי!M38+אוגוסט!M38+ספטמבר!M38</f>
        <v>400000</v>
      </c>
      <c r="M38" s="172">
        <f t="shared" si="5"/>
        <v>-1</v>
      </c>
      <c r="N38" s="86">
        <f t="shared" si="8"/>
        <v>-400000</v>
      </c>
      <c r="P38" s="89">
        <f>_xlfn.XLOOKUP($A38,'תקציב  '!A:A,'תקציב  '!AT:AT)</f>
        <v>0</v>
      </c>
      <c r="Q38" s="172" t="str">
        <f t="shared" si="3"/>
        <v>-</v>
      </c>
      <c r="R38" s="89">
        <f t="shared" si="4"/>
        <v>0</v>
      </c>
    </row>
    <row r="39" spans="1:18" ht="13.5" customHeight="1" x14ac:dyDescent="0.2">
      <c r="A39" s="135">
        <v>36</v>
      </c>
      <c r="B39" s="89"/>
      <c r="C39" s="89" t="s">
        <v>91</v>
      </c>
      <c r="D39" s="89" t="s">
        <v>91</v>
      </c>
      <c r="E39" s="3"/>
      <c r="F39" s="86">
        <f>ינואר!E39+פברואר!E39+מרץ!E39+אפריל!E39+מאי!E39+יוני!E39+יולי!F39+אוגוסט!F39+ספטמבר!F39</f>
        <v>0</v>
      </c>
      <c r="G39" s="86">
        <f>ינואר!F39+פברואר!F39+מרץ!F39+אפריל!F39+מאי!F39+יוני!F39+יולי!G39+אוגוסט!G39+ספטמבר!G39</f>
        <v>0</v>
      </c>
      <c r="H39" s="86">
        <f>ינואר!G39+פברואר!G39+מרץ!G39+אפריל!G39+מאי!G39+יוני!G39+יולי!H39+אוגוסט!H39+ספטמבר!H39</f>
        <v>0</v>
      </c>
      <c r="I39" s="172" t="str">
        <f t="shared" si="2"/>
        <v/>
      </c>
      <c r="J39" s="86">
        <f t="shared" si="7"/>
        <v>0</v>
      </c>
      <c r="L39" s="86">
        <f>ינואר!J39+פברואר!J39+מרץ!J39+אפריל!J39+מאי!J39+יוני!J39+יולי!M39+אוגוסט!M39+ספטמבר!M39</f>
        <v>200000</v>
      </c>
      <c r="M39" s="172">
        <f t="shared" si="5"/>
        <v>-1</v>
      </c>
      <c r="N39" s="86">
        <f t="shared" si="8"/>
        <v>-200000</v>
      </c>
      <c r="P39" s="89">
        <f>_xlfn.XLOOKUP($A39,'תקציב  '!A:A,'תקציב  '!AT:AT)</f>
        <v>0</v>
      </c>
      <c r="Q39" s="172" t="str">
        <f t="shared" si="3"/>
        <v>-</v>
      </c>
      <c r="R39" s="89">
        <f t="shared" si="4"/>
        <v>0</v>
      </c>
    </row>
    <row r="40" spans="1:18" ht="15" x14ac:dyDescent="0.25">
      <c r="A40" s="135"/>
      <c r="B40" s="157"/>
      <c r="C40" s="157" t="s">
        <v>42</v>
      </c>
      <c r="D40" s="157"/>
      <c r="E40" s="157"/>
      <c r="F40" s="157">
        <f>SUM(F20:F39)</f>
        <v>5795450.9800000004</v>
      </c>
      <c r="G40" s="157">
        <f>SUM(G20:G39)</f>
        <v>4233266.47</v>
      </c>
      <c r="H40" s="157">
        <f>SUM(H20:H39)</f>
        <v>4050561.8299999991</v>
      </c>
      <c r="I40" s="97">
        <f t="shared" si="2"/>
        <v>-4.3159258056344463E-2</v>
      </c>
      <c r="J40" s="157">
        <f>SUM(J20:J39)</f>
        <v>-182704.64000000022</v>
      </c>
      <c r="L40" s="157">
        <f>SUM(L20:L39)</f>
        <v>7104745.156137499</v>
      </c>
      <c r="M40" s="97">
        <f t="shared" si="5"/>
        <v>-0.42987936358267764</v>
      </c>
      <c r="N40" s="157">
        <f>SUM(N20:N39)</f>
        <v>-3054183.3261374999</v>
      </c>
      <c r="P40" s="157">
        <f>SUM(P20:P39)</f>
        <v>4641808.84</v>
      </c>
      <c r="Q40" s="97">
        <f t="shared" si="3"/>
        <v>0.87262573053309955</v>
      </c>
      <c r="R40" s="157">
        <f t="shared" si="6"/>
        <v>-4641808.84</v>
      </c>
    </row>
    <row r="41" spans="1:18" ht="15" x14ac:dyDescent="0.25">
      <c r="A41" s="135"/>
      <c r="B41" s="159"/>
      <c r="C41" s="159" t="s">
        <v>69</v>
      </c>
      <c r="D41" s="159"/>
      <c r="E41" s="159"/>
      <c r="F41" s="159">
        <f>F40+F19</f>
        <v>19021053.810000002</v>
      </c>
      <c r="G41" s="159">
        <f>G40+G19</f>
        <v>17966037.482000038</v>
      </c>
      <c r="H41" s="159">
        <f>H40+H19</f>
        <v>19222221.401000027</v>
      </c>
      <c r="I41" s="50">
        <f t="shared" si="2"/>
        <v>6.9919920865051388E-2</v>
      </c>
      <c r="J41" s="159">
        <f>J40+J19</f>
        <v>1256183.918999993</v>
      </c>
      <c r="L41" s="159">
        <f>L40+L19</f>
        <v>28747358.302097954</v>
      </c>
      <c r="M41" s="50">
        <f t="shared" si="5"/>
        <v>-0.33133955478624944</v>
      </c>
      <c r="N41" s="159">
        <f>N40+N19</f>
        <v>-9525136.9010979235</v>
      </c>
      <c r="P41" s="159">
        <f>P40+P19</f>
        <v>21371003.954457659</v>
      </c>
      <c r="Q41" s="50">
        <f t="shared" si="3"/>
        <v>0.89945336409853449</v>
      </c>
      <c r="R41" s="159">
        <f t="shared" si="6"/>
        <v>-21371003.954457659</v>
      </c>
    </row>
    <row r="42" spans="1:18" ht="15" x14ac:dyDescent="0.25">
      <c r="B42" s="177"/>
      <c r="C42" s="177" t="s">
        <v>43</v>
      </c>
      <c r="D42" s="177"/>
      <c r="E42" s="178"/>
      <c r="F42" s="179">
        <f>F40/F41</f>
        <v>0.3046861145491917</v>
      </c>
      <c r="G42" s="179">
        <f>G40/G41</f>
        <v>0.23562605133387146</v>
      </c>
      <c r="H42" s="179">
        <f>H40/H41</f>
        <v>0.21072287877140311</v>
      </c>
      <c r="I42" s="179"/>
      <c r="J42" s="179"/>
      <c r="L42" s="179">
        <f>L40-ינואר!J40-פברואר!J40-מרץ!J40-אפריל!J40-מאי!J40-יוני!J40-יולי!M40-אוגוסט!M40-ספטמבר!M40</f>
        <v>0</v>
      </c>
      <c r="M42" s="179" t="str">
        <f t="shared" si="5"/>
        <v/>
      </c>
      <c r="N42" s="179"/>
      <c r="P42" s="192"/>
      <c r="Q42" s="179" t="str">
        <f t="shared" si="3"/>
        <v>-</v>
      </c>
      <c r="R42" s="192"/>
    </row>
    <row r="43" spans="1:18" x14ac:dyDescent="0.2">
      <c r="F43">
        <f>F41-ינואר!E41-פברואר!E41-מרץ!E41-אפריל!E41-מאי!E41-יוני!E41-יולי!F41-אוגוסט!F41-ספטמבר!F41</f>
        <v>3.4924596548080444E-9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2802-2D84-415D-B464-FF931E919B1B}">
  <sheetPr>
    <tabColor rgb="FFFFC000"/>
  </sheetPr>
  <dimension ref="A1:R43"/>
  <sheetViews>
    <sheetView showGridLines="0" rightToLeft="1" workbookViewId="0">
      <pane xSplit="5" ySplit="2" topLeftCell="F3" activePane="bottomRight" state="frozen"/>
      <selection activeCell="J13" sqref="J13"/>
      <selection pane="topRight" activeCell="J13" sqref="J13"/>
      <selection pane="bottomLeft" activeCell="J13" sqref="J13"/>
      <selection pane="bottomRight" activeCell="L1" sqref="L1:N1048576"/>
    </sheetView>
  </sheetViews>
  <sheetFormatPr defaultRowHeight="14.25" x14ac:dyDescent="0.2"/>
  <cols>
    <col min="1" max="1" width="2.875" bestFit="1" customWidth="1"/>
    <col min="2" max="3" width="28" hidden="1" customWidth="1"/>
    <col min="4" max="4" width="28" bestFit="1" customWidth="1"/>
    <col min="5" max="5" width="12.5" style="1" bestFit="1" customWidth="1"/>
    <col min="6" max="8" width="9.875" bestFit="1" customWidth="1"/>
    <col min="9" max="9" width="10.75" style="51" bestFit="1" customWidth="1"/>
    <col min="10" max="10" width="11.875" bestFit="1" customWidth="1"/>
    <col min="11" max="11" width="5.125" customWidth="1"/>
    <col min="12" max="12" width="10.875" bestFit="1" customWidth="1"/>
    <col min="13" max="13" width="9.75" style="51" bestFit="1" customWidth="1"/>
    <col min="14" max="14" width="10.5" bestFit="1" customWidth="1"/>
    <col min="16" max="16" width="10.875" bestFit="1" customWidth="1"/>
    <col min="17" max="17" width="9.75" style="51" bestFit="1" customWidth="1"/>
    <col min="18" max="18" width="11.875" bestFit="1" customWidth="1"/>
  </cols>
  <sheetData>
    <row r="1" spans="1:18" ht="15.75" x14ac:dyDescent="0.25">
      <c r="B1" s="34"/>
      <c r="C1" s="34" t="s">
        <v>172</v>
      </c>
      <c r="D1" s="34" t="s">
        <v>172</v>
      </c>
      <c r="E1" s="174"/>
      <c r="F1" s="174"/>
      <c r="G1" s="174"/>
      <c r="H1" s="174"/>
      <c r="I1" s="175"/>
      <c r="J1" s="174"/>
      <c r="L1" s="174"/>
      <c r="M1" s="175"/>
      <c r="N1" s="174"/>
      <c r="P1" s="34"/>
      <c r="Q1" s="175"/>
      <c r="R1" s="174"/>
    </row>
    <row r="2" spans="1:18" ht="15" x14ac:dyDescent="0.25">
      <c r="A2" s="133" t="s">
        <v>228</v>
      </c>
      <c r="B2" s="149"/>
      <c r="C2" s="149"/>
      <c r="D2" s="149"/>
      <c r="E2" s="146" t="s">
        <v>10</v>
      </c>
      <c r="F2" s="146" t="s">
        <v>149</v>
      </c>
      <c r="G2" s="146" t="s">
        <v>197</v>
      </c>
      <c r="H2" s="146" t="s">
        <v>211</v>
      </c>
      <c r="I2" s="171" t="s">
        <v>191</v>
      </c>
      <c r="J2" s="146" t="s">
        <v>192</v>
      </c>
      <c r="L2" s="146" t="s">
        <v>67</v>
      </c>
      <c r="M2" s="171" t="s">
        <v>68</v>
      </c>
      <c r="N2" s="146" t="s">
        <v>71</v>
      </c>
      <c r="P2" s="148" t="s">
        <v>229</v>
      </c>
      <c r="Q2" s="171" t="s">
        <v>223</v>
      </c>
      <c r="R2" s="146" t="s">
        <v>232</v>
      </c>
    </row>
    <row r="3" spans="1:18" x14ac:dyDescent="0.2">
      <c r="A3" s="140">
        <v>5</v>
      </c>
      <c r="B3" s="89" t="s">
        <v>115</v>
      </c>
      <c r="C3" s="89" t="s">
        <v>1</v>
      </c>
      <c r="D3" s="89" t="s">
        <v>1</v>
      </c>
      <c r="E3" s="3" t="s">
        <v>40</v>
      </c>
      <c r="F3" s="86">
        <f>+יולי!F3+אוגוסט!F3+ספטמבר!F3</f>
        <v>640561.9</v>
      </c>
      <c r="G3" s="86">
        <f>+יולי!G3+אוגוסט!G3+ספטמבר!G3</f>
        <v>484604.29</v>
      </c>
      <c r="H3" s="86">
        <f>+יולי!H3+אוגוסט!H3+ספטמבר!H3</f>
        <v>567332.05000000005</v>
      </c>
      <c r="I3" s="172">
        <f>IFERROR(H3/G3-1,"")</f>
        <v>0.17071198441103363</v>
      </c>
      <c r="J3" s="86">
        <f t="shared" ref="J3:J15" si="0">H3-G3</f>
        <v>82727.760000000068</v>
      </c>
      <c r="L3" s="86">
        <f>+יולי!M3+אוגוסט!M3+ספטמבר!M3</f>
        <v>680000</v>
      </c>
      <c r="M3" s="172">
        <f>IFERROR(H3/L3-1,"")</f>
        <v>-0.1656881617647058</v>
      </c>
      <c r="N3" s="86">
        <f t="shared" ref="N3:N15" si="1">H3-L3</f>
        <v>-112667.94999999995</v>
      </c>
      <c r="P3" s="89">
        <f>'תקציב  '!AL5+'תקציב  '!AM5+'תקציב  '!AN5</f>
        <v>600000</v>
      </c>
      <c r="Q3" s="172">
        <f>IFERROR(H3/P3,"-")</f>
        <v>0.9455534166666667</v>
      </c>
      <c r="R3" s="86">
        <f>H3-P3</f>
        <v>-32667.949999999953</v>
      </c>
    </row>
    <row r="4" spans="1:18" x14ac:dyDescent="0.2">
      <c r="A4" s="134">
        <v>1</v>
      </c>
      <c r="B4" s="89" t="s">
        <v>0</v>
      </c>
      <c r="C4" s="89" t="s">
        <v>0</v>
      </c>
      <c r="D4" s="89" t="s">
        <v>0</v>
      </c>
      <c r="E4" s="3" t="s">
        <v>40</v>
      </c>
      <c r="F4" s="86">
        <f>+יולי!F4+אוגוסט!F4+ספטמבר!F4</f>
        <v>1445865.2390000001</v>
      </c>
      <c r="G4" s="86">
        <f>+יולי!G4+אוגוסט!G4+ספטמבר!G4</f>
        <v>1447181.5200000051</v>
      </c>
      <c r="H4" s="86">
        <f>+יולי!H4+אוגוסט!H4+ספטמבר!H4</f>
        <v>1456458.3670000001</v>
      </c>
      <c r="I4" s="172">
        <f t="shared" ref="I4:I42" si="2">IFERROR(H4/G4-1,"")</f>
        <v>6.4102856979508793E-3</v>
      </c>
      <c r="J4" s="86">
        <f t="shared" si="0"/>
        <v>9276.8469999949448</v>
      </c>
      <c r="L4" s="86">
        <f>+יולי!M4+אוגוסט!M4+ספטמבר!M4</f>
        <v>1739000</v>
      </c>
      <c r="M4" s="172">
        <f t="shared" ref="M4:M41" si="3">IFERROR(H4/L4-1,"")</f>
        <v>-0.16247362449683722</v>
      </c>
      <c r="N4" s="86">
        <f t="shared" si="1"/>
        <v>-282541.63299999991</v>
      </c>
      <c r="P4" s="89">
        <f>'תקציב  '!AL6+'תקציב  '!AM6+'תקציב  '!AN6</f>
        <v>1650000</v>
      </c>
      <c r="Q4" s="172">
        <f t="shared" ref="Q4:Q42" si="4">IFERROR(H4/P4,"-")</f>
        <v>0.88270204060606061</v>
      </c>
      <c r="R4" s="86">
        <f t="shared" ref="R4:R42" si="5">G4-P4</f>
        <v>-202818.47999999486</v>
      </c>
    </row>
    <row r="5" spans="1:18" x14ac:dyDescent="0.2">
      <c r="A5" s="134">
        <v>7</v>
      </c>
      <c r="B5" s="89" t="s">
        <v>44</v>
      </c>
      <c r="C5" s="89" t="s">
        <v>44</v>
      </c>
      <c r="D5" s="89" t="s">
        <v>44</v>
      </c>
      <c r="E5" s="3" t="s">
        <v>40</v>
      </c>
      <c r="F5" s="86">
        <f>+יולי!F5+אוגוסט!F5+ספטמבר!F5</f>
        <v>296462.98499999999</v>
      </c>
      <c r="G5" s="86">
        <f>+יולי!G5+אוגוסט!G5+ספטמבר!G5</f>
        <v>198471.91000000003</v>
      </c>
      <c r="H5" s="86">
        <f>+יולי!H5+אוגוסט!H5+ספטמבר!H5</f>
        <v>213784.47999999998</v>
      </c>
      <c r="I5" s="172">
        <f t="shared" si="2"/>
        <v>7.7152328508351298E-2</v>
      </c>
      <c r="J5" s="86">
        <f t="shared" si="0"/>
        <v>15312.569999999949</v>
      </c>
      <c r="L5" s="86">
        <f>+יולי!M5+אוגוסט!M5+ספטמבר!M5</f>
        <v>224999.99999999997</v>
      </c>
      <c r="M5" s="172">
        <f t="shared" si="3"/>
        <v>-4.9846755555555511E-2</v>
      </c>
      <c r="N5" s="86">
        <f t="shared" si="1"/>
        <v>-11215.51999999999</v>
      </c>
      <c r="P5" s="89">
        <f>'תקציב  '!AL7+'תקציב  '!AM7+'תקציב  '!AN7</f>
        <v>300000</v>
      </c>
      <c r="Q5" s="172">
        <f t="shared" si="4"/>
        <v>0.71261493333333326</v>
      </c>
      <c r="R5" s="86">
        <f t="shared" si="5"/>
        <v>-101528.08999999997</v>
      </c>
    </row>
    <row r="6" spans="1:18" x14ac:dyDescent="0.2">
      <c r="A6" s="134">
        <v>4</v>
      </c>
      <c r="B6" s="89" t="s">
        <v>3</v>
      </c>
      <c r="C6" s="89" t="s">
        <v>3</v>
      </c>
      <c r="D6" s="89" t="s">
        <v>3</v>
      </c>
      <c r="E6" s="3" t="s">
        <v>40</v>
      </c>
      <c r="F6" s="86">
        <f>+יולי!F6+אוגוסט!F6+ספטמבר!F6</f>
        <v>410796.625</v>
      </c>
      <c r="G6" s="86">
        <f>+יולי!G6+אוגוסט!G6+ספטמבר!G6</f>
        <v>535776.20999999973</v>
      </c>
      <c r="H6" s="86">
        <f>+יולי!H6+אוגוסט!H6+ספטמבר!H6</f>
        <v>491023.86700000003</v>
      </c>
      <c r="I6" s="172">
        <f t="shared" si="2"/>
        <v>-8.3528051758773869E-2</v>
      </c>
      <c r="J6" s="86">
        <f t="shared" si="0"/>
        <v>-44752.342999999702</v>
      </c>
      <c r="L6" s="86">
        <f>+יולי!M6+אוגוסט!M6+ספטמבר!M6</f>
        <v>492000</v>
      </c>
      <c r="M6" s="172">
        <f t="shared" si="3"/>
        <v>-1.9840101626015239E-3</v>
      </c>
      <c r="N6" s="86">
        <f t="shared" si="1"/>
        <v>-976.13299999997253</v>
      </c>
      <c r="P6" s="89">
        <f>'תקציב  '!AL8+'תקציב  '!AM8+'תקציב  '!AN8</f>
        <v>600000</v>
      </c>
      <c r="Q6" s="172">
        <f t="shared" si="4"/>
        <v>0.81837311166666671</v>
      </c>
      <c r="R6" s="86">
        <f t="shared" si="5"/>
        <v>-64223.79000000027</v>
      </c>
    </row>
    <row r="7" spans="1:18" x14ac:dyDescent="0.2">
      <c r="A7" s="134">
        <v>3</v>
      </c>
      <c r="B7" s="89" t="s">
        <v>112</v>
      </c>
      <c r="C7" s="89" t="s">
        <v>2</v>
      </c>
      <c r="D7" s="89" t="s">
        <v>2</v>
      </c>
      <c r="E7" s="3" t="s">
        <v>40</v>
      </c>
      <c r="F7" s="86">
        <f>+יולי!F7+אוגוסט!F7+ספטמבר!F7</f>
        <v>1052046.8</v>
      </c>
      <c r="G7" s="86">
        <f>+יולי!G7+אוגוסט!G7+ספטמבר!G7</f>
        <v>940346.25</v>
      </c>
      <c r="H7" s="86">
        <f>+יולי!H7+אוגוסט!H7+ספטמבר!H7</f>
        <v>985252.4</v>
      </c>
      <c r="I7" s="172">
        <f t="shared" si="2"/>
        <v>4.7754909428308956E-2</v>
      </c>
      <c r="J7" s="86">
        <f t="shared" si="0"/>
        <v>44906.150000000023</v>
      </c>
      <c r="L7" s="86">
        <f>+יולי!M7+אוגוסט!M7+ספטמבר!M7</f>
        <v>1095000</v>
      </c>
      <c r="M7" s="172">
        <f t="shared" si="3"/>
        <v>-0.10022611872146114</v>
      </c>
      <c r="N7" s="86">
        <f t="shared" si="1"/>
        <v>-109747.59999999998</v>
      </c>
      <c r="P7" s="89">
        <f>'תקציב  '!AL9+'תקציב  '!AM9+'תקציב  '!AN9</f>
        <v>990000</v>
      </c>
      <c r="Q7" s="172">
        <f t="shared" si="4"/>
        <v>0.99520444444444445</v>
      </c>
      <c r="R7" s="86">
        <f t="shared" si="5"/>
        <v>-49653.75</v>
      </c>
    </row>
    <row r="8" spans="1:18" x14ac:dyDescent="0.2">
      <c r="A8" s="134">
        <v>8</v>
      </c>
      <c r="B8" s="89" t="s">
        <v>113</v>
      </c>
      <c r="C8" s="89" t="s">
        <v>5</v>
      </c>
      <c r="D8" s="89" t="s">
        <v>5</v>
      </c>
      <c r="E8" s="3" t="s">
        <v>40</v>
      </c>
      <c r="F8" s="86">
        <f>+יולי!F8+אוגוסט!F8+ספטמבר!F8</f>
        <v>208841.57</v>
      </c>
      <c r="G8" s="86">
        <f>+יולי!G8+אוגוסט!G8+ספטמבר!G8</f>
        <v>266134.95999999996</v>
      </c>
      <c r="H8" s="86">
        <f>+יולי!H8+אוגוסט!H8+ספטמבר!H8</f>
        <v>177157.13</v>
      </c>
      <c r="I8" s="172">
        <f t="shared" si="2"/>
        <v>-0.33433349004580226</v>
      </c>
      <c r="J8" s="86">
        <f t="shared" si="0"/>
        <v>-88977.829999999958</v>
      </c>
      <c r="L8" s="86">
        <f>+יולי!M8+אוגוסט!M8+ספטמבר!M8</f>
        <v>310000</v>
      </c>
      <c r="M8" s="172">
        <f t="shared" si="3"/>
        <v>-0.42852538709677412</v>
      </c>
      <c r="N8" s="86">
        <f t="shared" si="1"/>
        <v>-132842.87</v>
      </c>
      <c r="P8" s="89">
        <f>'תקציב  '!AL10+'תקציב  '!AM10+'תקציב  '!AN10</f>
        <v>300000</v>
      </c>
      <c r="Q8" s="172">
        <f t="shared" si="4"/>
        <v>0.59052376666666673</v>
      </c>
      <c r="R8" s="86">
        <f t="shared" si="5"/>
        <v>-33865.040000000037</v>
      </c>
    </row>
    <row r="9" spans="1:18" x14ac:dyDescent="0.2">
      <c r="A9" s="134">
        <v>6</v>
      </c>
      <c r="B9" s="89" t="s">
        <v>121</v>
      </c>
      <c r="C9" s="89" t="s">
        <v>4</v>
      </c>
      <c r="D9" s="89" t="s">
        <v>4</v>
      </c>
      <c r="E9" s="3" t="s">
        <v>40</v>
      </c>
      <c r="F9" s="86">
        <f>+יולי!F9+אוגוסט!F9+ספטמבר!F9</f>
        <v>204805.44999999998</v>
      </c>
      <c r="G9" s="86">
        <f>+יולי!G9+אוגוסט!G9+ספטמבר!G9</f>
        <v>213292.42000000004</v>
      </c>
      <c r="H9" s="86">
        <f>+יולי!H9+אוגוסט!H9+ספטמבר!H9</f>
        <v>202836.58999999997</v>
      </c>
      <c r="I9" s="172">
        <f t="shared" si="2"/>
        <v>-4.9021104453688902E-2</v>
      </c>
      <c r="J9" s="86">
        <f t="shared" si="0"/>
        <v>-10455.830000000075</v>
      </c>
      <c r="L9" s="86">
        <f>+יולי!M9+אוגוסט!M9+ספטמבר!M9</f>
        <v>520749.99999999994</v>
      </c>
      <c r="M9" s="172">
        <f t="shared" si="3"/>
        <v>-0.61049142582813254</v>
      </c>
      <c r="N9" s="86">
        <f t="shared" si="1"/>
        <v>-317913.40999999997</v>
      </c>
      <c r="P9" s="89">
        <f>'תקציב  '!AL11+'תקציב  '!AM11+'תקציב  '!AN11</f>
        <v>300000</v>
      </c>
      <c r="Q9" s="172">
        <f t="shared" si="4"/>
        <v>0.67612196666666657</v>
      </c>
      <c r="R9" s="86">
        <f t="shared" si="5"/>
        <v>-86707.579999999958</v>
      </c>
    </row>
    <row r="10" spans="1:18" x14ac:dyDescent="0.2">
      <c r="A10" s="135">
        <v>10</v>
      </c>
      <c r="B10" s="89" t="s">
        <v>120</v>
      </c>
      <c r="C10" s="89" t="s">
        <v>6</v>
      </c>
      <c r="D10" s="89" t="s">
        <v>6</v>
      </c>
      <c r="E10" s="3" t="s">
        <v>40</v>
      </c>
      <c r="F10" s="86">
        <f>+יולי!F10+אוגוסט!F10+ספטמבר!F10</f>
        <v>56127.439999999995</v>
      </c>
      <c r="G10" s="86">
        <f>+יולי!G10+אוגוסט!G10+ספטמבר!G10</f>
        <v>40882.550000000003</v>
      </c>
      <c r="H10" s="86">
        <f>+יולי!H10+אוגוסט!H10+ספטמבר!H10</f>
        <v>18183.510000000002</v>
      </c>
      <c r="I10" s="172">
        <f t="shared" si="2"/>
        <v>-0.55522564027928789</v>
      </c>
      <c r="J10" s="86">
        <f t="shared" si="0"/>
        <v>-22699.040000000001</v>
      </c>
      <c r="L10" s="86">
        <f>+יולי!M10+אוגוסט!M10+ספטמבר!M10</f>
        <v>47500</v>
      </c>
      <c r="M10" s="172">
        <f t="shared" si="3"/>
        <v>-0.61718926315789469</v>
      </c>
      <c r="N10" s="86">
        <f t="shared" si="1"/>
        <v>-29316.489999999998</v>
      </c>
      <c r="P10" s="89">
        <f>'תקציב  '!AL12+'תקציב  '!AM12+'תקציב  '!AN12</f>
        <v>45000</v>
      </c>
      <c r="Q10" s="172">
        <f t="shared" si="4"/>
        <v>0.40407800000000005</v>
      </c>
      <c r="R10" s="86">
        <f t="shared" si="5"/>
        <v>-4117.4499999999971</v>
      </c>
    </row>
    <row r="11" spans="1:18" x14ac:dyDescent="0.2">
      <c r="A11" s="134">
        <v>11</v>
      </c>
      <c r="B11" s="89" t="s">
        <v>117</v>
      </c>
      <c r="C11" s="89" t="s">
        <v>66</v>
      </c>
      <c r="D11" s="89" t="s">
        <v>66</v>
      </c>
      <c r="E11" s="3" t="s">
        <v>40</v>
      </c>
      <c r="F11" s="86">
        <f>+יולי!F11+אוגוסט!F11+ספטמבר!F11</f>
        <v>19547.719999999998</v>
      </c>
      <c r="G11" s="86">
        <f>+יולי!G11+אוגוסט!G11+ספטמבר!G11</f>
        <v>10678.760000000002</v>
      </c>
      <c r="H11" s="86">
        <f>+יולי!H11+אוגוסט!H11+ספטמבר!H11</f>
        <v>10998.55</v>
      </c>
      <c r="I11" s="172">
        <f t="shared" si="2"/>
        <v>2.9946360813427608E-2</v>
      </c>
      <c r="J11" s="86">
        <f t="shared" si="0"/>
        <v>319.78999999999724</v>
      </c>
      <c r="L11" s="86">
        <f>+יולי!M11+אוגוסט!M11+ספטמבר!M11</f>
        <v>26000</v>
      </c>
      <c r="M11" s="172">
        <f t="shared" si="3"/>
        <v>-0.5769788461538462</v>
      </c>
      <c r="N11" s="86">
        <f t="shared" si="1"/>
        <v>-15001.45</v>
      </c>
      <c r="P11" s="89">
        <f>'תקציב  '!AL13+'תקציב  '!AM13+'תקציב  '!AN13</f>
        <v>30000</v>
      </c>
      <c r="Q11" s="172">
        <f t="shared" si="4"/>
        <v>0.36661833333333332</v>
      </c>
      <c r="R11" s="86">
        <f t="shared" si="5"/>
        <v>-19321.239999999998</v>
      </c>
    </row>
    <row r="12" spans="1:18" x14ac:dyDescent="0.2">
      <c r="A12" s="134">
        <v>14</v>
      </c>
      <c r="B12" s="89" t="s">
        <v>116</v>
      </c>
      <c r="C12" s="89" t="s">
        <v>8</v>
      </c>
      <c r="D12" s="89" t="s">
        <v>8</v>
      </c>
      <c r="E12" s="3" t="s">
        <v>40</v>
      </c>
      <c r="F12" s="86">
        <f>+יולי!F12+אוגוסט!F12+ספטמבר!F12</f>
        <v>1529.6999999999998</v>
      </c>
      <c r="G12" s="86">
        <f>+יולי!G12+אוגוסט!G12+ספטמבר!G12</f>
        <v>0</v>
      </c>
      <c r="H12" s="86">
        <f>+יולי!H12+אוגוסט!H12+ספטמבר!H12</f>
        <v>728.87</v>
      </c>
      <c r="I12" s="172" t="str">
        <f t="shared" si="2"/>
        <v/>
      </c>
      <c r="J12" s="86">
        <f t="shared" si="0"/>
        <v>728.87</v>
      </c>
      <c r="L12" s="86">
        <f>+יולי!M12+אוגוסט!M12+ספטמבר!M12</f>
        <v>0</v>
      </c>
      <c r="M12" s="172" t="str">
        <f t="shared" si="3"/>
        <v/>
      </c>
      <c r="N12" s="86">
        <f t="shared" si="1"/>
        <v>728.87</v>
      </c>
      <c r="P12" s="89">
        <f>'תקציב  '!AL14+'תקציב  '!AM14+'תקציב  '!AN14</f>
        <v>15000</v>
      </c>
      <c r="Q12" s="172">
        <f t="shared" si="4"/>
        <v>4.8591333333333334E-2</v>
      </c>
      <c r="R12" s="86">
        <f t="shared" si="5"/>
        <v>-15000</v>
      </c>
    </row>
    <row r="13" spans="1:18" x14ac:dyDescent="0.2">
      <c r="A13" s="134">
        <v>15</v>
      </c>
      <c r="B13" s="89" t="s">
        <v>119</v>
      </c>
      <c r="C13" s="89" t="s">
        <v>151</v>
      </c>
      <c r="D13" s="89" t="s">
        <v>151</v>
      </c>
      <c r="E13" s="3" t="s">
        <v>40</v>
      </c>
      <c r="F13" s="86">
        <f>+יולי!F13+אוגוסט!F13+ספטמבר!F13</f>
        <v>0</v>
      </c>
      <c r="G13" s="86">
        <f>+יולי!G13+אוגוסט!G13+ספטמבר!G13</f>
        <v>0</v>
      </c>
      <c r="H13" s="86">
        <f>+יולי!H13+אוגוסט!H13+ספטמבר!H13</f>
        <v>0</v>
      </c>
      <c r="I13" s="172" t="str">
        <f t="shared" si="2"/>
        <v/>
      </c>
      <c r="J13" s="86">
        <f t="shared" si="0"/>
        <v>0</v>
      </c>
      <c r="L13" s="86">
        <f>+יולי!M13+אוגוסט!M13+ספטמבר!M13</f>
        <v>0</v>
      </c>
      <c r="M13" s="172" t="str">
        <f t="shared" si="3"/>
        <v/>
      </c>
      <c r="N13" s="86">
        <f t="shared" si="1"/>
        <v>0</v>
      </c>
      <c r="P13" s="89">
        <f>'תקציב  '!AL20+'תקציב  '!AM20+'תקציב  '!AN20</f>
        <v>15000</v>
      </c>
      <c r="Q13" s="172">
        <f t="shared" si="4"/>
        <v>0</v>
      </c>
      <c r="R13" s="86">
        <f t="shared" si="5"/>
        <v>-15000</v>
      </c>
    </row>
    <row r="14" spans="1:18" x14ac:dyDescent="0.2">
      <c r="A14" s="134">
        <v>13</v>
      </c>
      <c r="B14" s="89" t="s">
        <v>114</v>
      </c>
      <c r="C14" s="89" t="s">
        <v>45</v>
      </c>
      <c r="D14" s="89" t="s">
        <v>45</v>
      </c>
      <c r="E14" s="3" t="s">
        <v>40</v>
      </c>
      <c r="F14" s="86">
        <f>+יולי!F14+אוגוסט!F14+ספטמבר!F14</f>
        <v>0</v>
      </c>
      <c r="G14" s="86">
        <f>+יולי!G14+אוגוסט!G14+ספטמבר!G14</f>
        <v>651.15</v>
      </c>
      <c r="H14" s="86">
        <f>+יולי!H14+אוגוסט!H14+ספטמבר!H14</f>
        <v>7204.76</v>
      </c>
      <c r="I14" s="172">
        <f t="shared" si="2"/>
        <v>10.064670198878908</v>
      </c>
      <c r="J14" s="86">
        <f t="shared" si="0"/>
        <v>6553.6100000000006</v>
      </c>
      <c r="L14" s="86">
        <f>+יולי!M14+אוגוסט!M14+ספטמבר!M14</f>
        <v>150000</v>
      </c>
      <c r="M14" s="172">
        <f t="shared" si="3"/>
        <v>-0.95196826666666667</v>
      </c>
      <c r="N14" s="86">
        <f t="shared" si="1"/>
        <v>-142795.24</v>
      </c>
      <c r="P14" s="89">
        <f>'תקציב  '!AL16+'תקציב  '!AM16+'תקציב  '!AN16</f>
        <v>15000</v>
      </c>
      <c r="Q14" s="172">
        <f t="shared" si="4"/>
        <v>0.48031733333333337</v>
      </c>
      <c r="R14" s="86">
        <f t="shared" si="5"/>
        <v>-14348.85</v>
      </c>
    </row>
    <row r="15" spans="1:18" x14ac:dyDescent="0.2">
      <c r="A15" s="134">
        <v>9</v>
      </c>
      <c r="B15" s="89" t="s">
        <v>118</v>
      </c>
      <c r="C15" s="89" t="s">
        <v>73</v>
      </c>
      <c r="D15" s="89" t="s">
        <v>73</v>
      </c>
      <c r="E15" s="3" t="s">
        <v>40</v>
      </c>
      <c r="F15" s="86">
        <f>+יולי!F15+אוגוסט!F15+ספטמבר!F15</f>
        <v>29371.78</v>
      </c>
      <c r="G15" s="86">
        <f>+יולי!G15+אוגוסט!G15+ספטמבר!G15</f>
        <v>23213.160000000003</v>
      </c>
      <c r="H15" s="86">
        <f>+יולי!H15+אוגוסט!H15+ספטמבר!H15</f>
        <v>29566.159999999996</v>
      </c>
      <c r="I15" s="172">
        <f t="shared" si="2"/>
        <v>0.27368096372919459</v>
      </c>
      <c r="J15" s="86">
        <f t="shared" si="0"/>
        <v>6352.9999999999927</v>
      </c>
      <c r="L15" s="86">
        <f>+יולי!M15+אוגוסט!M15+ספטמבר!M15</f>
        <v>50000</v>
      </c>
      <c r="M15" s="172">
        <f t="shared" si="3"/>
        <v>-0.40867680000000006</v>
      </c>
      <c r="N15" s="86">
        <f t="shared" si="1"/>
        <v>-20433.840000000004</v>
      </c>
      <c r="P15" s="89">
        <f>'תקציב  '!AL17+'תקציב  '!AM17+'תקציב  '!AN17</f>
        <v>75000</v>
      </c>
      <c r="Q15" s="172">
        <f t="shared" si="4"/>
        <v>0.39421546666666663</v>
      </c>
      <c r="R15" s="86">
        <f t="shared" si="5"/>
        <v>-51786.84</v>
      </c>
    </row>
    <row r="16" spans="1:18" ht="15" x14ac:dyDescent="0.25">
      <c r="A16" s="136"/>
      <c r="B16" s="152"/>
      <c r="C16" s="152" t="s">
        <v>221</v>
      </c>
      <c r="D16" s="152" t="s">
        <v>221</v>
      </c>
      <c r="E16" s="152"/>
      <c r="F16" s="152">
        <f>SUM(F3:F15)</f>
        <v>4365957.2089999998</v>
      </c>
      <c r="G16" s="152">
        <f>SUM(G3:G15)</f>
        <v>4161233.1800000048</v>
      </c>
      <c r="H16" s="152">
        <f>SUM(H3:H15)</f>
        <v>4160526.7339999992</v>
      </c>
      <c r="I16" s="173">
        <f t="shared" si="2"/>
        <v>-1.697684242740749E-4</v>
      </c>
      <c r="J16" s="152">
        <f>SUM(J3:J15)</f>
        <v>-706.44600000476021</v>
      </c>
      <c r="L16" s="152">
        <f>SUM(L3:L15)</f>
        <v>5335250</v>
      </c>
      <c r="M16" s="173">
        <f t="shared" si="3"/>
        <v>-0.2201814846539526</v>
      </c>
      <c r="N16" s="152">
        <f>SUM(N3:N15)</f>
        <v>-1174723.2659999996</v>
      </c>
      <c r="P16" s="152">
        <f>SUM(P3:P15)</f>
        <v>4935000</v>
      </c>
      <c r="Q16" s="173">
        <f t="shared" si="4"/>
        <v>0.84306519432624094</v>
      </c>
      <c r="R16" s="152">
        <f t="shared" si="5"/>
        <v>-773766.81999999518</v>
      </c>
    </row>
    <row r="17" spans="1:18" x14ac:dyDescent="0.2">
      <c r="A17" s="134">
        <v>2</v>
      </c>
      <c r="B17" s="89" t="s">
        <v>111</v>
      </c>
      <c r="C17" s="89" t="s">
        <v>7</v>
      </c>
      <c r="D17" s="89" t="s">
        <v>7</v>
      </c>
      <c r="E17" s="3" t="s">
        <v>40</v>
      </c>
      <c r="F17" s="86">
        <f>+יולי!F17+אוגוסט!F17+ספטמבר!F17</f>
        <v>155853.89000000013</v>
      </c>
      <c r="G17" s="86">
        <f>+יולי!G17+אוגוסט!G17+ספטמבר!G17</f>
        <v>443461.59999999625</v>
      </c>
      <c r="H17" s="86">
        <f>+יולי!H17+אוגוסט!H17+ספטמבר!H17</f>
        <v>1136765.1099999971</v>
      </c>
      <c r="I17" s="172">
        <f t="shared" si="2"/>
        <v>1.5633901785408404</v>
      </c>
      <c r="J17" s="86">
        <f>H17-G17</f>
        <v>693303.51000000082</v>
      </c>
      <c r="L17" s="86">
        <f>+יולי!M17+אוגוסט!M17+ספטמבר!M17</f>
        <v>3149457.6271186443</v>
      </c>
      <c r="M17" s="172">
        <f t="shared" si="3"/>
        <v>-0.63906003998536298</v>
      </c>
      <c r="N17" s="86">
        <f>H17-L17</f>
        <v>-2012692.5171186472</v>
      </c>
      <c r="P17" s="89">
        <f>'תקציב  '!AL18+'תקציב  '!AM18+'תקציב  '!AN18</f>
        <v>3472877.9661016949</v>
      </c>
      <c r="Q17" s="172">
        <f t="shared" si="4"/>
        <v>0.32732653467694856</v>
      </c>
      <c r="R17" s="86">
        <f t="shared" si="5"/>
        <v>-3029416.3661016985</v>
      </c>
    </row>
    <row r="18" spans="1:18" x14ac:dyDescent="0.2">
      <c r="A18" s="134">
        <v>12</v>
      </c>
      <c r="B18" s="89" t="s">
        <v>110</v>
      </c>
      <c r="C18" s="89" t="s">
        <v>65</v>
      </c>
      <c r="D18" s="89" t="s">
        <v>65</v>
      </c>
      <c r="E18" s="3" t="s">
        <v>40</v>
      </c>
      <c r="F18" s="86">
        <f>+יולי!F18+אוגוסט!F18+ספטמבר!F18</f>
        <v>9174.34</v>
      </c>
      <c r="G18" s="86">
        <f>+יולי!G18+אוגוסט!G18+ספטמבר!G18</f>
        <v>5613.99</v>
      </c>
      <c r="H18" s="86">
        <f>+יולי!H18+אוגוסט!H18+ספטמבר!H18</f>
        <v>3773.46</v>
      </c>
      <c r="I18" s="172">
        <f t="shared" si="2"/>
        <v>-0.32784703927153414</v>
      </c>
      <c r="J18" s="86">
        <f>H18-G18</f>
        <v>-1840.5299999999997</v>
      </c>
      <c r="L18" s="86">
        <f>+יולי!M18+אוגוסט!M18+ספטמבר!M18</f>
        <v>7610.7849999999971</v>
      </c>
      <c r="M18" s="172">
        <f t="shared" si="3"/>
        <v>-0.50419569072047077</v>
      </c>
      <c r="N18" s="86">
        <f>H18-L18</f>
        <v>-3837.3249999999971</v>
      </c>
      <c r="P18" s="89">
        <f>'תקציב  '!AL19+'תקציב  '!AM19+'תקציב  '!AN19</f>
        <v>15000</v>
      </c>
      <c r="Q18" s="172">
        <f t="shared" si="4"/>
        <v>0.25156400000000001</v>
      </c>
      <c r="R18" s="86">
        <f t="shared" si="5"/>
        <v>-9386.01</v>
      </c>
    </row>
    <row r="19" spans="1:18" ht="15" x14ac:dyDescent="0.25">
      <c r="A19" s="135"/>
      <c r="B19" s="152"/>
      <c r="C19" s="152" t="s">
        <v>41</v>
      </c>
      <c r="D19" s="152" t="s">
        <v>41</v>
      </c>
      <c r="E19" s="152"/>
      <c r="F19" s="152">
        <f>F16+F17+F18</f>
        <v>4530985.4389999993</v>
      </c>
      <c r="G19" s="152">
        <f>G16+G17+G18</f>
        <v>4610308.7700000014</v>
      </c>
      <c r="H19" s="152">
        <f>H16+H17+H18</f>
        <v>5301065.3039999967</v>
      </c>
      <c r="I19" s="173">
        <f t="shared" si="2"/>
        <v>0.14982869227650353</v>
      </c>
      <c r="J19" s="152">
        <f>J16+J17+J18</f>
        <v>690756.53399999603</v>
      </c>
      <c r="L19" s="152">
        <f>L16+L17+L18</f>
        <v>8492318.4121186435</v>
      </c>
      <c r="M19" s="173">
        <f t="shared" si="3"/>
        <v>-0.37578114164498222</v>
      </c>
      <c r="N19" s="152">
        <f>N16+N17+N18</f>
        <v>-3191253.1081186468</v>
      </c>
      <c r="P19" s="152">
        <f>P16+P17+P18</f>
        <v>8422877.9661016949</v>
      </c>
      <c r="Q19" s="173">
        <f t="shared" si="4"/>
        <v>0.62936508463430274</v>
      </c>
      <c r="R19" s="152">
        <f t="shared" si="5"/>
        <v>-3812569.1961016934</v>
      </c>
    </row>
    <row r="20" spans="1:18" x14ac:dyDescent="0.2">
      <c r="A20" s="135">
        <v>50</v>
      </c>
      <c r="B20" s="89" t="s">
        <v>92</v>
      </c>
      <c r="C20" s="89" t="s">
        <v>74</v>
      </c>
      <c r="D20" s="89" t="s">
        <v>47</v>
      </c>
      <c r="E20" s="3" t="s">
        <v>38</v>
      </c>
      <c r="F20" s="86">
        <f>+יולי!F20+אוגוסט!F20+ספטמבר!F20</f>
        <v>848593.61</v>
      </c>
      <c r="G20" s="86">
        <f>+יולי!G20+אוגוסט!G20+ספטמבר!G20</f>
        <v>853434.64</v>
      </c>
      <c r="H20" s="86">
        <f>+יולי!H20+אוגוסט!H20+ספטמבר!H20</f>
        <v>625305.33000000007</v>
      </c>
      <c r="I20" s="172">
        <f t="shared" si="2"/>
        <v>-0.26730730076763687</v>
      </c>
      <c r="J20" s="86">
        <f t="shared" ref="J20:J39" si="6">H20-G20</f>
        <v>-228129.30999999994</v>
      </c>
      <c r="L20" s="86">
        <f>+יולי!M20+אוגוסט!M20+ספטמבר!M20</f>
        <v>1420410.3308999999</v>
      </c>
      <c r="M20" s="172">
        <f t="shared" si="3"/>
        <v>-0.55977134466221856</v>
      </c>
      <c r="N20" s="86">
        <f t="shared" ref="N20:N39" si="7">H20-L20</f>
        <v>-795105.00089999987</v>
      </c>
      <c r="P20" s="89">
        <f>'תקציב  '!AL22+'תקציב  '!AM22+'תקציב  '!AN22</f>
        <v>945572.1</v>
      </c>
      <c r="Q20" s="172">
        <f t="shared" si="4"/>
        <v>0.66129841394432021</v>
      </c>
      <c r="R20" s="86">
        <f t="shared" si="5"/>
        <v>-92137.459999999963</v>
      </c>
    </row>
    <row r="21" spans="1:18" x14ac:dyDescent="0.2">
      <c r="A21" s="135">
        <v>20</v>
      </c>
      <c r="B21" s="89" t="s">
        <v>93</v>
      </c>
      <c r="C21" s="89" t="s">
        <v>75</v>
      </c>
      <c r="D21" s="89" t="s">
        <v>13</v>
      </c>
      <c r="E21" s="3" t="s">
        <v>39</v>
      </c>
      <c r="F21" s="86">
        <f>+יולי!F21+אוגוסט!F21+ספטמבר!F21</f>
        <v>301013.63</v>
      </c>
      <c r="G21" s="86">
        <f>+יולי!G21+אוגוסט!G21+ספטמבר!G21</f>
        <v>187405.66</v>
      </c>
      <c r="H21" s="86">
        <f>+יולי!H21+אוגוסט!H21+ספטמבר!H21</f>
        <v>132101.57</v>
      </c>
      <c r="I21" s="172">
        <f t="shared" si="2"/>
        <v>-0.29510362707294968</v>
      </c>
      <c r="J21" s="86">
        <f t="shared" si="6"/>
        <v>-55304.09</v>
      </c>
      <c r="L21" s="86">
        <f>+יולי!M21+אוגוסט!M21+ספטמבר!M21</f>
        <v>205800</v>
      </c>
      <c r="M21" s="172">
        <f t="shared" si="3"/>
        <v>-0.35810704567541296</v>
      </c>
      <c r="N21" s="86">
        <f t="shared" si="7"/>
        <v>-73698.429999999993</v>
      </c>
      <c r="P21" s="89">
        <f>'תקציב  '!AI23+'תקציב  '!AJ23+'תקציב  '!AK23</f>
        <v>130000</v>
      </c>
      <c r="Q21" s="172">
        <f t="shared" si="4"/>
        <v>1.0161659230769231</v>
      </c>
      <c r="R21" s="86">
        <f t="shared" si="5"/>
        <v>57405.66</v>
      </c>
    </row>
    <row r="22" spans="1:18" x14ac:dyDescent="0.2">
      <c r="A22" s="135">
        <v>21</v>
      </c>
      <c r="B22" s="89" t="s">
        <v>94</v>
      </c>
      <c r="C22" s="89" t="s">
        <v>80</v>
      </c>
      <c r="D22" s="89" t="s">
        <v>18</v>
      </c>
      <c r="E22" s="3" t="s">
        <v>19</v>
      </c>
      <c r="F22" s="86">
        <f>+יולי!F22+אוגוסט!F22+ספטמבר!F22</f>
        <v>94000.170000000013</v>
      </c>
      <c r="G22" s="86">
        <f>+יולי!G22+אוגוסט!G22+ספטמבר!G22</f>
        <v>269184.45</v>
      </c>
      <c r="H22" s="86">
        <f>+יולי!H22+אוגוסט!H22+ספטמבר!H22</f>
        <v>10986.57</v>
      </c>
      <c r="I22" s="172">
        <f t="shared" si="2"/>
        <v>-0.95918571819434595</v>
      </c>
      <c r="J22" s="86">
        <f t="shared" si="6"/>
        <v>-258197.88</v>
      </c>
      <c r="L22" s="86">
        <f>+יולי!M22+אוגוסט!M22+ספטמבר!M22</f>
        <v>148390</v>
      </c>
      <c r="M22" s="172">
        <f t="shared" si="3"/>
        <v>-0.92596152031808077</v>
      </c>
      <c r="N22" s="86">
        <f t="shared" si="7"/>
        <v>-137403.43</v>
      </c>
      <c r="P22" s="89">
        <f>'תקציב  '!AI24+'תקציב  '!AJ24+'תקציב  '!AK24</f>
        <v>60000</v>
      </c>
      <c r="Q22" s="172">
        <f t="shared" si="4"/>
        <v>0.18310950000000001</v>
      </c>
      <c r="R22" s="86">
        <f t="shared" si="5"/>
        <v>209184.45</v>
      </c>
    </row>
    <row r="23" spans="1:18" x14ac:dyDescent="0.2">
      <c r="A23" s="135">
        <v>22</v>
      </c>
      <c r="B23" s="89" t="s">
        <v>95</v>
      </c>
      <c r="C23" s="89" t="s">
        <v>82</v>
      </c>
      <c r="D23" s="89" t="s">
        <v>14</v>
      </c>
      <c r="E23" s="3" t="s">
        <v>15</v>
      </c>
      <c r="F23" s="86">
        <f>+יולי!F23+אוגוסט!F23+ספטמבר!F23</f>
        <v>86243.849999999991</v>
      </c>
      <c r="G23" s="86">
        <f>+יולי!G23+אוגוסט!G23+ספטמבר!G23</f>
        <v>156404.78</v>
      </c>
      <c r="H23" s="86">
        <f>+יולי!H23+אוגוסט!H23+ספטמבר!H23</f>
        <v>51223.23</v>
      </c>
      <c r="I23" s="172">
        <f t="shared" si="2"/>
        <v>-0.67249575108893733</v>
      </c>
      <c r="J23" s="86">
        <f t="shared" si="6"/>
        <v>-105181.54999999999</v>
      </c>
      <c r="L23" s="86">
        <f>+יולי!M23+אוגוסט!M23+ספטמבר!M23</f>
        <v>170000</v>
      </c>
      <c r="M23" s="172">
        <f t="shared" si="3"/>
        <v>-0.69868688235294119</v>
      </c>
      <c r="N23" s="86">
        <f t="shared" si="7"/>
        <v>-118776.76999999999</v>
      </c>
      <c r="P23" s="89">
        <f>'תקציב  '!AI25+'תקציב  '!AJ25+'תקציב  '!AK25</f>
        <v>75000</v>
      </c>
      <c r="Q23" s="172">
        <f t="shared" si="4"/>
        <v>0.68297640000000004</v>
      </c>
      <c r="R23" s="86">
        <f t="shared" si="5"/>
        <v>81404.78</v>
      </c>
    </row>
    <row r="24" spans="1:18" x14ac:dyDescent="0.2">
      <c r="A24" s="135">
        <v>23</v>
      </c>
      <c r="B24" s="89" t="s">
        <v>96</v>
      </c>
      <c r="C24" s="89" t="s">
        <v>78</v>
      </c>
      <c r="D24" s="89" t="s">
        <v>24</v>
      </c>
      <c r="E24" s="3" t="s">
        <v>25</v>
      </c>
      <c r="F24" s="86">
        <f>+יולי!F24+אוגוסט!F24+ספטמבר!F24</f>
        <v>46527.759999999995</v>
      </c>
      <c r="G24" s="86">
        <f>+יולי!G24+אוגוסט!G24+ספטמבר!G24</f>
        <v>49292.55</v>
      </c>
      <c r="H24" s="86">
        <f>+יולי!H24+אוגוסט!H24+ספטמבר!H24</f>
        <v>34611.94</v>
      </c>
      <c r="I24" s="172">
        <f t="shared" si="2"/>
        <v>-0.29782614208435143</v>
      </c>
      <c r="J24" s="86">
        <f t="shared" si="6"/>
        <v>-14680.61</v>
      </c>
      <c r="L24" s="86">
        <f>+יולי!M24+אוגוסט!M24+ספטמבר!M24</f>
        <v>44000</v>
      </c>
      <c r="M24" s="172">
        <f t="shared" si="3"/>
        <v>-0.21336499999999992</v>
      </c>
      <c r="N24" s="86">
        <f t="shared" si="7"/>
        <v>-9388.0599999999977</v>
      </c>
      <c r="P24" s="89">
        <f>'תקציב  '!AI26+'תקציב  '!AJ26+'תקציב  '!AK26</f>
        <v>35000</v>
      </c>
      <c r="Q24" s="172">
        <f t="shared" si="4"/>
        <v>0.98891257142857147</v>
      </c>
      <c r="R24" s="86">
        <f t="shared" si="5"/>
        <v>14292.550000000003</v>
      </c>
    </row>
    <row r="25" spans="1:18" x14ac:dyDescent="0.2">
      <c r="A25" s="135">
        <v>24</v>
      </c>
      <c r="B25" s="89" t="s">
        <v>97</v>
      </c>
      <c r="C25" s="89" t="s">
        <v>79</v>
      </c>
      <c r="D25" s="89" t="s">
        <v>27</v>
      </c>
      <c r="E25" s="3" t="s">
        <v>46</v>
      </c>
      <c r="F25" s="86">
        <f>+יולי!F25+אוגוסט!F25+ספטמבר!F25</f>
        <v>0</v>
      </c>
      <c r="G25" s="86">
        <f>+יולי!G25+אוגוסט!G25+ספטמבר!G25</f>
        <v>0</v>
      </c>
      <c r="H25" s="86">
        <f>+יולי!H25+אוגוסט!H25+ספטמבר!H25</f>
        <v>0</v>
      </c>
      <c r="I25" s="172" t="str">
        <f t="shared" si="2"/>
        <v/>
      </c>
      <c r="J25" s="86">
        <f t="shared" si="6"/>
        <v>0</v>
      </c>
      <c r="L25" s="86">
        <f>+יולי!M25+אוגוסט!M25+ספטמבר!M25</f>
        <v>15000</v>
      </c>
      <c r="M25" s="172">
        <f t="shared" si="3"/>
        <v>-1</v>
      </c>
      <c r="N25" s="86">
        <f t="shared" si="7"/>
        <v>-15000</v>
      </c>
      <c r="P25" s="89">
        <f>'תקציב  '!AI27+'תקציב  '!AJ27+'תקציב  '!AK27</f>
        <v>0</v>
      </c>
      <c r="Q25" s="172" t="str">
        <f t="shared" si="4"/>
        <v>-</v>
      </c>
      <c r="R25" s="86">
        <f t="shared" si="5"/>
        <v>0</v>
      </c>
    </row>
    <row r="26" spans="1:18" ht="13.5" customHeight="1" x14ac:dyDescent="0.2">
      <c r="A26" s="135">
        <v>25</v>
      </c>
      <c r="B26" s="89" t="s">
        <v>98</v>
      </c>
      <c r="C26" s="89" t="s">
        <v>87</v>
      </c>
      <c r="D26" s="89" t="s">
        <v>20</v>
      </c>
      <c r="E26" s="3" t="s">
        <v>21</v>
      </c>
      <c r="F26" s="86">
        <f>+יולי!F26+אוגוסט!F26+ספטמבר!F26</f>
        <v>0</v>
      </c>
      <c r="G26" s="86">
        <f>+יולי!G26+אוגוסט!G26+ספטמבר!G26</f>
        <v>0</v>
      </c>
      <c r="H26" s="86">
        <f>+יולי!H26+אוגוסט!H26+ספטמבר!H26</f>
        <v>221407.78</v>
      </c>
      <c r="I26" s="172" t="str">
        <f t="shared" si="2"/>
        <v/>
      </c>
      <c r="J26" s="86">
        <f t="shared" si="6"/>
        <v>221407.78</v>
      </c>
      <c r="L26" s="86">
        <f>+יולי!M26+אוגוסט!M26+ספטמבר!M26</f>
        <v>150000</v>
      </c>
      <c r="M26" s="172">
        <f t="shared" si="3"/>
        <v>0.47605186666666666</v>
      </c>
      <c r="N26" s="86">
        <f t="shared" si="7"/>
        <v>71407.78</v>
      </c>
      <c r="P26" s="89">
        <f>'תקציב  '!AI28+'תקציב  '!AJ28+'תקציב  '!AK28</f>
        <v>310000</v>
      </c>
      <c r="Q26" s="172">
        <f t="shared" si="4"/>
        <v>0.7142186451612903</v>
      </c>
      <c r="R26" s="86">
        <f t="shared" si="5"/>
        <v>-310000</v>
      </c>
    </row>
    <row r="27" spans="1:18" x14ac:dyDescent="0.2">
      <c r="A27" s="135">
        <v>26</v>
      </c>
      <c r="B27" s="89" t="s">
        <v>99</v>
      </c>
      <c r="C27" s="89" t="s">
        <v>77</v>
      </c>
      <c r="D27" s="89" t="s">
        <v>26</v>
      </c>
      <c r="E27" s="3" t="s">
        <v>28</v>
      </c>
      <c r="F27" s="86">
        <f>+יולי!F27+אוגוסט!F27+ספטמבר!F27</f>
        <v>42077.039999999994</v>
      </c>
      <c r="G27" s="86">
        <f>+יולי!G27+אוגוסט!G27+ספטמבר!G27</f>
        <v>31010.799999999999</v>
      </c>
      <c r="H27" s="86">
        <f>+יולי!H27+אוגוסט!H27+ספטמבר!H27</f>
        <v>0</v>
      </c>
      <c r="I27" s="172">
        <f t="shared" si="2"/>
        <v>-1</v>
      </c>
      <c r="J27" s="86">
        <f t="shared" si="6"/>
        <v>-31010.799999999999</v>
      </c>
      <c r="L27" s="86">
        <f>+יולי!M27+אוגוסט!M27+ספטמבר!M27</f>
        <v>40000</v>
      </c>
      <c r="M27" s="172">
        <f t="shared" si="3"/>
        <v>-1</v>
      </c>
      <c r="N27" s="86">
        <f t="shared" si="7"/>
        <v>-40000</v>
      </c>
      <c r="P27" s="89">
        <f>'תקציב  '!AI29+'תקציב  '!AJ29+'תקציב  '!AK29</f>
        <v>20000</v>
      </c>
      <c r="Q27" s="172">
        <f t="shared" si="4"/>
        <v>0</v>
      </c>
      <c r="R27" s="86">
        <f t="shared" si="5"/>
        <v>11010.8</v>
      </c>
    </row>
    <row r="28" spans="1:18" ht="13.5" customHeight="1" x14ac:dyDescent="0.2">
      <c r="A28" s="135">
        <v>27</v>
      </c>
      <c r="B28" s="89" t="s">
        <v>100</v>
      </c>
      <c r="C28" s="89" t="s">
        <v>88</v>
      </c>
      <c r="D28" s="89" t="s">
        <v>22</v>
      </c>
      <c r="E28" s="3" t="s">
        <v>23</v>
      </c>
      <c r="F28" s="86">
        <f>+יולי!F28+אוגוסט!F28+ספטמבר!F28</f>
        <v>0</v>
      </c>
      <c r="G28" s="86">
        <f>+יולי!G28+אוגוסט!G28+ספטמבר!G28</f>
        <v>0</v>
      </c>
      <c r="H28" s="86">
        <f>+יולי!H28+אוגוסט!H28+ספטמבר!H28</f>
        <v>0</v>
      </c>
      <c r="I28" s="172" t="str">
        <f t="shared" si="2"/>
        <v/>
      </c>
      <c r="J28" s="86">
        <f t="shared" si="6"/>
        <v>0</v>
      </c>
      <c r="L28" s="86">
        <f>+יולי!M28+אוגוסט!M28+ספטמבר!M28</f>
        <v>250000</v>
      </c>
      <c r="M28" s="172">
        <f t="shared" si="3"/>
        <v>-1</v>
      </c>
      <c r="N28" s="86">
        <f t="shared" si="7"/>
        <v>-250000</v>
      </c>
      <c r="P28" s="89">
        <f>'תקציב  '!AI30+'תקציב  '!AJ30+'תקציב  '!AK30</f>
        <v>150000</v>
      </c>
      <c r="Q28" s="172">
        <f t="shared" si="4"/>
        <v>0</v>
      </c>
      <c r="R28" s="86">
        <f t="shared" si="5"/>
        <v>-150000</v>
      </c>
    </row>
    <row r="29" spans="1:18" ht="13.5" customHeight="1" x14ac:dyDescent="0.2">
      <c r="A29" s="135">
        <v>28</v>
      </c>
      <c r="B29" s="89" t="s">
        <v>101</v>
      </c>
      <c r="C29" s="89" t="s">
        <v>89</v>
      </c>
      <c r="D29" s="89" t="s">
        <v>16</v>
      </c>
      <c r="E29" s="3" t="s">
        <v>17</v>
      </c>
      <c r="F29" s="86">
        <f>+יולי!F29+אוגוסט!F29+ספטמבר!F29</f>
        <v>114399.53</v>
      </c>
      <c r="G29" s="86">
        <f>+יולי!G29+אוגוסט!G29+ספטמבר!G29</f>
        <v>110768.02000000002</v>
      </c>
      <c r="H29" s="86">
        <f>+יולי!H29+אוגוסט!H29+ספטמבר!H29</f>
        <v>97628.02</v>
      </c>
      <c r="I29" s="172">
        <f t="shared" si="2"/>
        <v>-0.11862629665132596</v>
      </c>
      <c r="J29" s="86">
        <f t="shared" si="6"/>
        <v>-13140.000000000015</v>
      </c>
      <c r="L29" s="86">
        <f>+יולי!M29+אוגוסט!M29+ספטמבר!M29</f>
        <v>119295.228</v>
      </c>
      <c r="M29" s="172">
        <f t="shared" si="3"/>
        <v>-0.18162677890183498</v>
      </c>
      <c r="N29" s="86">
        <f t="shared" si="7"/>
        <v>-21667.207999999999</v>
      </c>
      <c r="P29" s="89">
        <f>'תקציב  '!AI31+'תקציב  '!AJ31+'תקציב  '!AK31</f>
        <v>100000</v>
      </c>
      <c r="Q29" s="172">
        <f t="shared" si="4"/>
        <v>0.97628020000000004</v>
      </c>
      <c r="R29" s="86">
        <f t="shared" si="5"/>
        <v>10768.020000000019</v>
      </c>
    </row>
    <row r="30" spans="1:18" x14ac:dyDescent="0.2">
      <c r="A30" s="135">
        <v>29</v>
      </c>
      <c r="B30" s="89" t="s">
        <v>102</v>
      </c>
      <c r="C30" s="89" t="s">
        <v>81</v>
      </c>
      <c r="D30" s="89" t="s">
        <v>29</v>
      </c>
      <c r="E30" s="3" t="s">
        <v>30</v>
      </c>
      <c r="F30" s="86">
        <f>+יולי!F30+אוגוסט!F30+ספטמבר!F30</f>
        <v>54153.1</v>
      </c>
      <c r="G30" s="86">
        <f>+יולי!G30+אוגוסט!G30+ספטמבר!G30</f>
        <v>0</v>
      </c>
      <c r="H30" s="86">
        <f>+יולי!H30+אוגוסט!H30+ספטמבר!H30</f>
        <v>0</v>
      </c>
      <c r="I30" s="172" t="str">
        <f t="shared" si="2"/>
        <v/>
      </c>
      <c r="J30" s="86">
        <f t="shared" si="6"/>
        <v>0</v>
      </c>
      <c r="L30" s="86">
        <f>+יולי!M30+אוגוסט!M30+ספטמבר!M30</f>
        <v>0</v>
      </c>
      <c r="M30" s="172" t="str">
        <f t="shared" si="3"/>
        <v/>
      </c>
      <c r="N30" s="86">
        <f t="shared" si="7"/>
        <v>0</v>
      </c>
      <c r="P30" s="89">
        <f>'תקציב  '!AI32+'תקציב  '!AJ32+'תקציב  '!AK32</f>
        <v>0</v>
      </c>
      <c r="Q30" s="172" t="str">
        <f t="shared" si="4"/>
        <v>-</v>
      </c>
      <c r="R30" s="86">
        <f t="shared" si="5"/>
        <v>0</v>
      </c>
    </row>
    <row r="31" spans="1:18" x14ac:dyDescent="0.2">
      <c r="A31" s="135">
        <v>30</v>
      </c>
      <c r="B31" s="89" t="s">
        <v>103</v>
      </c>
      <c r="C31" s="89" t="s">
        <v>76</v>
      </c>
      <c r="D31" s="89" t="s">
        <v>34</v>
      </c>
      <c r="E31" s="3" t="s">
        <v>30</v>
      </c>
      <c r="F31" s="86">
        <f>+יולי!F31+אוגוסט!F31+ספטמבר!F31</f>
        <v>20673.57</v>
      </c>
      <c r="G31" s="86">
        <f>+יולי!G31+אוגוסט!G31+ספטמבר!G31</f>
        <v>0</v>
      </c>
      <c r="H31" s="86">
        <f>+יולי!H31+אוגוסט!H31+ספטמבר!H31</f>
        <v>21590.63</v>
      </c>
      <c r="I31" s="172" t="str">
        <f t="shared" si="2"/>
        <v/>
      </c>
      <c r="J31" s="86">
        <f t="shared" si="6"/>
        <v>21590.63</v>
      </c>
      <c r="L31" s="86">
        <f>+יולי!M31+אוגוסט!M31+ספטמבר!M31</f>
        <v>20000</v>
      </c>
      <c r="M31" s="172">
        <f t="shared" si="3"/>
        <v>7.9531500000000088E-2</v>
      </c>
      <c r="N31" s="86">
        <f t="shared" si="7"/>
        <v>1590.630000000001</v>
      </c>
      <c r="P31" s="89">
        <f>'תקציב  '!AI33+'תקציב  '!AJ33+'תקציב  '!AK33</f>
        <v>25000</v>
      </c>
      <c r="Q31" s="172">
        <f t="shared" si="4"/>
        <v>0.86362520000000009</v>
      </c>
      <c r="R31" s="86">
        <f t="shared" si="5"/>
        <v>-25000</v>
      </c>
    </row>
    <row r="32" spans="1:18" ht="13.5" customHeight="1" x14ac:dyDescent="0.2">
      <c r="A32" s="135">
        <v>31</v>
      </c>
      <c r="B32" s="89" t="s">
        <v>85</v>
      </c>
      <c r="C32" s="89" t="s">
        <v>85</v>
      </c>
      <c r="D32" s="89" t="s">
        <v>32</v>
      </c>
      <c r="E32" s="3" t="s">
        <v>33</v>
      </c>
      <c r="F32" s="86">
        <f>+יולי!F32+אוגוסט!F32+ספטמבר!F32</f>
        <v>31722.98</v>
      </c>
      <c r="G32" s="86">
        <f>+יולי!G32+אוגוסט!G32+ספטמבר!G32</f>
        <v>65762.069999999992</v>
      </c>
      <c r="H32" s="86">
        <f>+יולי!H32+אוגוסט!H32+ספטמבר!H32</f>
        <v>10037.15</v>
      </c>
      <c r="I32" s="172">
        <f t="shared" si="2"/>
        <v>-0.84737174483710742</v>
      </c>
      <c r="J32" s="86">
        <f t="shared" si="6"/>
        <v>-55724.919999999991</v>
      </c>
      <c r="L32" s="86">
        <f>+יולי!M32+אוגוסט!M32+ספטמבר!M32</f>
        <v>67000</v>
      </c>
      <c r="M32" s="172">
        <f t="shared" si="3"/>
        <v>-0.85019179104477616</v>
      </c>
      <c r="N32" s="86">
        <f t="shared" si="7"/>
        <v>-56962.85</v>
      </c>
      <c r="P32" s="89">
        <f>'תקציב  '!AI34+'תקציב  '!AJ34+'תקציב  '!AK34</f>
        <v>17500</v>
      </c>
      <c r="Q32" s="172">
        <f t="shared" si="4"/>
        <v>0.5735514285714286</v>
      </c>
      <c r="R32" s="86">
        <f t="shared" si="5"/>
        <v>48262.069999999992</v>
      </c>
    </row>
    <row r="33" spans="1:18" ht="13.5" customHeight="1" x14ac:dyDescent="0.2">
      <c r="A33" s="135"/>
      <c r="B33" s="89"/>
      <c r="C33" s="89"/>
      <c r="D33" s="89" t="s">
        <v>11</v>
      </c>
      <c r="E33" s="3" t="s">
        <v>12</v>
      </c>
      <c r="F33" s="86">
        <f>+יולי!F33+אוגוסט!F33+ספטמבר!F33</f>
        <v>0</v>
      </c>
      <c r="G33" s="86">
        <f>+יולי!G33+אוגוסט!G33+ספטמבר!G33</f>
        <v>0</v>
      </c>
      <c r="H33" s="86">
        <f>+יולי!H33+אוגוסט!H33+ספטמבר!H33</f>
        <v>0</v>
      </c>
      <c r="I33" s="172" t="str">
        <f t="shared" si="2"/>
        <v/>
      </c>
      <c r="J33" s="86">
        <f t="shared" si="6"/>
        <v>0</v>
      </c>
      <c r="L33" s="86">
        <f>+יולי!M33+אוגוסט!M33+ספטמבר!M33</f>
        <v>0</v>
      </c>
      <c r="M33" s="172" t="str">
        <f t="shared" si="3"/>
        <v/>
      </c>
      <c r="N33" s="86">
        <f t="shared" si="7"/>
        <v>0</v>
      </c>
      <c r="P33" s="89">
        <f>'תקציב  '!AI35+'תקציב  '!AJ35+'תקציב  '!AK35</f>
        <v>20000</v>
      </c>
      <c r="Q33" s="172">
        <f t="shared" si="4"/>
        <v>0</v>
      </c>
      <c r="R33" s="86">
        <f t="shared" si="5"/>
        <v>-20000</v>
      </c>
    </row>
    <row r="34" spans="1:18" ht="13.5" customHeight="1" x14ac:dyDescent="0.2">
      <c r="A34" s="135">
        <v>32</v>
      </c>
      <c r="B34" s="89" t="s">
        <v>104</v>
      </c>
      <c r="C34" s="89" t="s">
        <v>86</v>
      </c>
      <c r="D34" s="89" t="s">
        <v>31</v>
      </c>
      <c r="E34" s="3" t="s">
        <v>49</v>
      </c>
      <c r="F34" s="86">
        <f>+יולי!F34+אוגוסט!F34+ספטמבר!F34</f>
        <v>15884.96</v>
      </c>
      <c r="G34" s="86">
        <f>+יולי!G34+אוגוסט!G34+ספטמבר!G34</f>
        <v>0</v>
      </c>
      <c r="H34" s="86">
        <f>+יולי!H34+אוגוסט!H34+ספטמבר!H34</f>
        <v>18350.05</v>
      </c>
      <c r="I34" s="172" t="str">
        <f t="shared" si="2"/>
        <v/>
      </c>
      <c r="J34" s="86">
        <f t="shared" si="6"/>
        <v>18350.05</v>
      </c>
      <c r="L34" s="86">
        <f>+יולי!M34+אוגוסט!M34+ספטמבר!M34</f>
        <v>0</v>
      </c>
      <c r="M34" s="172" t="str">
        <f t="shared" si="3"/>
        <v/>
      </c>
      <c r="N34" s="86">
        <f t="shared" si="7"/>
        <v>18350.05</v>
      </c>
      <c r="P34" s="89">
        <f>'תקציב  '!AI36+'תקציב  '!AJ36+'תקציב  '!AK36</f>
        <v>0</v>
      </c>
      <c r="Q34" s="172" t="str">
        <f t="shared" si="4"/>
        <v>-</v>
      </c>
      <c r="R34" s="86">
        <f t="shared" si="5"/>
        <v>0</v>
      </c>
    </row>
    <row r="35" spans="1:18" ht="13.5" customHeight="1" x14ac:dyDescent="0.2">
      <c r="A35" s="135">
        <v>33</v>
      </c>
      <c r="B35" s="89" t="s">
        <v>105</v>
      </c>
      <c r="C35" s="89" t="s">
        <v>83</v>
      </c>
      <c r="D35" s="89" t="s">
        <v>84</v>
      </c>
      <c r="E35" s="3" t="s">
        <v>48</v>
      </c>
      <c r="F35" s="86">
        <f>+יולי!F35+אוגוסט!F35+ספטמבר!F35</f>
        <v>25140.85</v>
      </c>
      <c r="G35" s="86">
        <f>+יולי!G35+אוגוסט!G35+ספטמבר!G35</f>
        <v>0</v>
      </c>
      <c r="H35" s="86">
        <f>+יולי!H35+אוגוסט!H35+ספטמבר!H35</f>
        <v>26105.72</v>
      </c>
      <c r="I35" s="172" t="str">
        <f t="shared" si="2"/>
        <v/>
      </c>
      <c r="J35" s="86">
        <f t="shared" si="6"/>
        <v>26105.72</v>
      </c>
      <c r="L35" s="86">
        <f>+יולי!M35+אוגוסט!M35+ספטמבר!M35</f>
        <v>0</v>
      </c>
      <c r="M35" s="172" t="str">
        <f t="shared" si="3"/>
        <v/>
      </c>
      <c r="N35" s="86">
        <f t="shared" si="7"/>
        <v>26105.72</v>
      </c>
      <c r="P35" s="89">
        <f>'תקציב  '!AI37+'תקציב  '!AJ37+'תקציב  '!AK37</f>
        <v>0</v>
      </c>
      <c r="Q35" s="172" t="str">
        <f t="shared" si="4"/>
        <v>-</v>
      </c>
      <c r="R35" s="86">
        <f t="shared" si="5"/>
        <v>0</v>
      </c>
    </row>
    <row r="36" spans="1:18" x14ac:dyDescent="0.2">
      <c r="A36" s="135"/>
      <c r="B36" s="89" t="s">
        <v>107</v>
      </c>
      <c r="C36" s="89" t="s">
        <v>107</v>
      </c>
      <c r="D36" s="89" t="s">
        <v>37</v>
      </c>
      <c r="E36" s="3" t="s">
        <v>17</v>
      </c>
      <c r="F36" s="86">
        <f>+יולי!F36+אוגוסט!F36+ספטמבר!F36</f>
        <v>0</v>
      </c>
      <c r="G36" s="86">
        <f>+יולי!G36+אוגוסט!G36+ספטמבר!G36</f>
        <v>0</v>
      </c>
      <c r="H36" s="86">
        <f>+יולי!H36+אוגוסט!H36+ספטמבר!H36</f>
        <v>0</v>
      </c>
      <c r="I36" s="172" t="str">
        <f t="shared" si="2"/>
        <v/>
      </c>
      <c r="J36" s="86">
        <f t="shared" si="6"/>
        <v>0</v>
      </c>
      <c r="L36" s="86">
        <f>+יולי!M36+אוגוסט!M36+ספטמבר!M36</f>
        <v>0</v>
      </c>
      <c r="M36" s="172" t="str">
        <f t="shared" si="3"/>
        <v/>
      </c>
      <c r="N36" s="86">
        <f t="shared" si="7"/>
        <v>0</v>
      </c>
      <c r="P36" s="89">
        <f>'תקציב  '!AI38+'תקציב  '!AJ38+'תקציב  '!AK38</f>
        <v>0</v>
      </c>
      <c r="Q36" s="172" t="str">
        <f t="shared" si="4"/>
        <v>-</v>
      </c>
      <c r="R36" s="86">
        <f t="shared" si="5"/>
        <v>0</v>
      </c>
    </row>
    <row r="37" spans="1:18" x14ac:dyDescent="0.2">
      <c r="A37" s="135">
        <v>34</v>
      </c>
      <c r="B37" s="89" t="s">
        <v>108</v>
      </c>
      <c r="C37" s="89" t="s">
        <v>108</v>
      </c>
      <c r="D37" s="89" t="s">
        <v>35</v>
      </c>
      <c r="E37" s="3" t="s">
        <v>36</v>
      </c>
      <c r="F37" s="86">
        <f>+יולי!F37+אוגוסט!F37+ספטמבר!F37</f>
        <v>0</v>
      </c>
      <c r="G37" s="86">
        <f>+יולי!G37+אוגוסט!G37+ספטמבר!G37</f>
        <v>0</v>
      </c>
      <c r="H37" s="86">
        <f>+יולי!H37+אוגוסט!H37+ספטמבר!H37</f>
        <v>0</v>
      </c>
      <c r="I37" s="172" t="str">
        <f t="shared" si="2"/>
        <v/>
      </c>
      <c r="J37" s="86">
        <f t="shared" si="6"/>
        <v>0</v>
      </c>
      <c r="L37" s="86">
        <f>+יולי!M37+אוגוסט!M37+ספטמבר!M37</f>
        <v>0</v>
      </c>
      <c r="M37" s="172" t="str">
        <f t="shared" si="3"/>
        <v/>
      </c>
      <c r="N37" s="86">
        <f t="shared" si="7"/>
        <v>0</v>
      </c>
      <c r="P37" s="89">
        <f>'תקציב  '!AI39+'תקציב  '!AJ39+'תקציב  '!AK39</f>
        <v>0</v>
      </c>
      <c r="Q37" s="172" t="str">
        <f t="shared" si="4"/>
        <v>-</v>
      </c>
      <c r="R37" s="86">
        <f t="shared" si="5"/>
        <v>0</v>
      </c>
    </row>
    <row r="38" spans="1:18" ht="13.5" customHeight="1" x14ac:dyDescent="0.2">
      <c r="A38" s="135">
        <v>35</v>
      </c>
      <c r="B38" s="89" t="s">
        <v>109</v>
      </c>
      <c r="C38" s="89" t="s">
        <v>109</v>
      </c>
      <c r="D38" s="89" t="s">
        <v>70</v>
      </c>
      <c r="E38" s="3" t="s">
        <v>38</v>
      </c>
      <c r="F38" s="86">
        <f>+יולי!F38+אוגוסט!F38+ספטמבר!F38</f>
        <v>-1.37</v>
      </c>
      <c r="G38" s="86">
        <f>+יולי!G38+אוגוסט!G38+ספטמבר!G38</f>
        <v>0</v>
      </c>
      <c r="H38" s="86">
        <f>+יולי!H38+אוגוסט!H38+ספטמבר!H38</f>
        <v>0</v>
      </c>
      <c r="I38" s="172" t="str">
        <f t="shared" si="2"/>
        <v/>
      </c>
      <c r="J38" s="86">
        <f t="shared" si="6"/>
        <v>0</v>
      </c>
      <c r="L38" s="86">
        <f>+יולי!M38+אוגוסט!M38+ספטמבר!M38</f>
        <v>200000</v>
      </c>
      <c r="M38" s="172">
        <f t="shared" si="3"/>
        <v>-1</v>
      </c>
      <c r="N38" s="86">
        <f t="shared" si="7"/>
        <v>-200000</v>
      </c>
      <c r="P38" s="89">
        <f>'תקציב  '!AI40+'תקציב  '!AJ40+'תקציב  '!AK40</f>
        <v>1840595</v>
      </c>
      <c r="Q38" s="172">
        <f t="shared" si="4"/>
        <v>0</v>
      </c>
      <c r="R38" s="86">
        <f t="shared" si="5"/>
        <v>-1840595</v>
      </c>
    </row>
    <row r="39" spans="1:18" ht="13.5" customHeight="1" x14ac:dyDescent="0.2">
      <c r="A39" s="135">
        <v>36</v>
      </c>
      <c r="B39" s="89"/>
      <c r="C39" s="89" t="s">
        <v>91</v>
      </c>
      <c r="D39" s="89" t="s">
        <v>91</v>
      </c>
      <c r="E39" s="3"/>
      <c r="F39" s="86">
        <f>+יולי!F39+אוגוסט!F39+ספטמבר!F39</f>
        <v>0</v>
      </c>
      <c r="G39" s="86">
        <f>+יולי!G39+אוגוסט!G39+ספטמבר!G39</f>
        <v>0</v>
      </c>
      <c r="H39" s="86">
        <f>+יולי!H39+אוגוסט!H39+ספטמבר!H39</f>
        <v>0</v>
      </c>
      <c r="I39" s="172" t="str">
        <f t="shared" si="2"/>
        <v/>
      </c>
      <c r="J39" s="86">
        <f t="shared" si="6"/>
        <v>0</v>
      </c>
      <c r="L39" s="86">
        <f>+יולי!M39+אוגוסט!M39+ספטמבר!M39</f>
        <v>0</v>
      </c>
      <c r="M39" s="172" t="str">
        <f t="shared" si="3"/>
        <v/>
      </c>
      <c r="N39" s="86">
        <f t="shared" si="7"/>
        <v>0</v>
      </c>
      <c r="P39" s="89">
        <f>'תקציב  '!AI41+'תקציב  '!AJ41+'תקציב  '!AK41</f>
        <v>8699195.8474576268</v>
      </c>
      <c r="Q39" s="172">
        <f t="shared" si="4"/>
        <v>0</v>
      </c>
      <c r="R39" s="86">
        <f t="shared" si="5"/>
        <v>-8699195.8474576268</v>
      </c>
    </row>
    <row r="40" spans="1:18" ht="15" x14ac:dyDescent="0.25">
      <c r="A40" s="135"/>
      <c r="B40" s="157"/>
      <c r="C40" s="157" t="s">
        <v>42</v>
      </c>
      <c r="D40" s="157" t="s">
        <v>42</v>
      </c>
      <c r="E40" s="157"/>
      <c r="F40" s="157">
        <f>SUM(F20:F39)</f>
        <v>1680429.6800000002</v>
      </c>
      <c r="G40" s="157">
        <f>SUM(G20:G39)</f>
        <v>1723262.9700000002</v>
      </c>
      <c r="H40" s="157">
        <f>SUM(H20:H39)</f>
        <v>1249347.99</v>
      </c>
      <c r="I40" s="97">
        <f t="shared" si="2"/>
        <v>-0.27501024988658584</v>
      </c>
      <c r="J40" s="157">
        <f>SUM(J20:J39)</f>
        <v>-473914.97999999975</v>
      </c>
      <c r="L40" s="157">
        <f>SUM(L20:L39)</f>
        <v>2849895.5589000001</v>
      </c>
      <c r="M40" s="97">
        <f t="shared" si="3"/>
        <v>-0.56161621919849503</v>
      </c>
      <c r="N40" s="157">
        <f>SUM(N20:N39)</f>
        <v>-1600547.5689000001</v>
      </c>
      <c r="P40" s="157">
        <f>SUM(P20:P39)</f>
        <v>12427862.947457626</v>
      </c>
      <c r="Q40" s="97">
        <f t="shared" si="4"/>
        <v>0.10052798258895988</v>
      </c>
      <c r="R40" s="157">
        <f t="shared" si="5"/>
        <v>-10704599.977457626</v>
      </c>
    </row>
    <row r="41" spans="1:18" ht="15" x14ac:dyDescent="0.25">
      <c r="A41" s="135"/>
      <c r="B41" s="159"/>
      <c r="C41" s="159" t="s">
        <v>69</v>
      </c>
      <c r="D41" s="159" t="s">
        <v>69</v>
      </c>
      <c r="E41" s="159"/>
      <c r="F41" s="159">
        <f>F40+F19</f>
        <v>6211415.118999999</v>
      </c>
      <c r="G41" s="159">
        <f>G40+G19</f>
        <v>6333571.7400000021</v>
      </c>
      <c r="H41" s="159">
        <f>H40+H19</f>
        <v>6550413.293999997</v>
      </c>
      <c r="I41" s="50">
        <f t="shared" si="2"/>
        <v>3.4236851322062112E-2</v>
      </c>
      <c r="J41" s="159">
        <f>J40+J19</f>
        <v>216841.55399999628</v>
      </c>
      <c r="L41" s="159">
        <f>L40+L19</f>
        <v>11342213.971018644</v>
      </c>
      <c r="M41" s="50">
        <f t="shared" si="3"/>
        <v>-0.42247489681137584</v>
      </c>
      <c r="N41" s="159">
        <f>N40+N19</f>
        <v>-4791800.6770186471</v>
      </c>
      <c r="P41" s="159">
        <f>P40+P19</f>
        <v>20850740.913559321</v>
      </c>
      <c r="Q41" s="50">
        <f t="shared" si="4"/>
        <v>0.31415733959555542</v>
      </c>
      <c r="R41" s="159">
        <f t="shared" si="5"/>
        <v>-14517169.173559319</v>
      </c>
    </row>
    <row r="42" spans="1:18" ht="15" x14ac:dyDescent="0.25">
      <c r="B42" s="177"/>
      <c r="C42" s="177" t="s">
        <v>43</v>
      </c>
      <c r="D42" s="177" t="s">
        <v>43</v>
      </c>
      <c r="E42" s="178"/>
      <c r="F42" s="179">
        <f>F40/F41</f>
        <v>0.27053894286661995</v>
      </c>
      <c r="G42" s="179">
        <f>G40/G41</f>
        <v>0.27208391106027002</v>
      </c>
      <c r="H42" s="179">
        <f>H40/H41</f>
        <v>0.19072811652119254</v>
      </c>
      <c r="I42" s="179">
        <f t="shared" si="2"/>
        <v>-0.29900994227128763</v>
      </c>
      <c r="J42" s="179"/>
      <c r="L42" s="179">
        <f>L40-יולי!M40-אוגוסט!M40-ספטמבר!M40</f>
        <v>0</v>
      </c>
      <c r="M42" s="179"/>
      <c r="N42" s="179"/>
      <c r="P42" s="192"/>
      <c r="Q42" s="179" t="str">
        <f t="shared" si="4"/>
        <v>-</v>
      </c>
      <c r="R42" s="179">
        <f t="shared" si="5"/>
        <v>0.27208391106027002</v>
      </c>
    </row>
    <row r="43" spans="1:18" x14ac:dyDescent="0.2">
      <c r="F43">
        <f>F41-יולי!F41-אוגוסט!F41-ספטמבר!F41</f>
        <v>0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0F16-8ACF-4B79-8536-68BCF1BF0656}">
  <dimension ref="A1:X43"/>
  <sheetViews>
    <sheetView showGridLines="0" rightToLeft="1" workbookViewId="0">
      <pane xSplit="5" ySplit="2" topLeftCell="F3" activePane="bottomRight" state="frozen"/>
      <selection activeCell="J13" sqref="J13"/>
      <selection pane="topRight" activeCell="J13" sqref="J13"/>
      <selection pane="bottomLeft" activeCell="J13" sqref="J13"/>
      <selection pane="bottomRight" activeCell="Q31" sqref="Q31"/>
    </sheetView>
  </sheetViews>
  <sheetFormatPr defaultRowHeight="14.25" x14ac:dyDescent="0.2"/>
  <cols>
    <col min="1" max="1" width="2.875" bestFit="1" customWidth="1"/>
    <col min="2" max="3" width="26" style="100" hidden="1" customWidth="1"/>
    <col min="4" max="4" width="26" style="100" customWidth="1"/>
    <col min="5" max="5" width="12.25" style="100" bestFit="1" customWidth="1"/>
    <col min="6" max="8" width="9.875" bestFit="1" customWidth="1"/>
    <col min="9" max="9" width="6.875" bestFit="1" customWidth="1"/>
    <col min="10" max="10" width="11" bestFit="1" customWidth="1"/>
    <col min="11" max="11" width="11.875" bestFit="1" customWidth="1"/>
    <col min="13" max="13" width="9.875" bestFit="1" customWidth="1"/>
    <col min="14" max="14" width="11" bestFit="1" customWidth="1"/>
    <col min="15" max="15" width="10.5" bestFit="1" customWidth="1"/>
    <col min="17" max="17" width="9.875" bestFit="1" customWidth="1"/>
    <col min="18" max="18" width="10.875" bestFit="1" customWidth="1"/>
    <col min="19" max="19" width="7.625" bestFit="1" customWidth="1"/>
    <col min="20" max="20" width="13" bestFit="1" customWidth="1"/>
    <col min="22" max="22" width="9.875" bestFit="1" customWidth="1"/>
    <col min="23" max="23" width="10.5" bestFit="1" customWidth="1"/>
    <col min="24" max="24" width="9" style="102"/>
  </cols>
  <sheetData>
    <row r="1" spans="1:24" ht="15.75" x14ac:dyDescent="0.25">
      <c r="B1" s="160"/>
      <c r="C1" s="160" t="s">
        <v>171</v>
      </c>
      <c r="D1" s="160" t="s">
        <v>171</v>
      </c>
      <c r="E1" s="160"/>
      <c r="F1" s="34"/>
      <c r="G1" s="34"/>
      <c r="H1" s="34"/>
      <c r="I1" s="34"/>
      <c r="J1" s="34"/>
      <c r="K1" s="34"/>
      <c r="M1" s="34"/>
      <c r="N1" s="34"/>
      <c r="O1" s="34"/>
      <c r="Q1" s="34"/>
      <c r="R1" s="34"/>
      <c r="S1" s="34"/>
      <c r="T1" s="34"/>
      <c r="V1" s="34"/>
    </row>
    <row r="2" spans="1:24" ht="15" x14ac:dyDescent="0.25">
      <c r="A2" s="133" t="s">
        <v>228</v>
      </c>
      <c r="B2" s="14"/>
      <c r="C2" s="14"/>
      <c r="D2" s="14"/>
      <c r="E2" s="146" t="s">
        <v>10</v>
      </c>
      <c r="F2" s="146">
        <v>10.202400000000001</v>
      </c>
      <c r="G2" s="146">
        <v>10.202500000000001</v>
      </c>
      <c r="H2" s="146">
        <v>10.2026</v>
      </c>
      <c r="I2" s="147" t="s">
        <v>225</v>
      </c>
      <c r="J2" s="147" t="s">
        <v>191</v>
      </c>
      <c r="K2" s="146" t="s">
        <v>192</v>
      </c>
      <c r="M2" s="146" t="s">
        <v>67</v>
      </c>
      <c r="N2" s="147" t="s">
        <v>68</v>
      </c>
      <c r="O2" s="146" t="s">
        <v>71</v>
      </c>
      <c r="Q2" s="148" t="s">
        <v>229</v>
      </c>
      <c r="R2" s="147" t="s">
        <v>231</v>
      </c>
      <c r="S2" s="147" t="s">
        <v>223</v>
      </c>
      <c r="T2" s="149" t="s">
        <v>232</v>
      </c>
      <c r="U2" s="90"/>
      <c r="V2" s="149">
        <v>10.2026</v>
      </c>
      <c r="W2" s="90"/>
    </row>
    <row r="3" spans="1:24" x14ac:dyDescent="0.2">
      <c r="A3" s="140">
        <v>5</v>
      </c>
      <c r="B3" s="142" t="s">
        <v>115</v>
      </c>
      <c r="C3" s="142" t="s">
        <v>1</v>
      </c>
      <c r="D3" s="142" t="s">
        <v>1</v>
      </c>
      <c r="E3" s="142" t="s">
        <v>40</v>
      </c>
      <c r="F3" s="86">
        <f>VLOOKUP(B3,'2024'!$A:$O,11,0)</f>
        <v>0</v>
      </c>
      <c r="G3" s="86">
        <f>VLOOKUP($B3,'2025'!$A:$O,11,0)</f>
        <v>33955.199999999997</v>
      </c>
      <c r="H3" s="86">
        <v>20995.200000000001</v>
      </c>
      <c r="I3" s="125">
        <f>IFERROR(H3/$H$19,"")</f>
        <v>1</v>
      </c>
      <c r="J3" s="125">
        <f>IFERROR(H3/G3-1,"")</f>
        <v>-0.38167938931297707</v>
      </c>
      <c r="K3" s="86">
        <f t="shared" ref="K3:K15" si="0">H3-G3</f>
        <v>-12959.999999999996</v>
      </c>
      <c r="M3" s="86">
        <f>VLOOKUP(C3,'תקציב  '!$B:$S,13,0)*1</f>
        <v>226666.66666666666</v>
      </c>
      <c r="N3" s="125">
        <f>IFERROR(H3/M3-1,"")</f>
        <v>-0.90737411764705878</v>
      </c>
      <c r="O3" s="86">
        <f t="shared" ref="O3:O15" si="1">H3-M3</f>
        <v>-205671.46666666665</v>
      </c>
      <c r="Q3" s="89">
        <f>_xlfn.XLOOKUP(A3,'תקציב  '!A:A,'תקציב  '!AL:AL)</f>
        <v>200000</v>
      </c>
      <c r="R3" s="125">
        <f>IFERROR(G3/Q3-1,"-")</f>
        <v>-0.83022400000000007</v>
      </c>
      <c r="S3" s="125">
        <f>IFERROR(G3/Q3,"-")</f>
        <v>0.16977599999999998</v>
      </c>
      <c r="T3" s="89">
        <f>G3-Q3</f>
        <v>-166044.79999999999</v>
      </c>
      <c r="V3" s="86"/>
      <c r="W3" s="7">
        <f>H3-V3</f>
        <v>20995.200000000001</v>
      </c>
      <c r="X3" s="101" t="str">
        <f t="shared" ref="X3:X41" si="2">IFERROR((G3/V3)-1,"-")</f>
        <v>-</v>
      </c>
    </row>
    <row r="4" spans="1:24" x14ac:dyDescent="0.2">
      <c r="A4" s="134">
        <v>1</v>
      </c>
      <c r="B4" s="142" t="s">
        <v>0</v>
      </c>
      <c r="C4" s="142" t="s">
        <v>0</v>
      </c>
      <c r="D4" s="142" t="s">
        <v>0</v>
      </c>
      <c r="E4" s="142" t="s">
        <v>40</v>
      </c>
      <c r="F4" s="86">
        <f>VLOOKUP(C4,'2024'!$A:$O,11,0)</f>
        <v>403387.07500000001</v>
      </c>
      <c r="G4" s="86">
        <f>VLOOKUP($B4,'2025'!$A:$O,11,0)</f>
        <v>417469.78</v>
      </c>
      <c r="H4" s="86"/>
      <c r="I4" s="125">
        <f t="shared" ref="I4:I42" si="3">IFERROR(H4/$H$19,"")</f>
        <v>0</v>
      </c>
      <c r="J4" s="125">
        <f t="shared" ref="J4:J42" si="4">IFERROR(H4/G4-1,"")</f>
        <v>-1</v>
      </c>
      <c r="K4" s="86">
        <f t="shared" si="0"/>
        <v>-417469.78</v>
      </c>
      <c r="M4" s="86">
        <f>VLOOKUP(C4,'תקציב  '!$B:$S,13,0)*1</f>
        <v>546666.66666666663</v>
      </c>
      <c r="N4" s="125">
        <f t="shared" ref="N4:N41" si="5">IFERROR(H4/M4-1,"")</f>
        <v>-1</v>
      </c>
      <c r="O4" s="86">
        <f t="shared" si="1"/>
        <v>-546666.66666666663</v>
      </c>
      <c r="Q4" s="89">
        <f>_xlfn.XLOOKUP(A4,'תקציב  '!A:A,'תקציב  '!AL:AL)</f>
        <v>550000</v>
      </c>
      <c r="R4" s="125">
        <f t="shared" ref="R4:R41" si="6">IFERROR(G4/Q4-1,"-")</f>
        <v>-0.24096403636363628</v>
      </c>
      <c r="S4" s="125">
        <f t="shared" ref="S4:S41" si="7">IFERROR(G4/Q4,"-")</f>
        <v>0.75903596363636372</v>
      </c>
      <c r="T4" s="89">
        <f t="shared" ref="T4:T41" si="8">G4-Q4</f>
        <v>-132530.21999999997</v>
      </c>
      <c r="V4" s="86"/>
      <c r="W4" s="7">
        <f t="shared" ref="W4:W42" si="9">H4-V4</f>
        <v>0</v>
      </c>
      <c r="X4" s="101" t="str">
        <f t="shared" si="2"/>
        <v>-</v>
      </c>
    </row>
    <row r="5" spans="1:24" x14ac:dyDescent="0.2">
      <c r="A5" s="134">
        <v>7</v>
      </c>
      <c r="B5" s="142" t="s">
        <v>44</v>
      </c>
      <c r="C5" s="142" t="s">
        <v>44</v>
      </c>
      <c r="D5" s="142" t="s">
        <v>44</v>
      </c>
      <c r="E5" s="142" t="s">
        <v>40</v>
      </c>
      <c r="F5" s="86">
        <f>VLOOKUP(C5,'2024'!$A:$O,11,0)</f>
        <v>80742.38900000001</v>
      </c>
      <c r="G5" s="86">
        <f>VLOOKUP($B5,'2025'!$A:$O,11,0)</f>
        <v>61390.420000000006</v>
      </c>
      <c r="H5" s="86"/>
      <c r="I5" s="125">
        <f t="shared" si="3"/>
        <v>0</v>
      </c>
      <c r="J5" s="125">
        <f t="shared" si="4"/>
        <v>-1</v>
      </c>
      <c r="K5" s="86">
        <f t="shared" si="0"/>
        <v>-61390.420000000006</v>
      </c>
      <c r="M5" s="86">
        <f>VLOOKUP(C5,'תקציב  '!$B:$S,13,0)*1</f>
        <v>75000</v>
      </c>
      <c r="N5" s="125">
        <f t="shared" si="5"/>
        <v>-1</v>
      </c>
      <c r="O5" s="86">
        <f t="shared" si="1"/>
        <v>-75000</v>
      </c>
      <c r="Q5" s="89">
        <f>_xlfn.XLOOKUP(A5,'תקציב  '!A:A,'תקציב  '!AL:AL)</f>
        <v>100000</v>
      </c>
      <c r="R5" s="125">
        <f t="shared" si="6"/>
        <v>-0.38609579999999999</v>
      </c>
      <c r="S5" s="125">
        <f t="shared" si="7"/>
        <v>0.61390420000000001</v>
      </c>
      <c r="T5" s="89">
        <f t="shared" si="8"/>
        <v>-38609.579999999994</v>
      </c>
      <c r="V5" s="86"/>
      <c r="W5" s="7">
        <f t="shared" si="9"/>
        <v>0</v>
      </c>
      <c r="X5" s="101" t="str">
        <f t="shared" si="2"/>
        <v>-</v>
      </c>
    </row>
    <row r="6" spans="1:24" x14ac:dyDescent="0.2">
      <c r="A6" s="134">
        <v>4</v>
      </c>
      <c r="B6" s="142" t="s">
        <v>3</v>
      </c>
      <c r="C6" s="142" t="s">
        <v>3</v>
      </c>
      <c r="D6" s="142" t="s">
        <v>3</v>
      </c>
      <c r="E6" s="142" t="s">
        <v>40</v>
      </c>
      <c r="F6" s="86">
        <f>VLOOKUP(C6,'2024'!$A:$O,11,0)</f>
        <v>128887.33100000001</v>
      </c>
      <c r="G6" s="86">
        <f>VLOOKUP($B6,'2025'!$A:$O,11,0)</f>
        <v>150616.41999999998</v>
      </c>
      <c r="H6" s="86"/>
      <c r="I6" s="125">
        <f t="shared" si="3"/>
        <v>0</v>
      </c>
      <c r="J6" s="125">
        <f t="shared" si="4"/>
        <v>-1</v>
      </c>
      <c r="K6" s="86">
        <f t="shared" si="0"/>
        <v>-150616.41999999998</v>
      </c>
      <c r="M6" s="86">
        <f>VLOOKUP(B6,'תקציב  '!$B:$S,13,0)*1</f>
        <v>162333.33333333331</v>
      </c>
      <c r="N6" s="125">
        <f t="shared" si="5"/>
        <v>-1</v>
      </c>
      <c r="O6" s="86">
        <f t="shared" si="1"/>
        <v>-162333.33333333331</v>
      </c>
      <c r="Q6" s="89">
        <f>_xlfn.XLOOKUP(A6,'תקציב  '!A:A,'תקציב  '!AL:AL)</f>
        <v>200000</v>
      </c>
      <c r="R6" s="125">
        <f t="shared" si="6"/>
        <v>-0.24691790000000013</v>
      </c>
      <c r="S6" s="125">
        <f t="shared" si="7"/>
        <v>0.75308209999999987</v>
      </c>
      <c r="T6" s="89">
        <f t="shared" si="8"/>
        <v>-49383.580000000016</v>
      </c>
      <c r="V6" s="86"/>
      <c r="W6" s="7">
        <f t="shared" si="9"/>
        <v>0</v>
      </c>
      <c r="X6" s="101" t="str">
        <f t="shared" si="2"/>
        <v>-</v>
      </c>
    </row>
    <row r="7" spans="1:24" x14ac:dyDescent="0.2">
      <c r="A7" s="134">
        <v>3</v>
      </c>
      <c r="B7" s="142" t="s">
        <v>112</v>
      </c>
      <c r="C7" s="142" t="s">
        <v>2</v>
      </c>
      <c r="D7" s="142" t="s">
        <v>2</v>
      </c>
      <c r="E7" s="142" t="s">
        <v>40</v>
      </c>
      <c r="F7" s="86">
        <f>VLOOKUP(B7,'2024'!$A:$O,11,0)</f>
        <v>291076</v>
      </c>
      <c r="G7" s="86">
        <f>VLOOKUP($B7,'2025'!$A:$O,11,0)</f>
        <v>184903.80000000002</v>
      </c>
      <c r="H7" s="86"/>
      <c r="I7" s="125">
        <f t="shared" si="3"/>
        <v>0</v>
      </c>
      <c r="J7" s="125">
        <f t="shared" si="4"/>
        <v>-1</v>
      </c>
      <c r="K7" s="86">
        <f t="shared" si="0"/>
        <v>-184903.80000000002</v>
      </c>
      <c r="M7" s="86">
        <f>VLOOKUP(C7,'תקציב  '!$B:$S,13,0)*1</f>
        <v>365000</v>
      </c>
      <c r="N7" s="125">
        <f t="shared" si="5"/>
        <v>-1</v>
      </c>
      <c r="O7" s="86">
        <f t="shared" si="1"/>
        <v>-365000</v>
      </c>
      <c r="Q7" s="89">
        <f>_xlfn.XLOOKUP(A7,'תקציב  '!A:A,'תקציב  '!AL:AL)</f>
        <v>330000</v>
      </c>
      <c r="R7" s="125">
        <f t="shared" si="6"/>
        <v>-0.43968545454545449</v>
      </c>
      <c r="S7" s="125">
        <f t="shared" si="7"/>
        <v>0.56031454545454551</v>
      </c>
      <c r="T7" s="89">
        <f t="shared" si="8"/>
        <v>-145096.19999999998</v>
      </c>
      <c r="V7" s="86"/>
      <c r="W7" s="7">
        <f t="shared" si="9"/>
        <v>0</v>
      </c>
      <c r="X7" s="101" t="str">
        <f t="shared" si="2"/>
        <v>-</v>
      </c>
    </row>
    <row r="8" spans="1:24" x14ac:dyDescent="0.2">
      <c r="A8" s="134">
        <v>8</v>
      </c>
      <c r="B8" s="142" t="s">
        <v>113</v>
      </c>
      <c r="C8" s="142" t="s">
        <v>5</v>
      </c>
      <c r="D8" s="142" t="s">
        <v>5</v>
      </c>
      <c r="E8" s="142" t="s">
        <v>40</v>
      </c>
      <c r="F8" s="86">
        <f>VLOOKUP(B8,'2024'!$A:$O,11,0)</f>
        <v>50225.360000000008</v>
      </c>
      <c r="G8" s="86">
        <f>VLOOKUP($B8,'2025'!$A:$O,11,0)</f>
        <v>70789.239999999991</v>
      </c>
      <c r="H8" s="86"/>
      <c r="I8" s="125">
        <f t="shared" si="3"/>
        <v>0</v>
      </c>
      <c r="J8" s="125">
        <f t="shared" si="4"/>
        <v>-1</v>
      </c>
      <c r="K8" s="86">
        <f t="shared" si="0"/>
        <v>-70789.239999999991</v>
      </c>
      <c r="M8" s="86">
        <f>VLOOKUP(C8,'תקציב  '!$B:$S,13,0)*1</f>
        <v>103333.33333333333</v>
      </c>
      <c r="N8" s="125">
        <f t="shared" si="5"/>
        <v>-1</v>
      </c>
      <c r="O8" s="86">
        <f t="shared" si="1"/>
        <v>-103333.33333333333</v>
      </c>
      <c r="Q8" s="89">
        <f>_xlfn.XLOOKUP(A8,'תקציב  '!A:A,'תקציב  '!AL:AL)</f>
        <v>100000</v>
      </c>
      <c r="R8" s="125">
        <f t="shared" si="6"/>
        <v>-0.29210760000000013</v>
      </c>
      <c r="S8" s="125">
        <f t="shared" si="7"/>
        <v>0.70789239999999987</v>
      </c>
      <c r="T8" s="89">
        <f t="shared" si="8"/>
        <v>-29210.760000000009</v>
      </c>
      <c r="V8" s="86"/>
      <c r="W8" s="7">
        <f t="shared" si="9"/>
        <v>0</v>
      </c>
      <c r="X8" s="101" t="str">
        <f t="shared" si="2"/>
        <v>-</v>
      </c>
    </row>
    <row r="9" spans="1:24" x14ac:dyDescent="0.2">
      <c r="A9" s="134">
        <v>6</v>
      </c>
      <c r="B9" s="142" t="s">
        <v>121</v>
      </c>
      <c r="C9" s="142" t="s">
        <v>4</v>
      </c>
      <c r="D9" s="142" t="s">
        <v>4</v>
      </c>
      <c r="E9" s="142" t="s">
        <v>40</v>
      </c>
      <c r="F9" s="86">
        <f>VLOOKUP(B9,'2024'!$A:$O,11,0)</f>
        <v>56916.240000000005</v>
      </c>
      <c r="G9" s="86">
        <f>VLOOKUP($B9,'2025'!$A:$O,11,0)</f>
        <v>57765.279999999999</v>
      </c>
      <c r="H9" s="86"/>
      <c r="I9" s="125">
        <f t="shared" si="3"/>
        <v>0</v>
      </c>
      <c r="J9" s="125">
        <f t="shared" si="4"/>
        <v>-1</v>
      </c>
      <c r="K9" s="86">
        <f t="shared" si="0"/>
        <v>-57765.279999999999</v>
      </c>
      <c r="M9" s="86">
        <f>VLOOKUP(C9,'תקציב  '!$B:$S,13,0)*1</f>
        <v>173583.33333333331</v>
      </c>
      <c r="N9" s="125">
        <f t="shared" si="5"/>
        <v>-1</v>
      </c>
      <c r="O9" s="86">
        <f t="shared" si="1"/>
        <v>-173583.33333333331</v>
      </c>
      <c r="Q9" s="89">
        <f>_xlfn.XLOOKUP(A9,'תקציב  '!A:A,'תקציב  '!AL:AL)</f>
        <v>100000</v>
      </c>
      <c r="R9" s="125">
        <f t="shared" si="6"/>
        <v>-0.42234720000000003</v>
      </c>
      <c r="S9" s="125">
        <f t="shared" si="7"/>
        <v>0.57765279999999997</v>
      </c>
      <c r="T9" s="89">
        <f t="shared" si="8"/>
        <v>-42234.720000000001</v>
      </c>
      <c r="V9" s="86"/>
      <c r="W9" s="7">
        <f t="shared" si="9"/>
        <v>0</v>
      </c>
      <c r="X9" s="101" t="str">
        <f t="shared" si="2"/>
        <v>-</v>
      </c>
    </row>
    <row r="10" spans="1:24" x14ac:dyDescent="0.2">
      <c r="A10" s="135">
        <v>10</v>
      </c>
      <c r="B10" s="132" t="s">
        <v>120</v>
      </c>
      <c r="C10" s="132" t="s">
        <v>6</v>
      </c>
      <c r="D10" s="132" t="s">
        <v>6</v>
      </c>
      <c r="E10" s="132" t="s">
        <v>40</v>
      </c>
      <c r="F10" s="86">
        <f>VLOOKUP(B10,'2024'!$A:$O,11,0)</f>
        <v>11253.220000000001</v>
      </c>
      <c r="G10" s="86">
        <f>VLOOKUP($B10,'2025'!$A:$O,11,0)</f>
        <v>9579</v>
      </c>
      <c r="H10" s="86"/>
      <c r="I10" s="125">
        <f t="shared" si="3"/>
        <v>0</v>
      </c>
      <c r="J10" s="125">
        <f t="shared" si="4"/>
        <v>-1</v>
      </c>
      <c r="K10" s="86">
        <f t="shared" si="0"/>
        <v>-9579</v>
      </c>
      <c r="M10" s="86">
        <f>VLOOKUP(C10,'תקציב  '!$B:$S,13,0)*1</f>
        <v>15833.333333333332</v>
      </c>
      <c r="N10" s="125">
        <f t="shared" si="5"/>
        <v>-1</v>
      </c>
      <c r="O10" s="86">
        <f t="shared" si="1"/>
        <v>-15833.333333333332</v>
      </c>
      <c r="Q10" s="89">
        <f>_xlfn.XLOOKUP(A10,'תקציב  '!A:A,'תקציב  '!AL:AL)</f>
        <v>15000</v>
      </c>
      <c r="R10" s="125">
        <f t="shared" si="6"/>
        <v>-0.36140000000000005</v>
      </c>
      <c r="S10" s="125">
        <f t="shared" si="7"/>
        <v>0.63859999999999995</v>
      </c>
      <c r="T10" s="89">
        <f t="shared" si="8"/>
        <v>-5421</v>
      </c>
      <c r="V10" s="86"/>
      <c r="W10" s="7">
        <f t="shared" si="9"/>
        <v>0</v>
      </c>
      <c r="X10" s="101" t="str">
        <f t="shared" si="2"/>
        <v>-</v>
      </c>
    </row>
    <row r="11" spans="1:24" x14ac:dyDescent="0.2">
      <c r="A11" s="134">
        <v>11</v>
      </c>
      <c r="B11" s="142" t="s">
        <v>117</v>
      </c>
      <c r="C11" s="142" t="s">
        <v>66</v>
      </c>
      <c r="D11" s="142" t="s">
        <v>66</v>
      </c>
      <c r="E11" s="142" t="s">
        <v>40</v>
      </c>
      <c r="F11" s="86">
        <f>VLOOKUP(B11,'2024'!$A:$O,11,0)</f>
        <v>-1766.3599999999997</v>
      </c>
      <c r="G11" s="86">
        <f>VLOOKUP($B11,'2025'!$A:$O,11,0)</f>
        <v>3274.69</v>
      </c>
      <c r="H11" s="86"/>
      <c r="I11" s="125">
        <f t="shared" si="3"/>
        <v>0</v>
      </c>
      <c r="J11" s="125">
        <f t="shared" si="4"/>
        <v>-1</v>
      </c>
      <c r="K11" s="86">
        <f t="shared" si="0"/>
        <v>-3274.69</v>
      </c>
      <c r="M11" s="86">
        <f>VLOOKUP(C11,'תקציב  '!$B:$S,13,0)*1</f>
        <v>9333.3333333333321</v>
      </c>
      <c r="N11" s="125">
        <f t="shared" si="5"/>
        <v>-1</v>
      </c>
      <c r="O11" s="86">
        <f t="shared" si="1"/>
        <v>-9333.3333333333321</v>
      </c>
      <c r="Q11" s="89">
        <f>_xlfn.XLOOKUP(A11,'תקציב  '!A:A,'תקציב  '!AL:AL)</f>
        <v>10000</v>
      </c>
      <c r="R11" s="125">
        <f t="shared" si="6"/>
        <v>-0.67253099999999999</v>
      </c>
      <c r="S11" s="125">
        <f t="shared" si="7"/>
        <v>0.32746900000000001</v>
      </c>
      <c r="T11" s="89">
        <f t="shared" si="8"/>
        <v>-6725.3099999999995</v>
      </c>
      <c r="V11" s="86"/>
      <c r="W11" s="7">
        <f t="shared" si="9"/>
        <v>0</v>
      </c>
      <c r="X11" s="101" t="str">
        <f t="shared" si="2"/>
        <v>-</v>
      </c>
    </row>
    <row r="12" spans="1:24" x14ac:dyDescent="0.2">
      <c r="A12" s="134">
        <v>14</v>
      </c>
      <c r="B12" s="142" t="s">
        <v>116</v>
      </c>
      <c r="C12" s="142" t="s">
        <v>8</v>
      </c>
      <c r="D12" s="142" t="s">
        <v>8</v>
      </c>
      <c r="E12" s="142" t="s">
        <v>40</v>
      </c>
      <c r="F12" s="86">
        <f>VLOOKUP(B12,'2024'!$A:$O,11,0)</f>
        <v>0</v>
      </c>
      <c r="G12" s="86">
        <f>VLOOKUP($B12,'2025'!$A:$O,11,0)</f>
        <v>669.74</v>
      </c>
      <c r="H12" s="86"/>
      <c r="I12" s="125">
        <f t="shared" si="3"/>
        <v>0</v>
      </c>
      <c r="J12" s="125">
        <f t="shared" si="4"/>
        <v>-1</v>
      </c>
      <c r="K12" s="86">
        <f t="shared" si="0"/>
        <v>-669.74</v>
      </c>
      <c r="M12" s="86">
        <f>VLOOKUP(C12,'תקציב  '!$B:$S,13,0)*1</f>
        <v>0</v>
      </c>
      <c r="N12" s="125" t="str">
        <f t="shared" si="5"/>
        <v/>
      </c>
      <c r="O12" s="86">
        <f t="shared" si="1"/>
        <v>0</v>
      </c>
      <c r="Q12" s="89">
        <f>_xlfn.XLOOKUP(A12,'תקציב  '!A:A,'תקציב  '!AL:AL)</f>
        <v>5000</v>
      </c>
      <c r="R12" s="125">
        <f t="shared" si="6"/>
        <v>-0.86605200000000004</v>
      </c>
      <c r="S12" s="125">
        <f t="shared" si="7"/>
        <v>0.13394800000000001</v>
      </c>
      <c r="T12" s="89">
        <f t="shared" si="8"/>
        <v>-4330.26</v>
      </c>
      <c r="V12" s="86"/>
      <c r="W12" s="7">
        <f t="shared" si="9"/>
        <v>0</v>
      </c>
      <c r="X12" s="101" t="str">
        <f t="shared" si="2"/>
        <v>-</v>
      </c>
    </row>
    <row r="13" spans="1:24" x14ac:dyDescent="0.2">
      <c r="A13" s="134">
        <v>15</v>
      </c>
      <c r="B13" s="142" t="s">
        <v>119</v>
      </c>
      <c r="C13" s="142" t="s">
        <v>151</v>
      </c>
      <c r="D13" s="142" t="s">
        <v>151</v>
      </c>
      <c r="E13" s="142" t="s">
        <v>40</v>
      </c>
      <c r="F13" s="86">
        <f>VLOOKUP(B13,'2024'!$A:$O,11,0)</f>
        <v>0</v>
      </c>
      <c r="G13" s="86">
        <f>VLOOKUP($B13,'2025'!$A:$O,11,0)</f>
        <v>514.20000000000005</v>
      </c>
      <c r="H13" s="86"/>
      <c r="I13" s="125">
        <f t="shared" si="3"/>
        <v>0</v>
      </c>
      <c r="J13" s="125">
        <f t="shared" si="4"/>
        <v>-1</v>
      </c>
      <c r="K13" s="86">
        <f t="shared" si="0"/>
        <v>-514.20000000000005</v>
      </c>
      <c r="M13" s="86">
        <f>VLOOKUP(C13,'תקציב  '!$B:$S,13,0)*1</f>
        <v>0</v>
      </c>
      <c r="N13" s="125" t="str">
        <f t="shared" si="5"/>
        <v/>
      </c>
      <c r="O13" s="86">
        <f t="shared" si="1"/>
        <v>0</v>
      </c>
      <c r="Q13" s="89">
        <f>_xlfn.XLOOKUP(A13,'תקציב  '!A:A,'תקציב  '!AL:AL)</f>
        <v>5000</v>
      </c>
      <c r="R13" s="125">
        <f t="shared" si="6"/>
        <v>-0.89715999999999996</v>
      </c>
      <c r="S13" s="125">
        <f t="shared" si="7"/>
        <v>0.10284000000000001</v>
      </c>
      <c r="T13" s="89">
        <f t="shared" si="8"/>
        <v>-4485.8</v>
      </c>
      <c r="V13" s="86"/>
      <c r="W13" s="7">
        <f t="shared" si="9"/>
        <v>0</v>
      </c>
      <c r="X13" s="101" t="str">
        <f t="shared" si="2"/>
        <v>-</v>
      </c>
    </row>
    <row r="14" spans="1:24" x14ac:dyDescent="0.2">
      <c r="A14" s="134">
        <v>13</v>
      </c>
      <c r="B14" s="142" t="s">
        <v>114</v>
      </c>
      <c r="C14" s="142" t="s">
        <v>45</v>
      </c>
      <c r="D14" s="142" t="s">
        <v>45</v>
      </c>
      <c r="E14" s="142" t="s">
        <v>40</v>
      </c>
      <c r="F14" s="86">
        <f>VLOOKUP(B14,'2024'!$A:$O,11,0)</f>
        <v>507.08</v>
      </c>
      <c r="G14" s="86">
        <f>VLOOKUP($B14,'2025'!$A:$O,11,0)</f>
        <v>0</v>
      </c>
      <c r="H14" s="86"/>
      <c r="I14" s="125">
        <f t="shared" si="3"/>
        <v>0</v>
      </c>
      <c r="J14" s="125" t="str">
        <f t="shared" si="4"/>
        <v/>
      </c>
      <c r="K14" s="86">
        <f t="shared" si="0"/>
        <v>0</v>
      </c>
      <c r="M14" s="86">
        <f>VLOOKUP(C14,'תקציב  '!$B:$S,13,0)*1</f>
        <v>50000</v>
      </c>
      <c r="N14" s="125">
        <f t="shared" si="5"/>
        <v>-1</v>
      </c>
      <c r="O14" s="86">
        <f t="shared" si="1"/>
        <v>-50000</v>
      </c>
      <c r="Q14" s="89">
        <f>_xlfn.XLOOKUP(A14,'תקציב  '!A:A,'תקציב  '!AL:AL)</f>
        <v>5000</v>
      </c>
      <c r="R14" s="125">
        <f t="shared" si="6"/>
        <v>-1</v>
      </c>
      <c r="S14" s="125">
        <f t="shared" si="7"/>
        <v>0</v>
      </c>
      <c r="T14" s="89">
        <f t="shared" si="8"/>
        <v>-5000</v>
      </c>
      <c r="V14" s="86"/>
      <c r="W14" s="7">
        <f t="shared" si="9"/>
        <v>0</v>
      </c>
      <c r="X14" s="101" t="str">
        <f t="shared" si="2"/>
        <v>-</v>
      </c>
    </row>
    <row r="15" spans="1:24" x14ac:dyDescent="0.2">
      <c r="A15" s="134">
        <v>9</v>
      </c>
      <c r="B15" s="142" t="s">
        <v>118</v>
      </c>
      <c r="C15" s="142" t="s">
        <v>73</v>
      </c>
      <c r="D15" s="142" t="s">
        <v>73</v>
      </c>
      <c r="E15" s="142" t="s">
        <v>40</v>
      </c>
      <c r="F15" s="86">
        <f>VLOOKUP(B15,'2024'!$A:$O,11,0)</f>
        <v>2059.3200000000002</v>
      </c>
      <c r="G15" s="86">
        <f>VLOOKUP($B15,'2025'!$A:$O,11,0)</f>
        <v>4038.81</v>
      </c>
      <c r="H15" s="86"/>
      <c r="I15" s="125">
        <f t="shared" si="3"/>
        <v>0</v>
      </c>
      <c r="J15" s="125">
        <f t="shared" si="4"/>
        <v>-1</v>
      </c>
      <c r="K15" s="86">
        <f t="shared" si="0"/>
        <v>-4038.81</v>
      </c>
      <c r="M15" s="86">
        <f>VLOOKUP(C15,'תקציב  '!$B:$S,13,0)*1</f>
        <v>16666.666666666664</v>
      </c>
      <c r="N15" s="125">
        <f t="shared" si="5"/>
        <v>-1</v>
      </c>
      <c r="O15" s="86">
        <f t="shared" si="1"/>
        <v>-16666.666666666664</v>
      </c>
      <c r="Q15" s="89">
        <f>_xlfn.XLOOKUP(A15,'תקציב  '!A:A,'תקציב  '!AL:AL)</f>
        <v>25000</v>
      </c>
      <c r="R15" s="125">
        <f t="shared" si="6"/>
        <v>-0.83844760000000007</v>
      </c>
      <c r="S15" s="125">
        <f t="shared" si="7"/>
        <v>0.16155239999999998</v>
      </c>
      <c r="T15" s="89">
        <f t="shared" si="8"/>
        <v>-20961.189999999999</v>
      </c>
      <c r="V15" s="86"/>
      <c r="W15" s="7">
        <f t="shared" si="9"/>
        <v>0</v>
      </c>
      <c r="X15" s="101" t="str">
        <f t="shared" si="2"/>
        <v>-</v>
      </c>
    </row>
    <row r="16" spans="1:24" ht="15" x14ac:dyDescent="0.25">
      <c r="A16" s="136"/>
      <c r="B16" s="150"/>
      <c r="C16" s="150" t="s">
        <v>221</v>
      </c>
      <c r="D16" s="150" t="s">
        <v>221</v>
      </c>
      <c r="E16" s="150"/>
      <c r="F16" s="152">
        <f>SUM(F3:F15)</f>
        <v>1023287.6549999999</v>
      </c>
      <c r="G16" s="152">
        <f>SUM(G3:G15)</f>
        <v>994966.58000000007</v>
      </c>
      <c r="H16" s="152">
        <f>SUM(H3:H15)</f>
        <v>20995.200000000001</v>
      </c>
      <c r="I16" s="153">
        <f t="shared" si="3"/>
        <v>1</v>
      </c>
      <c r="J16" s="153">
        <f t="shared" si="4"/>
        <v>-0.97889858772944915</v>
      </c>
      <c r="K16" s="152">
        <f>SUM(K3:K15)</f>
        <v>-973971.38</v>
      </c>
      <c r="M16" s="152">
        <f>SUM(M3:M15)</f>
        <v>1744416.6666666663</v>
      </c>
      <c r="N16" s="153">
        <f t="shared" si="5"/>
        <v>-0.98796434338126404</v>
      </c>
      <c r="O16" s="152">
        <f>SUM(O3:O15)</f>
        <v>-1723421.4666666663</v>
      </c>
      <c r="Q16" s="152">
        <f>SUM(Q3:Q15)</f>
        <v>1645000</v>
      </c>
      <c r="R16" s="153">
        <f t="shared" si="6"/>
        <v>-0.39515709422492395</v>
      </c>
      <c r="S16" s="153">
        <f t="shared" si="7"/>
        <v>0.60484290577507605</v>
      </c>
      <c r="T16" s="152">
        <f t="shared" si="8"/>
        <v>-650033.41999999993</v>
      </c>
      <c r="U16" s="143"/>
      <c r="V16" s="152"/>
      <c r="W16" s="144">
        <f t="shared" si="9"/>
        <v>20995.200000000001</v>
      </c>
      <c r="X16" s="145" t="str">
        <f t="shared" si="2"/>
        <v>-</v>
      </c>
    </row>
    <row r="17" spans="1:24" x14ac:dyDescent="0.2">
      <c r="A17" s="134">
        <v>2</v>
      </c>
      <c r="B17" s="142" t="s">
        <v>111</v>
      </c>
      <c r="C17" s="142" t="s">
        <v>7</v>
      </c>
      <c r="D17" s="142" t="s">
        <v>7</v>
      </c>
      <c r="E17" s="142" t="s">
        <v>40</v>
      </c>
      <c r="F17" s="86">
        <f>VLOOKUP(B17,'2024'!$A:$O,11,0)</f>
        <v>71675.570000000182</v>
      </c>
      <c r="G17" s="86">
        <f>VLOOKUP($B17,'2025'!$A:$O,11,0)</f>
        <v>136200.53999999957</v>
      </c>
      <c r="H17" s="86"/>
      <c r="I17" s="125">
        <f t="shared" si="3"/>
        <v>0</v>
      </c>
      <c r="J17" s="125">
        <f t="shared" si="4"/>
        <v>-1</v>
      </c>
      <c r="K17" s="86">
        <f>H17-G17</f>
        <v>-136200.53999999957</v>
      </c>
      <c r="M17" s="86">
        <f>VLOOKUP(C17,'תקציב  '!$B:$S,13,0)*1</f>
        <v>1300521.1864406781</v>
      </c>
      <c r="N17" s="125">
        <f t="shared" si="5"/>
        <v>-1</v>
      </c>
      <c r="O17" s="86">
        <f>H17-M17</f>
        <v>-1300521.1864406781</v>
      </c>
      <c r="Q17" s="89">
        <f>_xlfn.XLOOKUP(A17,'תקציב  '!A:A,'תקציב  '!AL:AL)</f>
        <v>1159556.779661017</v>
      </c>
      <c r="R17" s="125">
        <f t="shared" si="6"/>
        <v>-0.88254086182841673</v>
      </c>
      <c r="S17" s="125">
        <f t="shared" si="7"/>
        <v>0.11745913817158331</v>
      </c>
      <c r="T17" s="89">
        <f t="shared" si="8"/>
        <v>-1023356.2396610174</v>
      </c>
      <c r="V17" s="86"/>
      <c r="W17" s="7">
        <f t="shared" si="9"/>
        <v>0</v>
      </c>
      <c r="X17" s="101" t="str">
        <f t="shared" si="2"/>
        <v>-</v>
      </c>
    </row>
    <row r="18" spans="1:24" x14ac:dyDescent="0.2">
      <c r="A18" s="134">
        <v>12</v>
      </c>
      <c r="B18" s="142" t="s">
        <v>110</v>
      </c>
      <c r="C18" s="142" t="s">
        <v>65</v>
      </c>
      <c r="D18" s="142" t="s">
        <v>65</v>
      </c>
      <c r="E18" s="142" t="s">
        <v>40</v>
      </c>
      <c r="F18" s="86">
        <f>VLOOKUP(B18,'2024'!$A:$O,11,0)</f>
        <v>3795.3299999999986</v>
      </c>
      <c r="G18" s="86">
        <f>VLOOKUP($B18,'2025'!$A:$O,11,0)</f>
        <v>1762.2600000000002</v>
      </c>
      <c r="H18" s="86"/>
      <c r="I18" s="125">
        <f t="shared" si="3"/>
        <v>0</v>
      </c>
      <c r="J18" s="125">
        <f t="shared" si="4"/>
        <v>-1</v>
      </c>
      <c r="K18" s="86">
        <f>H18-G18</f>
        <v>-1762.2600000000002</v>
      </c>
      <c r="M18" s="86">
        <f>VLOOKUP(C18,'תקציב  '!$B:$S,13,0)*1</f>
        <v>2536.9283333333324</v>
      </c>
      <c r="N18" s="125">
        <f t="shared" si="5"/>
        <v>-1</v>
      </c>
      <c r="O18" s="86">
        <f>H18-M18</f>
        <v>-2536.9283333333324</v>
      </c>
      <c r="Q18" s="89">
        <f>_xlfn.XLOOKUP(A18,'תקציב  '!A:A,'תקציב  '!AL:AL)</f>
        <v>5000</v>
      </c>
      <c r="R18" s="125">
        <f t="shared" si="6"/>
        <v>-0.64754800000000001</v>
      </c>
      <c r="S18" s="125">
        <f t="shared" si="7"/>
        <v>0.35245200000000004</v>
      </c>
      <c r="T18" s="89">
        <f t="shared" si="8"/>
        <v>-3237.74</v>
      </c>
      <c r="V18" s="86"/>
      <c r="W18" s="7">
        <f t="shared" si="9"/>
        <v>0</v>
      </c>
      <c r="X18" s="101" t="str">
        <f t="shared" si="2"/>
        <v>-</v>
      </c>
    </row>
    <row r="19" spans="1:24" ht="15" x14ac:dyDescent="0.25">
      <c r="A19" s="135"/>
      <c r="B19" s="154"/>
      <c r="C19" s="154" t="s">
        <v>41</v>
      </c>
      <c r="D19" s="154" t="s">
        <v>41</v>
      </c>
      <c r="E19" s="154"/>
      <c r="F19" s="152">
        <f>F16+F17+F18</f>
        <v>1098758.5550000002</v>
      </c>
      <c r="G19" s="152">
        <f>G16+G17+G18</f>
        <v>1132929.3799999997</v>
      </c>
      <c r="H19" s="152">
        <f>H16+H17+H18</f>
        <v>20995.200000000001</v>
      </c>
      <c r="I19" s="153">
        <f t="shared" si="3"/>
        <v>1</v>
      </c>
      <c r="J19" s="153">
        <f t="shared" si="4"/>
        <v>-0.98146821825734631</v>
      </c>
      <c r="K19" s="152">
        <f>K16+K17+K18</f>
        <v>-1111934.1799999995</v>
      </c>
      <c r="M19" s="152">
        <f>M16+M17+M18</f>
        <v>3047474.7814406776</v>
      </c>
      <c r="N19" s="153">
        <f t="shared" si="5"/>
        <v>-0.9931106238752615</v>
      </c>
      <c r="O19" s="152">
        <f>O16+O17+O18</f>
        <v>-3026479.5814406774</v>
      </c>
      <c r="Q19" s="152">
        <f>Q16+Q17+Q18</f>
        <v>2809556.779661017</v>
      </c>
      <c r="R19" s="153">
        <f t="shared" si="6"/>
        <v>-0.59675868158226308</v>
      </c>
      <c r="S19" s="153">
        <f t="shared" si="7"/>
        <v>0.40324131841773692</v>
      </c>
      <c r="T19" s="152">
        <f t="shared" si="8"/>
        <v>-1676627.3996610173</v>
      </c>
      <c r="U19" s="143"/>
      <c r="V19" s="152"/>
      <c r="W19" s="144">
        <f t="shared" si="9"/>
        <v>20995.200000000001</v>
      </c>
      <c r="X19" s="145" t="str">
        <f t="shared" si="2"/>
        <v>-</v>
      </c>
    </row>
    <row r="20" spans="1:24" x14ac:dyDescent="0.2">
      <c r="A20" s="135">
        <v>50</v>
      </c>
      <c r="B20" s="132" t="s">
        <v>92</v>
      </c>
      <c r="C20" s="132" t="s">
        <v>74</v>
      </c>
      <c r="D20" s="132" t="s">
        <v>47</v>
      </c>
      <c r="E20" s="132" t="s">
        <v>38</v>
      </c>
      <c r="F20" s="86">
        <f>VLOOKUP(B20,'2024'!$A:$O,11,0)</f>
        <v>234970.3</v>
      </c>
      <c r="G20" s="86">
        <f>VLOOKUP($B20,'2025'!$A:$O,11,0)</f>
        <v>223589.21</v>
      </c>
      <c r="H20" s="86"/>
      <c r="I20" s="125">
        <f t="shared" si="3"/>
        <v>0</v>
      </c>
      <c r="J20" s="125">
        <f t="shared" si="4"/>
        <v>-1</v>
      </c>
      <c r="K20" s="86">
        <f t="shared" ref="K20:K39" si="10">H20-G20</f>
        <v>-223589.21</v>
      </c>
      <c r="M20" s="86">
        <f>VLOOKUP(C20,'תקציב  '!$B:$S,13,0)*1</f>
        <v>443955.52080000006</v>
      </c>
      <c r="N20" s="125">
        <f t="shared" si="5"/>
        <v>-1</v>
      </c>
      <c r="O20" s="86">
        <f t="shared" ref="O20:O39" si="11">H20-M20</f>
        <v>-443955.52080000006</v>
      </c>
      <c r="Q20" s="89">
        <f>_xlfn.XLOOKUP(A20,'תקציב  '!A:A,'תקציב  '!AL:AL)</f>
        <v>321888.59999999998</v>
      </c>
      <c r="R20" s="125">
        <f t="shared" si="6"/>
        <v>-0.30538325992284288</v>
      </c>
      <c r="S20" s="125">
        <f t="shared" si="7"/>
        <v>0.69461674007715712</v>
      </c>
      <c r="T20" s="89">
        <f t="shared" si="8"/>
        <v>-98299.389999999985</v>
      </c>
      <c r="V20" s="86"/>
      <c r="W20" s="7">
        <f t="shared" si="9"/>
        <v>0</v>
      </c>
      <c r="X20" s="101" t="str">
        <f t="shared" si="2"/>
        <v>-</v>
      </c>
    </row>
    <row r="21" spans="1:24" x14ac:dyDescent="0.2">
      <c r="A21" s="135">
        <v>20</v>
      </c>
      <c r="B21" s="132" t="s">
        <v>93</v>
      </c>
      <c r="C21" s="132" t="s">
        <v>75</v>
      </c>
      <c r="D21" s="132" t="s">
        <v>13</v>
      </c>
      <c r="E21" s="132" t="s">
        <v>39</v>
      </c>
      <c r="F21" s="86">
        <f>VLOOKUP(B21,'2024'!$A:$O,11,0)</f>
        <v>0</v>
      </c>
      <c r="G21" s="86">
        <f>VLOOKUP($B21,'2025'!$A:$O,11,0)</f>
        <v>140125.45000000001</v>
      </c>
      <c r="H21" s="86"/>
      <c r="I21" s="125">
        <f t="shared" si="3"/>
        <v>0</v>
      </c>
      <c r="J21" s="125">
        <f t="shared" si="4"/>
        <v>-1</v>
      </c>
      <c r="K21" s="86">
        <f t="shared" si="10"/>
        <v>-140125.45000000001</v>
      </c>
      <c r="M21" s="86">
        <f>VLOOKUP(C21,'תקציב  '!$B:$S,13,0)*1</f>
        <v>156800</v>
      </c>
      <c r="N21" s="125">
        <f t="shared" si="5"/>
        <v>-1</v>
      </c>
      <c r="O21" s="86">
        <f t="shared" si="11"/>
        <v>-156800</v>
      </c>
      <c r="Q21" s="89">
        <f>_xlfn.XLOOKUP(A21,'תקציב  '!A:A,'תקציב  '!AL:AL)</f>
        <v>300000</v>
      </c>
      <c r="R21" s="125">
        <f t="shared" si="6"/>
        <v>-0.53291516666666661</v>
      </c>
      <c r="S21" s="125">
        <f t="shared" si="7"/>
        <v>0.46708483333333339</v>
      </c>
      <c r="T21" s="89">
        <f t="shared" si="8"/>
        <v>-159874.54999999999</v>
      </c>
      <c r="V21" s="86"/>
      <c r="W21" s="7">
        <f t="shared" si="9"/>
        <v>0</v>
      </c>
      <c r="X21" s="101" t="str">
        <f t="shared" si="2"/>
        <v>-</v>
      </c>
    </row>
    <row r="22" spans="1:24" x14ac:dyDescent="0.2">
      <c r="A22" s="135">
        <v>21</v>
      </c>
      <c r="B22" s="132" t="s">
        <v>94</v>
      </c>
      <c r="C22" s="132" t="s">
        <v>80</v>
      </c>
      <c r="D22" s="132" t="s">
        <v>18</v>
      </c>
      <c r="E22" s="132" t="s">
        <v>19</v>
      </c>
      <c r="F22" s="86">
        <f>VLOOKUP(B22,'2024'!$A:$O,11,0)</f>
        <v>92018.45</v>
      </c>
      <c r="G22" s="86">
        <f>VLOOKUP($B22,'2025'!$A:$O,11,0)</f>
        <v>596.73</v>
      </c>
      <c r="H22" s="86"/>
      <c r="I22" s="125">
        <f t="shared" si="3"/>
        <v>0</v>
      </c>
      <c r="J22" s="125">
        <f t="shared" si="4"/>
        <v>-1</v>
      </c>
      <c r="K22" s="86">
        <f t="shared" si="10"/>
        <v>-596.73</v>
      </c>
      <c r="M22" s="86">
        <f>VLOOKUP(C22,'תקציב  '!$B:$S,13,0)*1</f>
        <v>0</v>
      </c>
      <c r="N22" s="125" t="str">
        <f t="shared" si="5"/>
        <v/>
      </c>
      <c r="O22" s="86">
        <f t="shared" si="11"/>
        <v>0</v>
      </c>
      <c r="Q22" s="89">
        <f>_xlfn.XLOOKUP(A22,'תקציב  '!A:A,'תקציב  '!AL:AL)</f>
        <v>0</v>
      </c>
      <c r="R22" s="125" t="str">
        <f t="shared" si="6"/>
        <v>-</v>
      </c>
      <c r="S22" s="125" t="str">
        <f t="shared" si="7"/>
        <v>-</v>
      </c>
      <c r="T22" s="89">
        <f t="shared" si="8"/>
        <v>596.73</v>
      </c>
      <c r="V22" s="86"/>
      <c r="W22" s="7">
        <f t="shared" si="9"/>
        <v>0</v>
      </c>
      <c r="X22" s="101" t="str">
        <f t="shared" si="2"/>
        <v>-</v>
      </c>
    </row>
    <row r="23" spans="1:24" x14ac:dyDescent="0.2">
      <c r="A23" s="135">
        <v>22</v>
      </c>
      <c r="B23" s="132" t="s">
        <v>95</v>
      </c>
      <c r="C23" s="132" t="s">
        <v>82</v>
      </c>
      <c r="D23" s="132" t="s">
        <v>14</v>
      </c>
      <c r="E23" s="132" t="s">
        <v>15</v>
      </c>
      <c r="F23" s="86">
        <f>VLOOKUP(B23,'2024'!$A:$O,11,0)</f>
        <v>86858.25</v>
      </c>
      <c r="G23" s="86">
        <f>VLOOKUP($B23,'2025'!$A:$O,11,0)</f>
        <v>0</v>
      </c>
      <c r="H23" s="86"/>
      <c r="I23" s="125">
        <f t="shared" si="3"/>
        <v>0</v>
      </c>
      <c r="J23" s="125" t="str">
        <f t="shared" si="4"/>
        <v/>
      </c>
      <c r="K23" s="86">
        <f t="shared" si="10"/>
        <v>0</v>
      </c>
      <c r="M23" s="86">
        <f>VLOOKUP(C23,'תקציב  '!$B:$S,13,0)*1</f>
        <v>0</v>
      </c>
      <c r="N23" s="125" t="str">
        <f t="shared" si="5"/>
        <v/>
      </c>
      <c r="O23" s="86">
        <f t="shared" si="11"/>
        <v>0</v>
      </c>
      <c r="Q23" s="89">
        <f>_xlfn.XLOOKUP(A23,'תקציב  '!A:A,'תקציב  '!AL:AL)</f>
        <v>0</v>
      </c>
      <c r="R23" s="125" t="str">
        <f t="shared" si="6"/>
        <v>-</v>
      </c>
      <c r="S23" s="125" t="str">
        <f t="shared" si="7"/>
        <v>-</v>
      </c>
      <c r="T23" s="89">
        <f t="shared" si="8"/>
        <v>0</v>
      </c>
      <c r="V23" s="86"/>
      <c r="W23" s="7">
        <f t="shared" si="9"/>
        <v>0</v>
      </c>
      <c r="X23" s="101" t="str">
        <f t="shared" si="2"/>
        <v>-</v>
      </c>
    </row>
    <row r="24" spans="1:24" x14ac:dyDescent="0.2">
      <c r="A24" s="135">
        <v>23</v>
      </c>
      <c r="B24" s="132" t="s">
        <v>96</v>
      </c>
      <c r="C24" s="132" t="s">
        <v>78</v>
      </c>
      <c r="D24" s="132" t="s">
        <v>24</v>
      </c>
      <c r="E24" s="132" t="s">
        <v>25</v>
      </c>
      <c r="F24" s="86">
        <f>VLOOKUP(B24,'2024'!$A:$O,11,0)</f>
        <v>0</v>
      </c>
      <c r="G24" s="86">
        <f>VLOOKUP($B24,'2025'!$A:$O,11,0)</f>
        <v>15474.02</v>
      </c>
      <c r="H24" s="86"/>
      <c r="I24" s="125">
        <f t="shared" si="3"/>
        <v>0</v>
      </c>
      <c r="J24" s="125">
        <f t="shared" si="4"/>
        <v>-1</v>
      </c>
      <c r="K24" s="86">
        <f t="shared" si="10"/>
        <v>-15474.02</v>
      </c>
      <c r="M24" s="86">
        <f>VLOOKUP(C24,'תקציב  '!$B:$S,13,0)*1</f>
        <v>9225</v>
      </c>
      <c r="N24" s="125">
        <f t="shared" si="5"/>
        <v>-1</v>
      </c>
      <c r="O24" s="86">
        <f t="shared" si="11"/>
        <v>-9225</v>
      </c>
      <c r="Q24" s="89">
        <f>_xlfn.XLOOKUP(A24,'תקציב  '!A:A,'תקציב  '!AL:AL)</f>
        <v>0</v>
      </c>
      <c r="R24" s="125" t="str">
        <f t="shared" si="6"/>
        <v>-</v>
      </c>
      <c r="S24" s="125" t="str">
        <f t="shared" si="7"/>
        <v>-</v>
      </c>
      <c r="T24" s="89">
        <f t="shared" si="8"/>
        <v>15474.02</v>
      </c>
      <c r="V24" s="86"/>
      <c r="W24" s="7">
        <f t="shared" si="9"/>
        <v>0</v>
      </c>
      <c r="X24" s="101" t="str">
        <f t="shared" si="2"/>
        <v>-</v>
      </c>
    </row>
    <row r="25" spans="1:24" x14ac:dyDescent="0.2">
      <c r="A25" s="135">
        <v>24</v>
      </c>
      <c r="B25" s="132" t="s">
        <v>97</v>
      </c>
      <c r="C25" s="132" t="s">
        <v>79</v>
      </c>
      <c r="D25" s="132" t="s">
        <v>27</v>
      </c>
      <c r="E25" s="132" t="s">
        <v>46</v>
      </c>
      <c r="F25" s="86">
        <f>VLOOKUP(B25,'2024'!$A:$O,11,0)</f>
        <v>0</v>
      </c>
      <c r="G25" s="86">
        <f>VLOOKUP($B25,'2025'!$A:$O,11,0)</f>
        <v>0</v>
      </c>
      <c r="H25" s="86"/>
      <c r="I25" s="125">
        <f t="shared" si="3"/>
        <v>0</v>
      </c>
      <c r="J25" s="125" t="str">
        <f t="shared" si="4"/>
        <v/>
      </c>
      <c r="K25" s="86">
        <f t="shared" si="10"/>
        <v>0</v>
      </c>
      <c r="M25" s="86">
        <f>VLOOKUP(C25,'תקציב  '!$B:$S,13,0)*1</f>
        <v>5000</v>
      </c>
      <c r="N25" s="125">
        <f t="shared" si="5"/>
        <v>-1</v>
      </c>
      <c r="O25" s="86">
        <f t="shared" si="11"/>
        <v>-5000</v>
      </c>
      <c r="Q25" s="89">
        <f>_xlfn.XLOOKUP(A25,'תקציב  '!A:A,'תקציב  '!AL:AL)</f>
        <v>0</v>
      </c>
      <c r="R25" s="125" t="str">
        <f t="shared" si="6"/>
        <v>-</v>
      </c>
      <c r="S25" s="125" t="str">
        <f t="shared" si="7"/>
        <v>-</v>
      </c>
      <c r="T25" s="89">
        <f t="shared" si="8"/>
        <v>0</v>
      </c>
      <c r="V25" s="86"/>
      <c r="W25" s="7">
        <f t="shared" si="9"/>
        <v>0</v>
      </c>
      <c r="X25" s="101" t="str">
        <f t="shared" si="2"/>
        <v>-</v>
      </c>
    </row>
    <row r="26" spans="1:24" ht="13.5" customHeight="1" x14ac:dyDescent="0.2">
      <c r="A26" s="135">
        <v>25</v>
      </c>
      <c r="B26" s="132" t="s">
        <v>98</v>
      </c>
      <c r="C26" s="132" t="s">
        <v>87</v>
      </c>
      <c r="D26" s="132" t="s">
        <v>20</v>
      </c>
      <c r="E26" s="132" t="s">
        <v>21</v>
      </c>
      <c r="F26" s="86">
        <f>VLOOKUP(B26,'2024'!$A:$O,11,0)</f>
        <v>0</v>
      </c>
      <c r="G26" s="86">
        <f>VLOOKUP($B26,'2025'!$A:$O,11,0)</f>
        <v>0</v>
      </c>
      <c r="H26" s="86"/>
      <c r="I26" s="125">
        <f t="shared" si="3"/>
        <v>0</v>
      </c>
      <c r="J26" s="125" t="str">
        <f t="shared" si="4"/>
        <v/>
      </c>
      <c r="K26" s="86">
        <f t="shared" si="10"/>
        <v>0</v>
      </c>
      <c r="M26" s="86">
        <f>VLOOKUP(C26,'תקציב  '!$B:$S,13,0)*1</f>
        <v>0</v>
      </c>
      <c r="N26" s="125" t="str">
        <f t="shared" si="5"/>
        <v/>
      </c>
      <c r="O26" s="86">
        <f t="shared" si="11"/>
        <v>0</v>
      </c>
      <c r="Q26" s="89">
        <f>_xlfn.XLOOKUP(A26,'תקציב  '!A:A,'תקציב  '!AL:AL)</f>
        <v>0</v>
      </c>
      <c r="R26" s="125" t="str">
        <f t="shared" si="6"/>
        <v>-</v>
      </c>
      <c r="S26" s="125" t="str">
        <f t="shared" si="7"/>
        <v>-</v>
      </c>
      <c r="T26" s="89">
        <f t="shared" si="8"/>
        <v>0</v>
      </c>
      <c r="V26" s="86"/>
      <c r="W26" s="7">
        <f t="shared" si="9"/>
        <v>0</v>
      </c>
      <c r="X26" s="101" t="str">
        <f t="shared" si="2"/>
        <v>-</v>
      </c>
    </row>
    <row r="27" spans="1:24" x14ac:dyDescent="0.2">
      <c r="A27" s="135">
        <v>26</v>
      </c>
      <c r="B27" s="132" t="s">
        <v>99</v>
      </c>
      <c r="C27" s="132" t="s">
        <v>77</v>
      </c>
      <c r="D27" s="132" t="s">
        <v>26</v>
      </c>
      <c r="E27" s="132" t="s">
        <v>28</v>
      </c>
      <c r="F27" s="86">
        <f>VLOOKUP(B27,'2024'!$A:$O,11,0)</f>
        <v>20724.080000000002</v>
      </c>
      <c r="G27" s="86">
        <f>VLOOKUP($B27,'2025'!$A:$O,11,0)</f>
        <v>20604.23</v>
      </c>
      <c r="H27" s="86"/>
      <c r="I27" s="125">
        <f t="shared" si="3"/>
        <v>0</v>
      </c>
      <c r="J27" s="125">
        <f t="shared" si="4"/>
        <v>-1</v>
      </c>
      <c r="K27" s="86">
        <f t="shared" si="10"/>
        <v>-20604.23</v>
      </c>
      <c r="M27" s="86">
        <f>VLOOKUP(C27,'תקציב  '!$B:$S,13,0)*1</f>
        <v>0</v>
      </c>
      <c r="N27" s="125" t="str">
        <f t="shared" si="5"/>
        <v/>
      </c>
      <c r="O27" s="86">
        <f t="shared" si="11"/>
        <v>0</v>
      </c>
      <c r="Q27" s="89">
        <f>_xlfn.XLOOKUP(A27,'תקציב  '!A:A,'תקציב  '!AL:AL)</f>
        <v>0</v>
      </c>
      <c r="R27" s="125" t="str">
        <f t="shared" si="6"/>
        <v>-</v>
      </c>
      <c r="S27" s="125" t="str">
        <f t="shared" si="7"/>
        <v>-</v>
      </c>
      <c r="T27" s="89">
        <f t="shared" si="8"/>
        <v>20604.23</v>
      </c>
      <c r="V27" s="86"/>
      <c r="W27" s="7">
        <f t="shared" si="9"/>
        <v>0</v>
      </c>
      <c r="X27" s="101" t="str">
        <f t="shared" si="2"/>
        <v>-</v>
      </c>
    </row>
    <row r="28" spans="1:24" ht="13.5" customHeight="1" x14ac:dyDescent="0.2">
      <c r="A28" s="135">
        <v>27</v>
      </c>
      <c r="B28" s="132" t="s">
        <v>100</v>
      </c>
      <c r="C28" s="132" t="s">
        <v>88</v>
      </c>
      <c r="D28" s="132" t="s">
        <v>22</v>
      </c>
      <c r="E28" s="132" t="s">
        <v>23</v>
      </c>
      <c r="F28" s="86">
        <f>VLOOKUP(B28,'2024'!$A:$O,11,0)</f>
        <v>0</v>
      </c>
      <c r="G28" s="86">
        <f>VLOOKUP($B28,'2025'!$A:$O,11,0)</f>
        <v>0</v>
      </c>
      <c r="H28" s="86"/>
      <c r="I28" s="125">
        <f t="shared" si="3"/>
        <v>0</v>
      </c>
      <c r="J28" s="125" t="str">
        <f t="shared" si="4"/>
        <v/>
      </c>
      <c r="K28" s="86">
        <f t="shared" si="10"/>
        <v>0</v>
      </c>
      <c r="M28" s="86">
        <f>VLOOKUP(C28,'תקציב  '!$B:$S,13,0)*1</f>
        <v>0</v>
      </c>
      <c r="N28" s="125" t="str">
        <f t="shared" si="5"/>
        <v/>
      </c>
      <c r="O28" s="86">
        <f t="shared" si="11"/>
        <v>0</v>
      </c>
      <c r="Q28" s="89">
        <f>_xlfn.XLOOKUP(A28,'תקציב  '!A:A,'תקציב  '!AL:AL)</f>
        <v>100000</v>
      </c>
      <c r="R28" s="125">
        <f t="shared" si="6"/>
        <v>-1</v>
      </c>
      <c r="S28" s="125">
        <f t="shared" si="7"/>
        <v>0</v>
      </c>
      <c r="T28" s="89">
        <f t="shared" si="8"/>
        <v>-100000</v>
      </c>
      <c r="V28" s="86"/>
      <c r="W28" s="7">
        <f t="shared" si="9"/>
        <v>0</v>
      </c>
      <c r="X28" s="101" t="str">
        <f t="shared" si="2"/>
        <v>-</v>
      </c>
    </row>
    <row r="29" spans="1:24" ht="13.5" customHeight="1" x14ac:dyDescent="0.2">
      <c r="A29" s="135">
        <v>28</v>
      </c>
      <c r="B29" s="132" t="s">
        <v>101</v>
      </c>
      <c r="C29" s="132" t="s">
        <v>89</v>
      </c>
      <c r="D29" s="132" t="s">
        <v>16</v>
      </c>
      <c r="E29" s="132" t="s">
        <v>17</v>
      </c>
      <c r="F29" s="86">
        <f>VLOOKUP(B29,'2024'!$A:$O,11,0)</f>
        <v>0</v>
      </c>
      <c r="G29" s="86">
        <f>VLOOKUP($B29,'2025'!$A:$O,11,0)</f>
        <v>36333.040000000001</v>
      </c>
      <c r="H29" s="86"/>
      <c r="I29" s="125">
        <f t="shared" si="3"/>
        <v>0</v>
      </c>
      <c r="J29" s="125">
        <f t="shared" si="4"/>
        <v>-1</v>
      </c>
      <c r="K29" s="86">
        <f t="shared" si="10"/>
        <v>-36333.040000000001</v>
      </c>
      <c r="M29" s="86">
        <f>VLOOKUP(C29,'תקציב  '!$B:$S,13,0)*1</f>
        <v>39765.076000000001</v>
      </c>
      <c r="N29" s="125">
        <f t="shared" si="5"/>
        <v>-1</v>
      </c>
      <c r="O29" s="86">
        <f t="shared" si="11"/>
        <v>-39765.076000000001</v>
      </c>
      <c r="Q29" s="89">
        <f>_xlfn.XLOOKUP(A29,'תקציב  '!A:A,'תקציב  '!AL:AL)</f>
        <v>20000</v>
      </c>
      <c r="R29" s="125">
        <f t="shared" si="6"/>
        <v>0.81665199999999993</v>
      </c>
      <c r="S29" s="125">
        <f t="shared" si="7"/>
        <v>1.8166519999999999</v>
      </c>
      <c r="T29" s="89">
        <f t="shared" si="8"/>
        <v>16333.04</v>
      </c>
      <c r="V29" s="86"/>
      <c r="W29" s="7">
        <f t="shared" si="9"/>
        <v>0</v>
      </c>
      <c r="X29" s="101" t="str">
        <f t="shared" si="2"/>
        <v>-</v>
      </c>
    </row>
    <row r="30" spans="1:24" x14ac:dyDescent="0.2">
      <c r="A30" s="135">
        <v>29</v>
      </c>
      <c r="B30" s="132" t="s">
        <v>102</v>
      </c>
      <c r="C30" s="132" t="s">
        <v>81</v>
      </c>
      <c r="D30" s="132" t="s">
        <v>29</v>
      </c>
      <c r="E30" s="132" t="s">
        <v>30</v>
      </c>
      <c r="F30" s="86">
        <f>VLOOKUP(B30,'2024'!$A:$O,11,0)</f>
        <v>3920.16</v>
      </c>
      <c r="G30" s="86">
        <f>VLOOKUP($B30,'2025'!$A:$O,11,0)</f>
        <v>0</v>
      </c>
      <c r="H30" s="86"/>
      <c r="I30" s="125">
        <f t="shared" si="3"/>
        <v>0</v>
      </c>
      <c r="J30" s="125" t="str">
        <f t="shared" si="4"/>
        <v/>
      </c>
      <c r="K30" s="86">
        <f t="shared" si="10"/>
        <v>0</v>
      </c>
      <c r="M30" s="86">
        <f>VLOOKUP(C30,'תקציב  '!$B:$S,13,0)*1</f>
        <v>35000</v>
      </c>
      <c r="N30" s="125">
        <f t="shared" si="5"/>
        <v>-1</v>
      </c>
      <c r="O30" s="86">
        <f t="shared" si="11"/>
        <v>-35000</v>
      </c>
      <c r="Q30" s="89">
        <f>_xlfn.XLOOKUP(A30,'תקציב  '!A:A,'תקציב  '!AL:AL)</f>
        <v>30000</v>
      </c>
      <c r="R30" s="125">
        <f t="shared" si="6"/>
        <v>-1</v>
      </c>
      <c r="S30" s="125">
        <f t="shared" si="7"/>
        <v>0</v>
      </c>
      <c r="T30" s="89">
        <f t="shared" si="8"/>
        <v>-30000</v>
      </c>
      <c r="V30" s="86"/>
      <c r="W30" s="7">
        <f t="shared" si="9"/>
        <v>0</v>
      </c>
      <c r="X30" s="101" t="str">
        <f t="shared" si="2"/>
        <v>-</v>
      </c>
    </row>
    <row r="31" spans="1:24" x14ac:dyDescent="0.2">
      <c r="A31" s="135">
        <v>30</v>
      </c>
      <c r="B31" s="132" t="s">
        <v>103</v>
      </c>
      <c r="C31" s="132" t="s">
        <v>76</v>
      </c>
      <c r="D31" s="132" t="s">
        <v>34</v>
      </c>
      <c r="E31" s="132" t="s">
        <v>30</v>
      </c>
      <c r="F31" s="86">
        <f>VLOOKUP(B31,'2024'!$A:$O,11,0)</f>
        <v>0</v>
      </c>
      <c r="G31" s="86">
        <f>VLOOKUP($B31,'2025'!$A:$O,11,0)</f>
        <v>22174.82</v>
      </c>
      <c r="H31" s="86"/>
      <c r="I31" s="125">
        <f t="shared" si="3"/>
        <v>0</v>
      </c>
      <c r="J31" s="125">
        <f t="shared" si="4"/>
        <v>-1</v>
      </c>
      <c r="K31" s="86">
        <f t="shared" si="10"/>
        <v>-22174.82</v>
      </c>
      <c r="M31" s="86">
        <f>VLOOKUP(C31,'תקציב  '!$B:$S,13,0)*1</f>
        <v>0</v>
      </c>
      <c r="N31" s="125" t="str">
        <f t="shared" si="5"/>
        <v/>
      </c>
      <c r="O31" s="86">
        <f t="shared" si="11"/>
        <v>0</v>
      </c>
      <c r="Q31" s="89">
        <f>_xlfn.XLOOKUP(A31,'תקציב  '!A:A,'תקציב  '!AL:AL)</f>
        <v>0</v>
      </c>
      <c r="R31" s="125" t="str">
        <f t="shared" si="6"/>
        <v>-</v>
      </c>
      <c r="S31" s="125" t="str">
        <f t="shared" si="7"/>
        <v>-</v>
      </c>
      <c r="T31" s="89">
        <f t="shared" si="8"/>
        <v>22174.82</v>
      </c>
      <c r="V31" s="86"/>
      <c r="W31" s="7">
        <f t="shared" si="9"/>
        <v>0</v>
      </c>
      <c r="X31" s="101" t="str">
        <f t="shared" si="2"/>
        <v>-</v>
      </c>
    </row>
    <row r="32" spans="1:24" ht="13.5" customHeight="1" x14ac:dyDescent="0.2">
      <c r="A32" s="135">
        <v>31</v>
      </c>
      <c r="B32" s="132" t="s">
        <v>85</v>
      </c>
      <c r="C32" s="132" t="s">
        <v>85</v>
      </c>
      <c r="D32" s="132" t="s">
        <v>32</v>
      </c>
      <c r="E32" s="132" t="s">
        <v>33</v>
      </c>
      <c r="F32" s="86">
        <f>VLOOKUP(B32,'2024'!$A:$O,11,0)</f>
        <v>0</v>
      </c>
      <c r="G32" s="86">
        <f>VLOOKUP($B32,'2025'!$A:$O,11,0)</f>
        <v>0</v>
      </c>
      <c r="H32" s="86"/>
      <c r="I32" s="125">
        <f t="shared" si="3"/>
        <v>0</v>
      </c>
      <c r="J32" s="125" t="str">
        <f t="shared" si="4"/>
        <v/>
      </c>
      <c r="K32" s="86">
        <f t="shared" si="10"/>
        <v>0</v>
      </c>
      <c r="M32" s="86">
        <f>VLOOKUP(C32,'תקציב  '!$B:$S,13,0)*1</f>
        <v>0</v>
      </c>
      <c r="N32" s="125" t="str">
        <f t="shared" si="5"/>
        <v/>
      </c>
      <c r="O32" s="86">
        <f t="shared" si="11"/>
        <v>0</v>
      </c>
      <c r="Q32" s="89">
        <f>_xlfn.XLOOKUP(A32,'תקציב  '!A:A,'תקציב  '!AL:AL)</f>
        <v>0</v>
      </c>
      <c r="R32" s="125" t="str">
        <f t="shared" si="6"/>
        <v>-</v>
      </c>
      <c r="S32" s="125" t="str">
        <f t="shared" si="7"/>
        <v>-</v>
      </c>
      <c r="T32" s="89">
        <f t="shared" si="8"/>
        <v>0</v>
      </c>
      <c r="V32" s="86"/>
      <c r="W32" s="7">
        <f t="shared" si="9"/>
        <v>0</v>
      </c>
      <c r="X32" s="101" t="str">
        <f t="shared" si="2"/>
        <v>-</v>
      </c>
    </row>
    <row r="33" spans="1:24" ht="13.5" customHeight="1" x14ac:dyDescent="0.2">
      <c r="A33" s="135"/>
      <c r="B33" s="132"/>
      <c r="C33" s="132"/>
      <c r="D33" s="132" t="s">
        <v>11</v>
      </c>
      <c r="E33" s="132" t="s">
        <v>12</v>
      </c>
      <c r="F33" s="86"/>
      <c r="G33" s="86"/>
      <c r="H33" s="86"/>
      <c r="I33" s="125">
        <f t="shared" si="3"/>
        <v>0</v>
      </c>
      <c r="J33" s="125" t="str">
        <f t="shared" si="4"/>
        <v/>
      </c>
      <c r="K33" s="86">
        <f t="shared" si="10"/>
        <v>0</v>
      </c>
      <c r="M33" s="86"/>
      <c r="N33" s="125" t="str">
        <f t="shared" si="5"/>
        <v/>
      </c>
      <c r="O33" s="86">
        <f t="shared" si="11"/>
        <v>0</v>
      </c>
      <c r="Q33" s="89">
        <f>_xlfn.XLOOKUP(A33,'תקציב  '!A:A,'תקציב  '!AL:AL)</f>
        <v>0</v>
      </c>
      <c r="R33" s="125" t="str">
        <f t="shared" si="6"/>
        <v>-</v>
      </c>
      <c r="S33" s="125" t="str">
        <f t="shared" si="7"/>
        <v>-</v>
      </c>
      <c r="T33" s="89">
        <f t="shared" si="8"/>
        <v>0</v>
      </c>
      <c r="V33" s="86"/>
      <c r="W33" s="7">
        <f t="shared" si="9"/>
        <v>0</v>
      </c>
      <c r="X33" s="101" t="str">
        <f t="shared" si="2"/>
        <v>-</v>
      </c>
    </row>
    <row r="34" spans="1:24" ht="13.5" customHeight="1" x14ac:dyDescent="0.2">
      <c r="A34" s="135">
        <v>32</v>
      </c>
      <c r="B34" s="132" t="s">
        <v>104</v>
      </c>
      <c r="C34" s="132" t="s">
        <v>86</v>
      </c>
      <c r="D34" s="132" t="s">
        <v>31</v>
      </c>
      <c r="E34" s="132" t="s">
        <v>49</v>
      </c>
      <c r="F34" s="86">
        <f>VLOOKUP(B34,'2024'!$A:$O,11,0)</f>
        <v>0</v>
      </c>
      <c r="G34" s="86">
        <f>VLOOKUP($B34,'2025'!$A:$O,11,0)</f>
        <v>0</v>
      </c>
      <c r="H34" s="86"/>
      <c r="I34" s="125">
        <f t="shared" si="3"/>
        <v>0</v>
      </c>
      <c r="J34" s="125" t="str">
        <f t="shared" si="4"/>
        <v/>
      </c>
      <c r="K34" s="86">
        <f t="shared" si="10"/>
        <v>0</v>
      </c>
      <c r="M34" s="86">
        <f>VLOOKUP(C34,'תקציב  '!$B:$S,13,0)*1</f>
        <v>0</v>
      </c>
      <c r="N34" s="125" t="str">
        <f t="shared" si="5"/>
        <v/>
      </c>
      <c r="O34" s="86">
        <f t="shared" si="11"/>
        <v>0</v>
      </c>
      <c r="Q34" s="89">
        <f>_xlfn.XLOOKUP(A34,'תקציב  '!A:A,'תקציב  '!AL:AL)</f>
        <v>0</v>
      </c>
      <c r="R34" s="125" t="str">
        <f t="shared" si="6"/>
        <v>-</v>
      </c>
      <c r="S34" s="125" t="str">
        <f t="shared" si="7"/>
        <v>-</v>
      </c>
      <c r="T34" s="89">
        <f t="shared" si="8"/>
        <v>0</v>
      </c>
      <c r="V34" s="86"/>
      <c r="W34" s="7">
        <f t="shared" si="9"/>
        <v>0</v>
      </c>
      <c r="X34" s="101" t="str">
        <f t="shared" si="2"/>
        <v>-</v>
      </c>
    </row>
    <row r="35" spans="1:24" ht="13.5" customHeight="1" x14ac:dyDescent="0.2">
      <c r="A35" s="135">
        <v>33</v>
      </c>
      <c r="B35" s="132" t="s">
        <v>105</v>
      </c>
      <c r="C35" s="132" t="s">
        <v>83</v>
      </c>
      <c r="D35" s="132" t="s">
        <v>84</v>
      </c>
      <c r="E35" s="132" t="s">
        <v>48</v>
      </c>
      <c r="F35" s="86">
        <f>VLOOKUP(B35,'2024'!$A:$O,11,0)</f>
        <v>0</v>
      </c>
      <c r="G35" s="86">
        <f>VLOOKUP($B35,'2025'!$A:$O,11,0)</f>
        <v>0</v>
      </c>
      <c r="H35" s="86"/>
      <c r="I35" s="125">
        <f t="shared" si="3"/>
        <v>0</v>
      </c>
      <c r="J35" s="125" t="str">
        <f t="shared" si="4"/>
        <v/>
      </c>
      <c r="K35" s="86">
        <f t="shared" si="10"/>
        <v>0</v>
      </c>
      <c r="M35" s="86">
        <f>VLOOKUP(C35,'תקציב  '!$B:$S,13,0)*1</f>
        <v>0</v>
      </c>
      <c r="N35" s="125" t="str">
        <f t="shared" si="5"/>
        <v/>
      </c>
      <c r="O35" s="86">
        <f t="shared" si="11"/>
        <v>0</v>
      </c>
      <c r="Q35" s="89">
        <f>_xlfn.XLOOKUP(A35,'תקציב  '!A:A,'תקציב  '!AL:AL)</f>
        <v>0</v>
      </c>
      <c r="R35" s="125" t="str">
        <f t="shared" si="6"/>
        <v>-</v>
      </c>
      <c r="S35" s="125" t="str">
        <f t="shared" si="7"/>
        <v>-</v>
      </c>
      <c r="T35" s="89">
        <f t="shared" si="8"/>
        <v>0</v>
      </c>
      <c r="V35" s="86"/>
      <c r="W35" s="7">
        <f t="shared" si="9"/>
        <v>0</v>
      </c>
      <c r="X35" s="101" t="str">
        <f t="shared" si="2"/>
        <v>-</v>
      </c>
    </row>
    <row r="36" spans="1:24" x14ac:dyDescent="0.2">
      <c r="A36" s="135"/>
      <c r="B36" s="132" t="s">
        <v>107</v>
      </c>
      <c r="C36" s="132" t="s">
        <v>107</v>
      </c>
      <c r="D36" s="132" t="s">
        <v>37</v>
      </c>
      <c r="E36" s="132" t="s">
        <v>17</v>
      </c>
      <c r="F36" s="86">
        <f>VLOOKUP(B36,'2024'!$A:$O,11,0)</f>
        <v>0</v>
      </c>
      <c r="G36" s="86">
        <f>VLOOKUP($B36,'2025'!$A:$O,11,0)</f>
        <v>0</v>
      </c>
      <c r="H36" s="86"/>
      <c r="I36" s="125">
        <f t="shared" si="3"/>
        <v>0</v>
      </c>
      <c r="J36" s="125" t="str">
        <f t="shared" si="4"/>
        <v/>
      </c>
      <c r="K36" s="86">
        <f t="shared" si="10"/>
        <v>0</v>
      </c>
      <c r="M36" s="86"/>
      <c r="N36" s="125" t="str">
        <f t="shared" si="5"/>
        <v/>
      </c>
      <c r="O36" s="86">
        <f t="shared" si="11"/>
        <v>0</v>
      </c>
      <c r="Q36" s="89">
        <f>_xlfn.XLOOKUP(A36,'תקציב  '!A:A,'תקציב  '!AL:AL)</f>
        <v>0</v>
      </c>
      <c r="R36" s="125" t="str">
        <f t="shared" si="6"/>
        <v>-</v>
      </c>
      <c r="S36" s="125" t="str">
        <f t="shared" si="7"/>
        <v>-</v>
      </c>
      <c r="T36" s="89">
        <f t="shared" si="8"/>
        <v>0</v>
      </c>
      <c r="V36" s="86"/>
      <c r="W36" s="7">
        <f t="shared" si="9"/>
        <v>0</v>
      </c>
      <c r="X36" s="101" t="str">
        <f t="shared" si="2"/>
        <v>-</v>
      </c>
    </row>
    <row r="37" spans="1:24" x14ac:dyDescent="0.2">
      <c r="A37" s="135">
        <v>34</v>
      </c>
      <c r="B37" s="132" t="s">
        <v>108</v>
      </c>
      <c r="C37" s="132" t="s">
        <v>108</v>
      </c>
      <c r="D37" s="132" t="s">
        <v>35</v>
      </c>
      <c r="E37" s="132" t="s">
        <v>36</v>
      </c>
      <c r="F37" s="86">
        <f>VLOOKUP(B37,'2024'!$A:$O,11,0)</f>
        <v>0</v>
      </c>
      <c r="G37" s="86">
        <f>VLOOKUP($B37,'2025'!$A:$O,11,0)</f>
        <v>0</v>
      </c>
      <c r="H37" s="86"/>
      <c r="I37" s="125">
        <f t="shared" si="3"/>
        <v>0</v>
      </c>
      <c r="J37" s="125" t="str">
        <f t="shared" si="4"/>
        <v/>
      </c>
      <c r="K37" s="86">
        <f t="shared" si="10"/>
        <v>0</v>
      </c>
      <c r="M37" s="86"/>
      <c r="N37" s="125" t="str">
        <f t="shared" si="5"/>
        <v/>
      </c>
      <c r="O37" s="86">
        <f t="shared" si="11"/>
        <v>0</v>
      </c>
      <c r="Q37" s="89">
        <f>_xlfn.XLOOKUP(A37,'תקציב  '!A:A,'תקציב  '!AL:AL)</f>
        <v>0</v>
      </c>
      <c r="R37" s="125" t="str">
        <f t="shared" si="6"/>
        <v>-</v>
      </c>
      <c r="S37" s="125" t="str">
        <f t="shared" si="7"/>
        <v>-</v>
      </c>
      <c r="T37" s="89">
        <f t="shared" si="8"/>
        <v>0</v>
      </c>
      <c r="V37" s="86"/>
      <c r="W37" s="7">
        <f t="shared" si="9"/>
        <v>0</v>
      </c>
      <c r="X37" s="101" t="str">
        <f t="shared" si="2"/>
        <v>-</v>
      </c>
    </row>
    <row r="38" spans="1:24" ht="13.5" customHeight="1" x14ac:dyDescent="0.2">
      <c r="A38" s="135">
        <v>35</v>
      </c>
      <c r="B38" s="132" t="s">
        <v>109</v>
      </c>
      <c r="C38" s="132" t="s">
        <v>109</v>
      </c>
      <c r="D38" s="132" t="s">
        <v>70</v>
      </c>
      <c r="E38" s="132" t="s">
        <v>38</v>
      </c>
      <c r="F38" s="86">
        <f>VLOOKUP(B38,'2024'!$A:$O,11,0)</f>
        <v>0</v>
      </c>
      <c r="G38" s="86">
        <f>VLOOKUP($B38,'2025'!$A:$O,11,0)</f>
        <v>0</v>
      </c>
      <c r="H38" s="86"/>
      <c r="I38" s="125">
        <f t="shared" si="3"/>
        <v>0</v>
      </c>
      <c r="J38" s="125" t="str">
        <f t="shared" si="4"/>
        <v/>
      </c>
      <c r="K38" s="86">
        <f t="shared" si="10"/>
        <v>0</v>
      </c>
      <c r="M38" s="86">
        <f>VLOOKUP(C38,'תקציב  '!$B:$S,13,0)*1</f>
        <v>0</v>
      </c>
      <c r="N38" s="125" t="str">
        <f t="shared" si="5"/>
        <v/>
      </c>
      <c r="O38" s="86">
        <f t="shared" si="11"/>
        <v>0</v>
      </c>
      <c r="Q38" s="89">
        <f>_xlfn.XLOOKUP(A38,'תקציב  '!A:A,'תקציב  '!AL:AL)</f>
        <v>0</v>
      </c>
      <c r="R38" s="125" t="str">
        <f t="shared" si="6"/>
        <v>-</v>
      </c>
      <c r="S38" s="125" t="str">
        <f t="shared" si="7"/>
        <v>-</v>
      </c>
      <c r="T38" s="89">
        <f t="shared" si="8"/>
        <v>0</v>
      </c>
      <c r="V38" s="86"/>
      <c r="W38" s="7">
        <f t="shared" si="9"/>
        <v>0</v>
      </c>
      <c r="X38" s="101" t="str">
        <f t="shared" si="2"/>
        <v>-</v>
      </c>
    </row>
    <row r="39" spans="1:24" ht="13.5" customHeight="1" x14ac:dyDescent="0.2">
      <c r="A39" s="188">
        <v>36</v>
      </c>
      <c r="B39" s="189"/>
      <c r="C39" s="189" t="s">
        <v>91</v>
      </c>
      <c r="D39" s="189" t="s">
        <v>91</v>
      </c>
      <c r="E39" s="189"/>
      <c r="F39" s="86"/>
      <c r="G39" s="86"/>
      <c r="H39" s="86"/>
      <c r="I39" s="191">
        <f t="shared" si="3"/>
        <v>0</v>
      </c>
      <c r="J39" s="125" t="str">
        <f t="shared" si="4"/>
        <v/>
      </c>
      <c r="K39" s="86">
        <f t="shared" si="10"/>
        <v>0</v>
      </c>
      <c r="M39" s="86">
        <f>VLOOKUP(C39,'תקציב  '!$B:$S,13,0)*1</f>
        <v>0</v>
      </c>
      <c r="N39" s="191" t="str">
        <f t="shared" si="5"/>
        <v/>
      </c>
      <c r="O39" s="86">
        <f t="shared" si="11"/>
        <v>0</v>
      </c>
      <c r="Q39" s="89">
        <f>_xlfn.XLOOKUP(A39,'תקציב  '!A:A,'תקציב  '!AL:AL)</f>
        <v>100000</v>
      </c>
      <c r="R39" s="125">
        <f t="shared" si="6"/>
        <v>-1</v>
      </c>
      <c r="S39" s="125">
        <f t="shared" si="7"/>
        <v>0</v>
      </c>
      <c r="T39" s="89">
        <f t="shared" si="8"/>
        <v>-100000</v>
      </c>
      <c r="V39" s="86"/>
      <c r="W39" s="7">
        <f t="shared" si="9"/>
        <v>0</v>
      </c>
      <c r="X39" s="101" t="str">
        <f t="shared" si="2"/>
        <v>-</v>
      </c>
    </row>
    <row r="40" spans="1:24" ht="15" x14ac:dyDescent="0.25">
      <c r="A40" s="135"/>
      <c r="B40" s="156"/>
      <c r="C40" s="156" t="s">
        <v>42</v>
      </c>
      <c r="D40" s="156" t="s">
        <v>42</v>
      </c>
      <c r="E40" s="156"/>
      <c r="F40" s="157">
        <f>SUM(F20:F39)</f>
        <v>438491.24</v>
      </c>
      <c r="G40" s="157">
        <f>SUM(G20:G39)</f>
        <v>458897.5</v>
      </c>
      <c r="H40" s="157">
        <f>SUM(H20:H39)</f>
        <v>0</v>
      </c>
      <c r="I40" s="97">
        <f t="shared" si="3"/>
        <v>0</v>
      </c>
      <c r="J40" s="97">
        <f t="shared" si="4"/>
        <v>-1</v>
      </c>
      <c r="K40" s="157">
        <f>SUM(K20:K39)</f>
        <v>-458897.5</v>
      </c>
      <c r="M40" s="157">
        <f>SUM(M20:M39)</f>
        <v>689745.59680000006</v>
      </c>
      <c r="N40" s="97">
        <f t="shared" si="5"/>
        <v>-1</v>
      </c>
      <c r="O40" s="157">
        <f>SUM(O20:O39)</f>
        <v>-689745.59680000006</v>
      </c>
      <c r="Q40" s="157">
        <f>SUM(Q20:Q39)</f>
        <v>871888.6</v>
      </c>
      <c r="R40" s="97">
        <f t="shared" si="6"/>
        <v>-0.47367415974930738</v>
      </c>
      <c r="S40" s="97">
        <f t="shared" si="7"/>
        <v>0.52632584025069262</v>
      </c>
      <c r="T40" s="157">
        <f t="shared" si="8"/>
        <v>-412991.1</v>
      </c>
      <c r="U40" s="143"/>
      <c r="V40" s="157"/>
      <c r="W40" s="7">
        <f t="shared" si="9"/>
        <v>0</v>
      </c>
      <c r="X40" s="145" t="str">
        <f t="shared" si="2"/>
        <v>-</v>
      </c>
    </row>
    <row r="41" spans="1:24" ht="15" x14ac:dyDescent="0.25">
      <c r="A41" s="135"/>
      <c r="B41" s="158"/>
      <c r="C41" s="158" t="s">
        <v>69</v>
      </c>
      <c r="D41" s="158" t="s">
        <v>69</v>
      </c>
      <c r="E41" s="158"/>
      <c r="F41" s="159">
        <f>F40+F19</f>
        <v>1537249.7950000002</v>
      </c>
      <c r="G41" s="159">
        <f>G40+G19</f>
        <v>1591826.8799999997</v>
      </c>
      <c r="H41" s="159">
        <f>H40+H19</f>
        <v>20995.200000000001</v>
      </c>
      <c r="I41" s="50">
        <f t="shared" si="3"/>
        <v>1</v>
      </c>
      <c r="J41" s="50">
        <f t="shared" si="4"/>
        <v>-0.98681062603993719</v>
      </c>
      <c r="K41" s="159">
        <f>K40+K19</f>
        <v>-1570831.6799999995</v>
      </c>
      <c r="M41" s="159">
        <f>M40+M19</f>
        <v>3737220.3782406775</v>
      </c>
      <c r="N41" s="50">
        <f t="shared" si="5"/>
        <v>-0.9943821348823203</v>
      </c>
      <c r="O41" s="159">
        <f>O40+O19</f>
        <v>-3716225.1782406773</v>
      </c>
      <c r="Q41" s="159">
        <f>Q40+Q19</f>
        <v>3681445.3796610171</v>
      </c>
      <c r="R41" s="50">
        <f t="shared" si="6"/>
        <v>-0.56760817672471542</v>
      </c>
      <c r="S41" s="50">
        <f t="shared" si="7"/>
        <v>0.43239182327528464</v>
      </c>
      <c r="T41" s="159">
        <f t="shared" si="8"/>
        <v>-2089618.4996610174</v>
      </c>
      <c r="U41" s="143"/>
      <c r="V41" s="159"/>
      <c r="W41" s="144">
        <f t="shared" si="9"/>
        <v>20995.200000000001</v>
      </c>
      <c r="X41" s="145" t="str">
        <f t="shared" si="2"/>
        <v>-</v>
      </c>
    </row>
    <row r="42" spans="1:24" ht="15" x14ac:dyDescent="0.25">
      <c r="A42" s="96"/>
      <c r="B42" s="178"/>
      <c r="C42" s="178" t="s">
        <v>43</v>
      </c>
      <c r="D42" s="178" t="s">
        <v>43</v>
      </c>
      <c r="E42" s="178"/>
      <c r="F42" s="176">
        <f>F40/F41</f>
        <v>0.28524397363799936</v>
      </c>
      <c r="G42" s="176">
        <f>G40/G41</f>
        <v>0.28828354751742857</v>
      </c>
      <c r="H42" s="176">
        <f>H40/H41</f>
        <v>0</v>
      </c>
      <c r="I42" s="180">
        <f t="shared" si="3"/>
        <v>0</v>
      </c>
      <c r="J42" s="180">
        <f t="shared" si="4"/>
        <v>-1</v>
      </c>
      <c r="K42" s="176"/>
      <c r="M42" s="176">
        <f>M41-'תקציב  '!N41*1</f>
        <v>0</v>
      </c>
      <c r="N42" s="180"/>
      <c r="O42" s="176"/>
      <c r="Q42" s="122"/>
      <c r="R42" s="122"/>
      <c r="S42" s="122"/>
      <c r="T42" s="122"/>
      <c r="V42" s="95" t="str">
        <f>IFERROR(V40/V41,"")</f>
        <v/>
      </c>
      <c r="W42" s="7" t="e">
        <f t="shared" si="9"/>
        <v>#VALUE!</v>
      </c>
    </row>
    <row r="43" spans="1:24" x14ac:dyDescent="0.2">
      <c r="F43">
        <f>F41-'2024'!K38</f>
        <v>0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25EB-0C59-4453-8C84-D6D90475EDD4}">
  <dimension ref="A1:R43"/>
  <sheetViews>
    <sheetView showGridLines="0" rightToLeft="1" workbookViewId="0">
      <pane xSplit="5" ySplit="2" topLeftCell="F3" activePane="bottomRight" state="frozen"/>
      <selection activeCell="J13" sqref="J13"/>
      <selection pane="topRight" activeCell="J13" sqref="J13"/>
      <selection pane="bottomLeft" activeCell="J13" sqref="J13"/>
      <selection pane="bottomRight" activeCell="P1" sqref="P1:R1048576"/>
    </sheetView>
  </sheetViews>
  <sheetFormatPr defaultRowHeight="14.25" x14ac:dyDescent="0.2"/>
  <cols>
    <col min="1" max="1" width="2.875" bestFit="1" customWidth="1"/>
    <col min="2" max="3" width="28" hidden="1" customWidth="1"/>
    <col min="4" max="4" width="28" bestFit="1" customWidth="1"/>
    <col min="5" max="5" width="12.5" style="1" bestFit="1" customWidth="1"/>
    <col min="6" max="8" width="10.875" bestFit="1" customWidth="1"/>
    <col min="9" max="9" width="10.75" style="51" bestFit="1" customWidth="1"/>
    <col min="10" max="10" width="11.875" bestFit="1" customWidth="1"/>
    <col min="12" max="12" width="10.875" bestFit="1" customWidth="1"/>
    <col min="13" max="13" width="9.75" style="51" bestFit="1" customWidth="1"/>
    <col min="14" max="14" width="11.5" bestFit="1" customWidth="1"/>
    <col min="16" max="16" width="10.875" bestFit="1" customWidth="1"/>
    <col min="17" max="17" width="6.75" style="51" bestFit="1" customWidth="1"/>
    <col min="18" max="18" width="13" bestFit="1" customWidth="1"/>
  </cols>
  <sheetData>
    <row r="1" spans="1:18" ht="15.75" x14ac:dyDescent="0.25">
      <c r="B1" s="34"/>
      <c r="C1" s="34" t="s">
        <v>170</v>
      </c>
      <c r="D1" s="34" t="s">
        <v>170</v>
      </c>
      <c r="E1" s="174"/>
      <c r="F1" s="174"/>
      <c r="G1" s="174"/>
      <c r="H1" s="174"/>
      <c r="I1" s="175"/>
      <c r="J1" s="174"/>
      <c r="L1" s="174"/>
      <c r="M1" s="175"/>
      <c r="N1" s="174"/>
      <c r="P1" s="34"/>
      <c r="Q1" s="175"/>
      <c r="R1" s="34"/>
    </row>
    <row r="2" spans="1:18" ht="15" x14ac:dyDescent="0.25">
      <c r="A2" s="133" t="s">
        <v>228</v>
      </c>
      <c r="B2" s="149"/>
      <c r="C2" s="149"/>
      <c r="D2" s="149"/>
      <c r="E2" s="146" t="s">
        <v>10</v>
      </c>
      <c r="F2" s="146" t="s">
        <v>145</v>
      </c>
      <c r="G2" s="146" t="s">
        <v>196</v>
      </c>
      <c r="H2" s="146" t="s">
        <v>210</v>
      </c>
      <c r="I2" s="171" t="s">
        <v>191</v>
      </c>
      <c r="J2" s="146" t="s">
        <v>192</v>
      </c>
      <c r="L2" s="146" t="s">
        <v>67</v>
      </c>
      <c r="M2" s="171" t="s">
        <v>68</v>
      </c>
      <c r="N2" s="146" t="s">
        <v>71</v>
      </c>
      <c r="P2" s="148" t="s">
        <v>229</v>
      </c>
      <c r="Q2" s="171" t="s">
        <v>223</v>
      </c>
      <c r="R2" s="149" t="s">
        <v>232</v>
      </c>
    </row>
    <row r="3" spans="1:18" x14ac:dyDescent="0.2">
      <c r="A3" s="140">
        <v>5</v>
      </c>
      <c r="B3" s="89" t="s">
        <v>115</v>
      </c>
      <c r="C3" s="89" t="s">
        <v>1</v>
      </c>
      <c r="D3" s="89" t="s">
        <v>1</v>
      </c>
      <c r="E3" s="3" t="s">
        <v>40</v>
      </c>
      <c r="F3" s="86">
        <f>ינואר!E3+פברואר!E3+מרץ!E3+אפריל!E3+מאי!E3+יוני!E3+יולי!F3+אוגוסט!F3+ספטמבר!F3+אוקטובר!F3</f>
        <v>1550839.8599999999</v>
      </c>
      <c r="G3" s="86">
        <f>ינואר!F3+פברואר!F3+מרץ!F3+אפריל!F3+מאי!F3+יוני!F3+יולי!G3+אוגוסט!G3+ספטמבר!G3+אוקטובר!G3</f>
        <v>1345376.89</v>
      </c>
      <c r="H3" s="86">
        <f>ינואר!G3+פברואר!G3+מרץ!G3+אפריל!G3+מאי!G3+יוני!G3+יולי!H3+אוגוסט!H3+ספטמבר!H3+אוקטובר!H3</f>
        <v>1328770.5499999998</v>
      </c>
      <c r="I3" s="172">
        <f>IFERROR(H3/G3-1,"")</f>
        <v>-1.2343262414742484E-2</v>
      </c>
      <c r="J3" s="86">
        <f t="shared" ref="J3:J15" si="0">H3-G3</f>
        <v>-16606.340000000084</v>
      </c>
      <c r="L3" s="86">
        <f>ינואר!J3+פברואר!J3+מרץ!J3+אפריל!J3+מאי!J3+יוני!J3+יולי!M3+אוגוסט!M3+ספטמבר!M3+אוקטובר!M3</f>
        <v>2041428.5714285714</v>
      </c>
      <c r="M3" s="172">
        <f>IFERROR(H3/L3-1,"")</f>
        <v>-0.34909770118964323</v>
      </c>
      <c r="N3" s="86">
        <f t="shared" ref="N3:N15" si="1">H3-L3</f>
        <v>-712658.02142857155</v>
      </c>
      <c r="P3" s="89">
        <f>_xlfn.XLOOKUP($A3,'תקציב  '!A:A,'תקציב  '!AU:AU)</f>
        <v>1540443.2999999998</v>
      </c>
      <c r="Q3" s="172">
        <f>IFERROR(H3/P3,"-")</f>
        <v>0.86258971686916353</v>
      </c>
      <c r="R3" s="89">
        <f>H3-P3</f>
        <v>-211672.75</v>
      </c>
    </row>
    <row r="4" spans="1:18" x14ac:dyDescent="0.2">
      <c r="A4" s="134">
        <v>1</v>
      </c>
      <c r="B4" s="89" t="s">
        <v>0</v>
      </c>
      <c r="C4" s="89" t="s">
        <v>0</v>
      </c>
      <c r="D4" s="89" t="s">
        <v>0</v>
      </c>
      <c r="E4" s="3" t="s">
        <v>40</v>
      </c>
      <c r="F4" s="86">
        <f>ינואר!E4+פברואר!E4+מרץ!E4+אפריל!E4+מאי!E4+יוני!E4+יולי!F4+אוגוסט!F4+ספטמבר!F4+אוקטובר!F4</f>
        <v>4629210.4040000001</v>
      </c>
      <c r="G4" s="86">
        <f>ינואר!F4+פברואר!F4+מרץ!F4+אפריל!F4+מאי!F4+יוני!F4+יולי!G4+אוגוסט!G4+ספטמבר!G4+אוקטובר!G4</f>
        <v>5111299.9226000374</v>
      </c>
      <c r="H4" s="86">
        <f>ינואר!G4+פברואר!G4+מרץ!G4+אפריל!G4+מאי!G4+יוני!G4+יולי!H4+אוגוסט!H4+ספטמבר!H4+אוקטובר!H4</f>
        <v>4231396.2600000007</v>
      </c>
      <c r="I4" s="172">
        <f t="shared" ref="I4:I42" si="2">IFERROR(H4/G4-1,"")</f>
        <v>-0.17214870501131607</v>
      </c>
      <c r="J4" s="86">
        <f t="shared" si="0"/>
        <v>-879903.66260003671</v>
      </c>
      <c r="L4" s="86">
        <f>ינואר!J4+פברואר!J4+מרץ!J4+אפריל!J4+מאי!J4+יוני!J4+יולי!M4+אוגוסט!M4+ספטמבר!M4+אוקטובר!M4</f>
        <v>5605571.4285714282</v>
      </c>
      <c r="M4" s="172">
        <f t="shared" ref="M4:M42" si="3">IFERROR(H4/L4-1,"")</f>
        <v>-0.24514452916740981</v>
      </c>
      <c r="N4" s="86">
        <f t="shared" si="1"/>
        <v>-1374175.1685714275</v>
      </c>
      <c r="P4" s="89">
        <f>_xlfn.XLOOKUP($A4,'תקציב  '!A:A,'תקציב  '!AU:AU)</f>
        <v>4974937.8930000011</v>
      </c>
      <c r="Q4" s="172">
        <f t="shared" ref="Q4:Q42" si="4">IFERROR(H4/P4,"-")</f>
        <v>0.85054252957686116</v>
      </c>
      <c r="R4" s="89">
        <f t="shared" ref="R4:R39" si="5">H4-P4</f>
        <v>-743541.63300000038</v>
      </c>
    </row>
    <row r="5" spans="1:18" x14ac:dyDescent="0.2">
      <c r="A5" s="134">
        <v>7</v>
      </c>
      <c r="B5" s="89" t="s">
        <v>44</v>
      </c>
      <c r="C5" s="89" t="s">
        <v>44</v>
      </c>
      <c r="D5" s="89" t="s">
        <v>44</v>
      </c>
      <c r="E5" s="3" t="s">
        <v>40</v>
      </c>
      <c r="F5" s="86">
        <f>ינואר!E5+פברואר!E5+מרץ!E5+אפריל!E5+מאי!E5+יוני!E5+יולי!F5+אוגוסט!F5+ספטמבר!F5+אוקטובר!F5</f>
        <v>920996.25800000015</v>
      </c>
      <c r="G5" s="86">
        <f>ינואר!F5+פברואר!F5+מרץ!F5+אפריל!F5+מאי!F5+יוני!F5+יולי!G5+אוגוסט!G5+ספטמבר!G5+אוקטובר!G5</f>
        <v>681509.19000000006</v>
      </c>
      <c r="H5" s="86">
        <f>ינואר!G5+פברואר!G5+מרץ!G5+אפריל!G5+מאי!G5+יוני!G5+יולי!H5+אוגוסט!H5+ספטמבר!H5+אוקטובר!H5</f>
        <v>651059.04500000004</v>
      </c>
      <c r="I5" s="172">
        <f t="shared" si="2"/>
        <v>-4.4680461315569353E-2</v>
      </c>
      <c r="J5" s="86">
        <f t="shared" si="0"/>
        <v>-30450.145000000019</v>
      </c>
      <c r="L5" s="86">
        <f>ינואר!J5+פברואר!J5+מרץ!J5+אפריל!J5+מאי!J5+יוני!J5+יולי!M5+אוגוסט!M5+ספטמבר!M5+אוקטובר!M5</f>
        <v>739285.71428571432</v>
      </c>
      <c r="M5" s="172">
        <f t="shared" si="3"/>
        <v>-0.11934042222222219</v>
      </c>
      <c r="N5" s="86">
        <f t="shared" si="1"/>
        <v>-88226.669285714277</v>
      </c>
      <c r="P5" s="89">
        <f>_xlfn.XLOOKUP($A5,'תקציב  '!A:A,'תקציב  '!AU:AU)</f>
        <v>837274.56499999994</v>
      </c>
      <c r="Q5" s="172">
        <f t="shared" si="4"/>
        <v>0.77759324386021456</v>
      </c>
      <c r="R5" s="89">
        <f t="shared" si="5"/>
        <v>-186215.5199999999</v>
      </c>
    </row>
    <row r="6" spans="1:18" x14ac:dyDescent="0.2">
      <c r="A6" s="134">
        <v>4</v>
      </c>
      <c r="B6" s="89" t="s">
        <v>3</v>
      </c>
      <c r="C6" s="89" t="s">
        <v>3</v>
      </c>
      <c r="D6" s="89" t="s">
        <v>3</v>
      </c>
      <c r="E6" s="3" t="s">
        <v>40</v>
      </c>
      <c r="F6" s="86">
        <f>ינואר!E6+פברואר!E6+מרץ!E6+אפריל!E6+מאי!E6+יוני!E6+יולי!F6+אוגוסט!F6+ספטמבר!F6+אוקטובר!F6</f>
        <v>1541817.3729999999</v>
      </c>
      <c r="G6" s="86">
        <f>ינואר!F6+פברואר!F6+מרץ!F6+אפריל!F6+מאי!F6+יוני!F6+יולי!G6+אוגוסט!G6+ספטמבר!G6+אוקטובר!G6</f>
        <v>1629180.0094000015</v>
      </c>
      <c r="H6" s="86">
        <f>ינואר!G6+פברואר!G6+מרץ!G6+אפריל!G6+מאי!G6+יוני!G6+יולי!H6+אוגוסט!H6+ספטמבר!H6+אוקטובר!H6</f>
        <v>1409547.8450000002</v>
      </c>
      <c r="I6" s="172">
        <f t="shared" si="2"/>
        <v>-0.13481147763462187</v>
      </c>
      <c r="J6" s="86">
        <f t="shared" si="0"/>
        <v>-219632.16440000129</v>
      </c>
      <c r="L6" s="86">
        <f>ינואר!J6+פברואר!J6+מרץ!J6+אפריל!J6+מאי!J6+יוני!J6+יולי!M6+אוגוסט!M6+ספטמבר!M6+אוקטובר!M6</f>
        <v>1602714.2857142857</v>
      </c>
      <c r="M6" s="172">
        <f t="shared" si="3"/>
        <v>-0.12052456413227541</v>
      </c>
      <c r="N6" s="86">
        <f t="shared" si="1"/>
        <v>-193166.44071428548</v>
      </c>
      <c r="P6" s="89">
        <f>_xlfn.XLOOKUP($A6,'תקציב  '!A:A,'תקציב  '!AU:AU)</f>
        <v>1718523.9780000001</v>
      </c>
      <c r="Q6" s="172">
        <f t="shared" si="4"/>
        <v>0.82020842481372702</v>
      </c>
      <c r="R6" s="89">
        <f t="shared" si="5"/>
        <v>-308976.13299999991</v>
      </c>
    </row>
    <row r="7" spans="1:18" x14ac:dyDescent="0.2">
      <c r="A7" s="134">
        <v>3</v>
      </c>
      <c r="B7" s="89" t="s">
        <v>112</v>
      </c>
      <c r="C7" s="89" t="s">
        <v>2</v>
      </c>
      <c r="D7" s="89" t="s">
        <v>2</v>
      </c>
      <c r="E7" s="3" t="s">
        <v>40</v>
      </c>
      <c r="F7" s="86">
        <f>ינואר!E7+פברואר!E7+מרץ!E7+אפריל!E7+מאי!E7+יוני!E7+יולי!F7+אוגוסט!F7+ספטמבר!F7+אוקטובר!F7</f>
        <v>3420711.8</v>
      </c>
      <c r="G7" s="86">
        <f>ינואר!F7+פברואר!F7+מרץ!F7+אפריל!F7+מאי!F7+יוני!F7+יולי!G7+אוגוסט!G7+ספטמבר!G7+אוקטובר!G7</f>
        <v>3133795.55</v>
      </c>
      <c r="H7" s="86">
        <f>ינואר!G7+פברואר!G7+מרץ!G7+אפריל!G7+מאי!G7+יוני!G7+יולי!H7+אוגוסט!H7+ספטמבר!H7+אוקטובר!H7</f>
        <v>2727663.25</v>
      </c>
      <c r="I7" s="172">
        <f t="shared" si="2"/>
        <v>-0.1295975737791828</v>
      </c>
      <c r="J7" s="86">
        <f t="shared" si="0"/>
        <v>-406132.29999999981</v>
      </c>
      <c r="L7" s="86">
        <f>ינואר!J7+פברואר!J7+מרץ!J7+אפריל!J7+מאי!J7+יוני!J7+יולי!M7+אוגוסט!M7+ספטמבר!M7+אוקטובר!M7</f>
        <v>3650000</v>
      </c>
      <c r="M7" s="172">
        <f t="shared" si="3"/>
        <v>-0.252695</v>
      </c>
      <c r="N7" s="86">
        <f t="shared" si="1"/>
        <v>-922336.75</v>
      </c>
      <c r="P7" s="89">
        <f>_xlfn.XLOOKUP($A7,'תקציב  '!A:A,'תקציב  '!AU:AU)</f>
        <v>3062410.85</v>
      </c>
      <c r="Q7" s="172">
        <f t="shared" si="4"/>
        <v>0.89069147923114234</v>
      </c>
      <c r="R7" s="89">
        <f t="shared" si="5"/>
        <v>-334747.60000000009</v>
      </c>
    </row>
    <row r="8" spans="1:18" x14ac:dyDescent="0.2">
      <c r="A8" s="134">
        <v>8</v>
      </c>
      <c r="B8" s="89" t="s">
        <v>113</v>
      </c>
      <c r="C8" s="89" t="s">
        <v>5</v>
      </c>
      <c r="D8" s="89" t="s">
        <v>5</v>
      </c>
      <c r="E8" s="3" t="s">
        <v>40</v>
      </c>
      <c r="F8" s="86">
        <f>ינואר!E8+פברואר!E8+מרץ!E8+אפריל!E8+מאי!E8+יוני!E8+יולי!F8+אוגוסט!F8+ספטמבר!F8+אוקטובר!F8</f>
        <v>672460.43</v>
      </c>
      <c r="G8" s="86">
        <f>ינואר!F8+פברואר!F8+מרץ!F8+אפריל!F8+מאי!F8+יוני!F8+יולי!G8+אוגוסט!G8+ספטמבר!G8+אוקטובר!G8</f>
        <v>764587.37</v>
      </c>
      <c r="H8" s="86">
        <f>ינואר!G8+פברואר!G8+מרץ!G8+אפריל!G8+מאי!G8+יוני!G8+יולי!H8+אוגוסט!H8+ספטמבר!H8+אוקטובר!H8</f>
        <v>520254.74100000004</v>
      </c>
      <c r="I8" s="172">
        <f t="shared" si="2"/>
        <v>-0.31956142435363533</v>
      </c>
      <c r="J8" s="86">
        <f t="shared" si="0"/>
        <v>-244332.62899999996</v>
      </c>
      <c r="L8" s="86">
        <f>ינואר!J8+פברואר!J8+מרץ!J8+אפריל!J8+מאי!J8+יוני!J8+יולי!M8+אוגוסט!M8+ספטמבר!M8+אוקטובר!M8</f>
        <v>1021428.5714285715</v>
      </c>
      <c r="M8" s="172">
        <f t="shared" si="3"/>
        <v>-0.49065969412587407</v>
      </c>
      <c r="N8" s="86">
        <f t="shared" si="1"/>
        <v>-501173.83042857144</v>
      </c>
      <c r="P8" s="89">
        <f>_xlfn.XLOOKUP($A8,'תקציב  '!A:A,'תקציב  '!AU:AU)</f>
        <v>743097.61100000003</v>
      </c>
      <c r="Q8" s="172">
        <f t="shared" si="4"/>
        <v>0.70011628795291603</v>
      </c>
      <c r="R8" s="89">
        <f t="shared" si="5"/>
        <v>-222842.87</v>
      </c>
    </row>
    <row r="9" spans="1:18" x14ac:dyDescent="0.2">
      <c r="A9" s="134">
        <v>6</v>
      </c>
      <c r="B9" s="89" t="s">
        <v>121</v>
      </c>
      <c r="C9" s="89" t="s">
        <v>4</v>
      </c>
      <c r="D9" s="89" t="s">
        <v>4</v>
      </c>
      <c r="E9" s="3" t="s">
        <v>40</v>
      </c>
      <c r="F9" s="86">
        <f>ינואר!E9+פברואר!E9+מרץ!E9+אפריל!E9+מאי!E9+יוני!E9+יולי!F9+אוגוסט!F9+ספטמבר!F9+אוקטובר!F9</f>
        <v>773135.40999999992</v>
      </c>
      <c r="G9" s="86">
        <f>ינואר!F9+פברואר!F9+מרץ!F9+אפריל!F9+מאי!F9+יוני!F9+יולי!G9+אוגוסט!G9+ספטמבר!G9+אוקטובר!G9</f>
        <v>689002.54000000015</v>
      </c>
      <c r="H9" s="86">
        <f>ינואר!G9+פברואר!G9+מרץ!G9+אפריל!G9+מאי!G9+יוני!G9+יולי!H9+אוגוסט!H9+ספטמבר!H9+אוקטובר!H9</f>
        <v>678114.16</v>
      </c>
      <c r="I9" s="172">
        <f t="shared" si="2"/>
        <v>-1.5803105747621893E-2</v>
      </c>
      <c r="J9" s="86">
        <f t="shared" si="0"/>
        <v>-10888.380000000121</v>
      </c>
      <c r="L9" s="86">
        <f>ינואר!J9+פברואר!J9+מרץ!J9+אפריל!J9+מאי!J9+יוני!J9+יולי!M9+אוגוסט!M9+ספטמבר!M9+אוקטובר!M9</f>
        <v>1624321.4285714284</v>
      </c>
      <c r="M9" s="172">
        <f t="shared" si="3"/>
        <v>-0.58252464809480875</v>
      </c>
      <c r="N9" s="86">
        <f t="shared" si="1"/>
        <v>-946207.26857142837</v>
      </c>
      <c r="P9" s="89">
        <f>_xlfn.XLOOKUP($A9,'תקציב  '!A:A,'תקציב  '!AU:AU)</f>
        <v>875277.57</v>
      </c>
      <c r="Q9" s="172">
        <f t="shared" si="4"/>
        <v>0.77474184560675996</v>
      </c>
      <c r="R9" s="89">
        <f t="shared" si="5"/>
        <v>-197163.40999999992</v>
      </c>
    </row>
    <row r="10" spans="1:18" x14ac:dyDescent="0.2">
      <c r="A10" s="135">
        <v>10</v>
      </c>
      <c r="B10" s="89" t="s">
        <v>120</v>
      </c>
      <c r="C10" s="89" t="s">
        <v>6</v>
      </c>
      <c r="D10" s="89" t="s">
        <v>6</v>
      </c>
      <c r="E10" s="3" t="s">
        <v>40</v>
      </c>
      <c r="F10" s="86">
        <f>ינואר!E10+פברואר!E10+מרץ!E10+אפריל!E10+מאי!E10+יוני!E10+יולי!F10+אוגוסט!F10+ספטמבר!F10+אוקטובר!F10</f>
        <v>159847.44</v>
      </c>
      <c r="G10" s="86">
        <f>ינואר!F10+פברואר!F10+מרץ!F10+אפריל!F10+מאי!F10+יוני!F10+יולי!G10+אוגוסט!G10+ספטמבר!G10+אוקטובר!G10</f>
        <v>146019.48000000001</v>
      </c>
      <c r="H10" s="86">
        <f>ינואר!G10+פברואר!G10+מרץ!G10+אפריל!G10+מאי!G10+יוני!G10+יולי!H10+אוגוסט!H10+ספטמבר!H10+אוקטובר!H10</f>
        <v>79418.590000000011</v>
      </c>
      <c r="I10" s="172">
        <f t="shared" si="2"/>
        <v>-0.45610962318178361</v>
      </c>
      <c r="J10" s="86">
        <f t="shared" si="0"/>
        <v>-66600.89</v>
      </c>
      <c r="L10" s="86">
        <f>ינואר!J10+פברואר!J10+מרץ!J10+אפריל!J10+מאי!J10+יוני!J10+יולי!M10+אוגוסט!M10+ספטמבר!M10+אוקטובר!M10</f>
        <v>156071.42857142858</v>
      </c>
      <c r="M10" s="172">
        <f t="shared" si="3"/>
        <v>-0.49113946910755146</v>
      </c>
      <c r="N10" s="86">
        <f t="shared" si="1"/>
        <v>-76652.838571428569</v>
      </c>
      <c r="P10" s="89">
        <f>_xlfn.XLOOKUP($A10,'תקציב  '!A:A,'תקציב  '!AU:AU)</f>
        <v>121235.08</v>
      </c>
      <c r="Q10" s="172">
        <f t="shared" si="4"/>
        <v>0.6550792889318835</v>
      </c>
      <c r="R10" s="89">
        <f t="shared" si="5"/>
        <v>-41816.489999999991</v>
      </c>
    </row>
    <row r="11" spans="1:18" x14ac:dyDescent="0.2">
      <c r="A11" s="134">
        <v>11</v>
      </c>
      <c r="B11" s="89" t="s">
        <v>117</v>
      </c>
      <c r="C11" s="89" t="s">
        <v>66</v>
      </c>
      <c r="D11" s="89" t="s">
        <v>66</v>
      </c>
      <c r="E11" s="3" t="s">
        <v>40</v>
      </c>
      <c r="F11" s="86">
        <f>ינואר!E11+פברואר!E11+מרץ!E11+אפריל!E11+מאי!E11+יוני!E11+יולי!F11+אוגוסט!F11+ספטמבר!F11+אוקטובר!F11</f>
        <v>51258.7</v>
      </c>
      <c r="G11" s="86">
        <f>ינואר!F11+פברואר!F11+מרץ!F11+אפריל!F11+מאי!F11+יוני!F11+יולי!G11+אוגוסט!G11+ספטמבר!G11+אוקטובר!G11</f>
        <v>49591.070000000007</v>
      </c>
      <c r="H11" s="86">
        <f>ינואר!G11+פברואר!G11+מרץ!G11+אפריל!G11+מאי!G11+יוני!G11+יולי!H11+אוגוסט!H11+ספטמבר!H11+אוקטובר!H11</f>
        <v>45013.96</v>
      </c>
      <c r="I11" s="172">
        <f t="shared" si="2"/>
        <v>-9.2297060740976322E-2</v>
      </c>
      <c r="J11" s="86">
        <f t="shared" si="0"/>
        <v>-4577.1100000000079</v>
      </c>
      <c r="L11" s="86">
        <f>ינואר!J11+פברואר!J11+מרץ!J11+אפריל!J11+מאי!J11+יוני!J11+יולי!M11+אוגוסט!M11+ספטמבר!M11+אוקטובר!M11</f>
        <v>82142.85714285713</v>
      </c>
      <c r="M11" s="172">
        <f t="shared" si="3"/>
        <v>-0.45200396521739128</v>
      </c>
      <c r="N11" s="86">
        <f t="shared" si="1"/>
        <v>-37128.897142857131</v>
      </c>
      <c r="P11" s="89">
        <f>_xlfn.XLOOKUP($A11,'תקציב  '!A:A,'תקציב  '!AU:AU)</f>
        <v>74015.41</v>
      </c>
      <c r="Q11" s="172">
        <f t="shared" si="4"/>
        <v>0.60817010944072314</v>
      </c>
      <c r="R11" s="89">
        <f t="shared" si="5"/>
        <v>-29001.450000000004</v>
      </c>
    </row>
    <row r="12" spans="1:18" x14ac:dyDescent="0.2">
      <c r="A12" s="134">
        <v>14</v>
      </c>
      <c r="B12" s="89" t="s">
        <v>116</v>
      </c>
      <c r="C12" s="89" t="s">
        <v>8</v>
      </c>
      <c r="D12" s="89" t="s">
        <v>8</v>
      </c>
      <c r="E12" s="3" t="s">
        <v>40</v>
      </c>
      <c r="F12" s="86">
        <f>ינואר!E12+פברואר!E12+מרץ!E12+אפריל!E12+מאי!E12+יוני!E12+יולי!F12+אוגוסט!F12+ספטמבר!F12+אוקטובר!F12</f>
        <v>2380.1</v>
      </c>
      <c r="G12" s="86">
        <f>ינואר!F12+פברואר!F12+מרץ!F12+אפריל!F12+מאי!F12+יוני!F12+יולי!G12+אוגוסט!G12+ספטמבר!G12+אוקטובר!G12</f>
        <v>3646.88</v>
      </c>
      <c r="H12" s="86">
        <f>ינואר!G12+פברואר!G12+מרץ!G12+אפריל!G12+מאי!G12+יוני!G12+יולי!H12+אוגוסט!H12+ספטמבר!H12+אוקטובר!H12</f>
        <v>4305.0200000000004</v>
      </c>
      <c r="I12" s="172">
        <f t="shared" si="2"/>
        <v>0.1804665906199272</v>
      </c>
      <c r="J12" s="86">
        <f t="shared" si="0"/>
        <v>658.14000000000033</v>
      </c>
      <c r="L12" s="86">
        <f>ינואר!J12+פברואר!J12+מרץ!J12+אפריל!J12+מאי!J12+יוני!J12+יולי!M12+אוגוסט!M12+ספטמבר!M12+אוקטובר!M12</f>
        <v>0</v>
      </c>
      <c r="M12" s="172" t="str">
        <f t="shared" si="3"/>
        <v/>
      </c>
      <c r="N12" s="86">
        <f t="shared" si="1"/>
        <v>4305.0200000000004</v>
      </c>
      <c r="P12" s="89">
        <f>_xlfn.XLOOKUP($A12,'תקציב  '!A:A,'תקציב  '!AU:AU)</f>
        <v>23576.15</v>
      </c>
      <c r="Q12" s="172">
        <f t="shared" si="4"/>
        <v>0.18260063666035381</v>
      </c>
      <c r="R12" s="89">
        <f t="shared" si="5"/>
        <v>-19271.13</v>
      </c>
    </row>
    <row r="13" spans="1:18" x14ac:dyDescent="0.2">
      <c r="A13" s="134">
        <v>15</v>
      </c>
      <c r="B13" s="89" t="s">
        <v>119</v>
      </c>
      <c r="C13" s="89" t="s">
        <v>151</v>
      </c>
      <c r="D13" s="89" t="s">
        <v>151</v>
      </c>
      <c r="E13" s="3" t="s">
        <v>40</v>
      </c>
      <c r="F13" s="86">
        <f>ינואר!E13+פברואר!E13+מרץ!E13+אפריל!E13+מאי!E13+יוני!E13+יולי!F13+אוגוסט!F13+ספטמבר!F13+אוקטובר!F13</f>
        <v>1597.46</v>
      </c>
      <c r="G13" s="86">
        <f>ינואר!F13+פברואר!F13+מרץ!F13+אפריל!F13+מאי!F13+יוני!F13+יולי!G13+אוגוסט!G13+ספטמבר!G13+אוקטובר!G13</f>
        <v>514.20000000000005</v>
      </c>
      <c r="H13" s="86">
        <f>ינואר!G13+פברואר!G13+מרץ!G13+אפריל!G13+מאי!G13+יוני!G13+יולי!H13+אוגוסט!H13+ספטמבר!H13+אוקטובר!H13</f>
        <v>1896.82</v>
      </c>
      <c r="I13" s="172">
        <f t="shared" si="2"/>
        <v>2.6888759237650715</v>
      </c>
      <c r="J13" s="86">
        <f t="shared" si="0"/>
        <v>1382.62</v>
      </c>
      <c r="L13" s="86">
        <f>ינואר!J13+פברואר!J13+מרץ!J13+אפריל!J13+מאי!J13+יוני!J13+יולי!M13+אוגוסט!M13+ספטמבר!M13+אוקטובר!M13</f>
        <v>12500</v>
      </c>
      <c r="M13" s="172">
        <f t="shared" si="3"/>
        <v>-0.84825439999999996</v>
      </c>
      <c r="N13" s="86">
        <f t="shared" si="1"/>
        <v>-10603.18</v>
      </c>
      <c r="P13" s="89">
        <f>_xlfn.XLOOKUP($A13,'תקציב  '!A:A,'תקציב  '!AU:AU)</f>
        <v>21896.82</v>
      </c>
      <c r="Q13" s="172">
        <f t="shared" si="4"/>
        <v>8.6625363865620669E-2</v>
      </c>
      <c r="R13" s="89">
        <f t="shared" si="5"/>
        <v>-20000</v>
      </c>
    </row>
    <row r="14" spans="1:18" x14ac:dyDescent="0.2">
      <c r="A14" s="134">
        <v>13</v>
      </c>
      <c r="B14" s="89" t="s">
        <v>114</v>
      </c>
      <c r="C14" s="89" t="s">
        <v>45</v>
      </c>
      <c r="D14" s="89" t="s">
        <v>45</v>
      </c>
      <c r="E14" s="3" t="s">
        <v>40</v>
      </c>
      <c r="F14" s="86">
        <f>ינואר!E14+פברואר!E14+מרץ!E14+אפריל!E14+מאי!E14+יוני!E14+יולי!F14+אוגוסט!F14+ספטמבר!F14+אוקטובר!F14</f>
        <v>6361.93</v>
      </c>
      <c r="G14" s="86">
        <f>ינואר!F14+פברואר!F14+מרץ!F14+אפריל!F14+מאי!F14+יוני!F14+יולי!G14+אוגוסט!G14+ספטמבר!G14+אוקטובר!G14</f>
        <v>11718.66</v>
      </c>
      <c r="H14" s="86">
        <f>ינואר!G14+פברואר!G14+מרץ!G14+אפריל!G14+מאי!G14+יוני!G14+יולי!H14+אוגוסט!H14+ספטמבר!H14+אוקטובר!H14</f>
        <v>14953.48</v>
      </c>
      <c r="I14" s="172">
        <f t="shared" si="2"/>
        <v>0.27604009332125012</v>
      </c>
      <c r="J14" s="86">
        <f t="shared" si="0"/>
        <v>3234.8199999999997</v>
      </c>
      <c r="L14" s="86">
        <f>ינואר!J14+פברואר!J14+מרץ!J14+אפריל!J14+מאי!J14+יוני!J14+יולי!M14+אוגוסט!M14+ספטמבר!M14+אוקטובר!M14</f>
        <v>350000</v>
      </c>
      <c r="M14" s="172">
        <f t="shared" si="3"/>
        <v>-0.95727577142857145</v>
      </c>
      <c r="N14" s="86">
        <f t="shared" si="1"/>
        <v>-335046.52</v>
      </c>
      <c r="P14" s="89">
        <f>_xlfn.XLOOKUP($A14,'תקציב  '!A:A,'תקציב  '!AU:AU)</f>
        <v>27748.720000000001</v>
      </c>
      <c r="Q14" s="172">
        <f t="shared" si="4"/>
        <v>0.53888900100617254</v>
      </c>
      <c r="R14" s="89">
        <f t="shared" si="5"/>
        <v>-12795.240000000002</v>
      </c>
    </row>
    <row r="15" spans="1:18" x14ac:dyDescent="0.2">
      <c r="A15" s="134">
        <v>9</v>
      </c>
      <c r="B15" s="89" t="s">
        <v>118</v>
      </c>
      <c r="C15" s="89" t="s">
        <v>73</v>
      </c>
      <c r="D15" s="89" t="s">
        <v>73</v>
      </c>
      <c r="E15" s="3" t="s">
        <v>40</v>
      </c>
      <c r="F15" s="86">
        <f>ינואר!E15+פברואר!E15+מרץ!E15+אפריל!E15+מאי!E15+יוני!E15+יולי!F15+אוגוסט!F15+ספטמבר!F15+אוקטובר!F15</f>
        <v>63348.479999999996</v>
      </c>
      <c r="G15" s="86">
        <f>ינואר!F15+פברואר!F15+מרץ!F15+אפריל!F15+מאי!F15+יוני!F15+יולי!G15+אוגוסט!G15+ספטמבר!G15+אוקטובר!G15</f>
        <v>81409.48000000001</v>
      </c>
      <c r="H15" s="86">
        <f>ינואר!G15+פברואר!G15+מרץ!G15+אפריל!G15+מאי!G15+יוני!G15+יולי!H15+אוגוסט!H15+ספטמבר!H15+אוקטובר!H15</f>
        <v>118677.26000000001</v>
      </c>
      <c r="I15" s="172">
        <f t="shared" si="2"/>
        <v>0.45778182098694153</v>
      </c>
      <c r="J15" s="86">
        <f t="shared" si="0"/>
        <v>37267.78</v>
      </c>
      <c r="L15" s="86">
        <f>ינואר!J15+פברואר!J15+מרץ!J15+אפריל!J15+מאי!J15+יוני!J15+יולי!M15+אוגוסט!M15+ספטמבר!M15+אוקטובר!M15</f>
        <v>164285.71428571426</v>
      </c>
      <c r="M15" s="172">
        <f t="shared" si="3"/>
        <v>-0.27761667826086944</v>
      </c>
      <c r="N15" s="86">
        <f t="shared" si="1"/>
        <v>-45608.454285714251</v>
      </c>
      <c r="P15" s="89">
        <f>_xlfn.XLOOKUP($A15,'תקציב  '!A:A,'תקציב  '!AU:AU)</f>
        <v>189111.1</v>
      </c>
      <c r="Q15" s="172">
        <f t="shared" si="4"/>
        <v>0.62755311560241578</v>
      </c>
      <c r="R15" s="89">
        <f t="shared" si="5"/>
        <v>-70433.84</v>
      </c>
    </row>
    <row r="16" spans="1:18" ht="15" x14ac:dyDescent="0.25">
      <c r="A16" s="136"/>
      <c r="B16" s="152"/>
      <c r="C16" s="152" t="s">
        <v>221</v>
      </c>
      <c r="D16" s="152" t="s">
        <v>221</v>
      </c>
      <c r="E16" s="152"/>
      <c r="F16" s="152">
        <f>SUM(F3:F15)</f>
        <v>13793965.645</v>
      </c>
      <c r="G16" s="152">
        <f>SUM(G3:G15)</f>
        <v>13647651.242000042</v>
      </c>
      <c r="H16" s="152">
        <f>SUM(H3:H15)</f>
        <v>11811070.981000002</v>
      </c>
      <c r="I16" s="173">
        <f t="shared" si="2"/>
        <v>-0.13457116015304116</v>
      </c>
      <c r="J16" s="152">
        <f>SUM(J3:J15)</f>
        <v>-1836580.2610000379</v>
      </c>
      <c r="L16" s="152">
        <f>SUM(L3:L15)</f>
        <v>17049749.999999996</v>
      </c>
      <c r="M16" s="173">
        <f t="shared" si="3"/>
        <v>-0.30725840666285398</v>
      </c>
      <c r="N16" s="152">
        <f>SUM(N3:N15)</f>
        <v>-5238679.0189999985</v>
      </c>
      <c r="P16" s="152">
        <f>SUM(P3:P15)</f>
        <v>14209549.047000002</v>
      </c>
      <c r="Q16" s="173">
        <f t="shared" si="4"/>
        <v>0.83120660211898989</v>
      </c>
      <c r="R16" s="152">
        <f t="shared" ref="R16:R41" si="6">E16-P16</f>
        <v>-14209549.047000002</v>
      </c>
    </row>
    <row r="17" spans="1:18" x14ac:dyDescent="0.2">
      <c r="A17" s="134">
        <v>2</v>
      </c>
      <c r="B17" s="89" t="s">
        <v>111</v>
      </c>
      <c r="C17" s="89" t="s">
        <v>7</v>
      </c>
      <c r="D17" s="89" t="s">
        <v>7</v>
      </c>
      <c r="E17" s="3" t="s">
        <v>40</v>
      </c>
      <c r="F17" s="86">
        <f>ינואר!E17+פברואר!E17+מרץ!E17+אפריל!E17+מאי!E17+יוני!E17+יולי!F17+אוגוסט!F17+ספטמבר!F17+אוקטובר!F17</f>
        <v>501296.48000000021</v>
      </c>
      <c r="G17" s="86">
        <f>ינואר!F17+פברואר!F17+מרץ!F17+אפריל!F17+מאי!F17+יוני!F17+יולי!G17+אוגוסט!G17+ספטמבר!G17+אוקטובר!G17</f>
        <v>1193343.7499999958</v>
      </c>
      <c r="H17" s="86">
        <f>ינואר!G17+פברואר!G17+מרץ!G17+אפריל!G17+מאי!G17+יוני!G17+יולי!H17+אוגוסט!H17+ספטמבר!H17+אוקטובר!H17</f>
        <v>3368003.3100000275</v>
      </c>
      <c r="I17" s="172">
        <f t="shared" si="2"/>
        <v>1.8223245062456139</v>
      </c>
      <c r="J17" s="86">
        <f>H17-G17</f>
        <v>2174659.5600000317</v>
      </c>
      <c r="L17" s="86">
        <f>ינואר!J17+פברואר!J17+מרץ!J17+אפריל!J17+מאי!J17+יוני!J17+יולי!M17+אוגוסט!M17+ספטמבר!M17+אוקטובר!M17</f>
        <v>7614968.6440677978</v>
      </c>
      <c r="M17" s="172">
        <f t="shared" si="3"/>
        <v>-0.55771278025894899</v>
      </c>
      <c r="N17" s="86">
        <f>H17-L17</f>
        <v>-4246965.3340677703</v>
      </c>
      <c r="P17" s="89">
        <f>_xlfn.XLOOKUP($A17,'תקציב  '!A:A,'תקציב  '!AU:AU)</f>
        <v>5299395.8271186752</v>
      </c>
      <c r="Q17" s="172">
        <f t="shared" si="4"/>
        <v>0.63554477149355315</v>
      </c>
      <c r="R17" s="89">
        <f t="shared" si="5"/>
        <v>-1931392.5171186477</v>
      </c>
    </row>
    <row r="18" spans="1:18" x14ac:dyDescent="0.2">
      <c r="A18" s="134">
        <v>12</v>
      </c>
      <c r="B18" s="89" t="s">
        <v>110</v>
      </c>
      <c r="C18" s="89" t="s">
        <v>65</v>
      </c>
      <c r="D18" s="89" t="s">
        <v>65</v>
      </c>
      <c r="E18" s="3" t="s">
        <v>40</v>
      </c>
      <c r="F18" s="86">
        <f>ינואר!E18+פברואר!E18+מרץ!E18+אפריל!E18+מאי!E18+יוני!E18+יולי!F18+אוגוסט!F18+ספטמבר!F18+אוקטובר!F18</f>
        <v>29099.260000000002</v>
      </c>
      <c r="G18" s="86">
        <f>ינואר!F18+פברואר!F18+מרץ!F18+אפריל!F18+מאי!F18+יוני!F18+יולי!G18+אוגוסט!G18+ספטמבר!G18+אוקטובר!G18</f>
        <v>24705.4</v>
      </c>
      <c r="H18" s="86">
        <f>ינואר!G18+פברואר!G18+מרץ!G18+אפריל!G18+מאי!G18+יוני!G18+יולי!H18+אוגוסט!H18+ספטמבר!H18+אוקטובר!H18</f>
        <v>13580.480000000003</v>
      </c>
      <c r="I18" s="172">
        <f t="shared" si="2"/>
        <v>-0.45030317258575037</v>
      </c>
      <c r="J18" s="86">
        <f>H18-G18</f>
        <v>-11124.919999999998</v>
      </c>
      <c r="L18" s="86">
        <f>ינואר!J18+פברואר!J18+מרץ!J18+אפריל!J18+מאי!J18+יוני!J18+יולי!M18+אוגוסט!M18+ספטמבר!M18+אוקטובר!M18</f>
        <v>25369.283333333329</v>
      </c>
      <c r="M18" s="172">
        <f t="shared" si="3"/>
        <v>-0.46468807094143361</v>
      </c>
      <c r="N18" s="86">
        <f>H18-L18</f>
        <v>-11788.803333333326</v>
      </c>
      <c r="P18" s="89">
        <f>_xlfn.XLOOKUP($A18,'תקציב  '!A:A,'תקציב  '!AU:AU)</f>
        <v>29807.020000000004</v>
      </c>
      <c r="Q18" s="172">
        <f t="shared" si="4"/>
        <v>0.45561347628847171</v>
      </c>
      <c r="R18" s="89">
        <f t="shared" si="5"/>
        <v>-16226.54</v>
      </c>
    </row>
    <row r="19" spans="1:18" ht="15" x14ac:dyDescent="0.25">
      <c r="A19" s="135"/>
      <c r="B19" s="152"/>
      <c r="C19" s="152" t="s">
        <v>41</v>
      </c>
      <c r="D19" s="152" t="s">
        <v>41</v>
      </c>
      <c r="E19" s="152"/>
      <c r="F19" s="152">
        <f>F16+F17+F18</f>
        <v>14324361.385</v>
      </c>
      <c r="G19" s="152">
        <f>G16+G17+G18</f>
        <v>14865700.392000038</v>
      </c>
      <c r="H19" s="152">
        <f>H16+H17+H18</f>
        <v>15192654.771000031</v>
      </c>
      <c r="I19" s="173">
        <f t="shared" si="2"/>
        <v>2.199387653311935E-2</v>
      </c>
      <c r="J19" s="152">
        <f>J16+J17+J18</f>
        <v>326954.37899999385</v>
      </c>
      <c r="L19" s="152">
        <f>L16+L17+L18</f>
        <v>24690087.927401129</v>
      </c>
      <c r="M19" s="173">
        <f t="shared" si="3"/>
        <v>-0.38466582963687301</v>
      </c>
      <c r="N19" s="152">
        <f>N16+N17+N18</f>
        <v>-9497433.1564011015</v>
      </c>
      <c r="P19" s="152">
        <f>P16+P17+P18</f>
        <v>19538751.894118678</v>
      </c>
      <c r="Q19" s="173">
        <f t="shared" si="4"/>
        <v>0.77756526380649438</v>
      </c>
      <c r="R19" s="152">
        <f t="shared" si="6"/>
        <v>-19538751.894118678</v>
      </c>
    </row>
    <row r="20" spans="1:18" x14ac:dyDescent="0.2">
      <c r="A20" s="135">
        <v>50</v>
      </c>
      <c r="B20" s="89" t="s">
        <v>92</v>
      </c>
      <c r="C20" s="89" t="s">
        <v>74</v>
      </c>
      <c r="D20" s="89" t="s">
        <v>47</v>
      </c>
      <c r="E20" s="3" t="s">
        <v>38</v>
      </c>
      <c r="F20" s="86">
        <f>ינואר!E20+פברואר!E20+מרץ!E20+אפריל!E20+מאי!E20+יוני!E20+יולי!F20+אוגוסט!F20+ספטמבר!F20+אוקטובר!F20</f>
        <v>3141550.98</v>
      </c>
      <c r="G20" s="86">
        <f>ינואר!F20+פברואר!F20+מרץ!F20+אפריל!F20+מאי!F20+יוני!F20+יולי!G20+אוגוסט!G20+ספטמבר!G20+אוקטובר!G20</f>
        <v>2252006.7200000002</v>
      </c>
      <c r="H20" s="86">
        <f>ינואר!G20+פברואר!G20+מרץ!G20+אפריל!G20+מאי!G20+יוני!G20+יולי!H20+אוגוסט!H20+ספטמבר!H20+אוקטובר!H20</f>
        <v>1879662.74</v>
      </c>
      <c r="I20" s="172">
        <f t="shared" si="2"/>
        <v>-0.16533875174226842</v>
      </c>
      <c r="J20" s="86">
        <f t="shared" ref="J20:J39" si="7">H20-G20</f>
        <v>-372343.98000000021</v>
      </c>
      <c r="L20" s="86">
        <f>ינואר!J20+פברואר!J20+מרץ!J20+אפריל!J20+מאי!J20+יוני!J20+יולי!M20+אוגוסט!M20+ספטמבר!M20+אוקטובר!M20</f>
        <v>3975861.7449375</v>
      </c>
      <c r="M20" s="172">
        <f t="shared" si="3"/>
        <v>-0.52723136251068303</v>
      </c>
      <c r="N20" s="86">
        <f t="shared" ref="N20:N39" si="8">H20-L20</f>
        <v>-2096199.0049375</v>
      </c>
      <c r="P20" s="89">
        <f>_xlfn.XLOOKUP($A20,'תקציב  '!A:A,'תקציב  '!AU:AU)</f>
        <v>2474341.0099999998</v>
      </c>
      <c r="Q20" s="172">
        <f t="shared" si="4"/>
        <v>0.75966195944834625</v>
      </c>
      <c r="R20" s="89">
        <f t="shared" si="5"/>
        <v>-594678.26999999979</v>
      </c>
    </row>
    <row r="21" spans="1:18" x14ac:dyDescent="0.2">
      <c r="A21" s="135">
        <v>20</v>
      </c>
      <c r="B21" s="89" t="s">
        <v>93</v>
      </c>
      <c r="C21" s="89" t="s">
        <v>75</v>
      </c>
      <c r="D21" s="89" t="s">
        <v>13</v>
      </c>
      <c r="E21" s="3" t="s">
        <v>39</v>
      </c>
      <c r="F21" s="86">
        <f>ינואר!E21+פברואר!E21+מרץ!E21+אפריל!E21+מאי!E21+יוני!E21+יולי!F21+אוגוסט!F21+ספטמבר!F21+אוקטובר!F21</f>
        <v>741409.27</v>
      </c>
      <c r="G21" s="86">
        <f>ינואר!F21+פברואר!F21+מרץ!F21+אפריל!F21+מאי!F21+יוני!F21+יולי!G21+אוגוסט!G21+ספטמבר!G21+אוקטובר!G21</f>
        <v>757795.90999999992</v>
      </c>
      <c r="H21" s="86">
        <f>ינואר!G21+פברואר!G21+מרץ!G21+אפריל!G21+מאי!G21+יוני!G21+יולי!H21+אוגוסט!H21+ספטמבר!H21+אוקטובר!H21</f>
        <v>474182.59</v>
      </c>
      <c r="I21" s="172">
        <f t="shared" si="2"/>
        <v>-0.37426082175608455</v>
      </c>
      <c r="J21" s="86">
        <f t="shared" si="7"/>
        <v>-283613.31999999989</v>
      </c>
      <c r="L21" s="86">
        <f>ינואר!J21+פברואר!J21+מרץ!J21+אפריל!J21+מאי!J21+יוני!J21+יולי!M21+אוגוסט!M21+ספטמבר!M21+אוקטובר!M21</f>
        <v>833000</v>
      </c>
      <c r="M21" s="172">
        <f t="shared" si="3"/>
        <v>-0.43075319327731088</v>
      </c>
      <c r="N21" s="86">
        <f t="shared" si="8"/>
        <v>-358817.41</v>
      </c>
      <c r="P21" s="89">
        <f>_xlfn.XLOOKUP($A21,'תקציב  '!A:A,'תקציב  '!AU:AU)</f>
        <v>772081.02</v>
      </c>
      <c r="Q21" s="172">
        <f t="shared" si="4"/>
        <v>0.61416169769333273</v>
      </c>
      <c r="R21" s="89">
        <f t="shared" si="5"/>
        <v>-297898.43</v>
      </c>
    </row>
    <row r="22" spans="1:18" x14ac:dyDescent="0.2">
      <c r="A22" s="135">
        <v>21</v>
      </c>
      <c r="B22" s="89" t="s">
        <v>94</v>
      </c>
      <c r="C22" s="89" t="s">
        <v>80</v>
      </c>
      <c r="D22" s="89" t="s">
        <v>18</v>
      </c>
      <c r="E22" s="3" t="s">
        <v>19</v>
      </c>
      <c r="F22" s="86">
        <f>ינואר!E22+פברואר!E22+מרץ!E22+אפריל!E22+מאי!E22+יוני!E22+יולי!F22+אוגוסט!F22+ספטמבר!F22+אוקטובר!F22</f>
        <v>504940.7</v>
      </c>
      <c r="G22" s="86">
        <f>ינואר!F22+פברואר!F22+מרץ!F22+אפריל!F22+מאי!F22+יוני!F22+יולי!G22+אוגוסט!G22+ספטמבר!G22+אוקטובר!G22</f>
        <v>351867.51</v>
      </c>
      <c r="H22" s="86">
        <f>ינואר!G22+פברואר!G22+מרץ!G22+אפריל!G22+מאי!G22+יוני!G22+יולי!H22+אוגוסט!H22+ספטמבר!H22+אוקטובר!H22</f>
        <v>344263.09</v>
      </c>
      <c r="I22" s="172">
        <f t="shared" si="2"/>
        <v>-2.1611600343549697E-2</v>
      </c>
      <c r="J22" s="86">
        <f t="shared" si="7"/>
        <v>-7604.4199999999837</v>
      </c>
      <c r="L22" s="86">
        <f>ינואר!J22+פברואר!J22+מרץ!J22+אפריל!J22+מאי!J22+יוני!J22+יולי!M22+אוגוסט!M22+ספטמבר!M22+אוקטובר!M22</f>
        <v>450000.27</v>
      </c>
      <c r="M22" s="172">
        <f t="shared" si="3"/>
        <v>-0.23497137012828906</v>
      </c>
      <c r="N22" s="86">
        <f t="shared" si="8"/>
        <v>-105737.18</v>
      </c>
      <c r="P22" s="89">
        <f>_xlfn.XLOOKUP($A22,'תקציב  '!A:A,'תקציב  '!AU:AU)</f>
        <v>393276.52</v>
      </c>
      <c r="Q22" s="172">
        <f t="shared" si="4"/>
        <v>0.87537158333276543</v>
      </c>
      <c r="R22" s="89">
        <f t="shared" si="5"/>
        <v>-49013.429999999993</v>
      </c>
    </row>
    <row r="23" spans="1:18" x14ac:dyDescent="0.2">
      <c r="A23" s="135">
        <v>22</v>
      </c>
      <c r="B23" s="89" t="s">
        <v>95</v>
      </c>
      <c r="C23" s="89" t="s">
        <v>82</v>
      </c>
      <c r="D23" s="89" t="s">
        <v>14</v>
      </c>
      <c r="E23" s="3" t="s">
        <v>15</v>
      </c>
      <c r="F23" s="86">
        <f>ינואר!E23+פברואר!E23+מרץ!E23+אפריל!E23+מאי!E23+יוני!E23+יולי!F23+אוגוסט!F23+ספטמבר!F23+אוקטובר!F23</f>
        <v>409442.72</v>
      </c>
      <c r="G23" s="86">
        <f>ינואר!F23+פברואר!F23+מרץ!F23+אפריל!F23+מאי!F23+יוני!F23+יולי!G23+אוגוסט!G23+ספטמבר!G23+אוקטובר!G23</f>
        <v>330674.84999999998</v>
      </c>
      <c r="H23" s="86">
        <f>ינואר!G23+פברואר!G23+מרץ!G23+אפריל!G23+מאי!G23+יוני!G23+יולי!H23+אוגוסט!H23+ספטמבר!H23+אוקטובר!H23</f>
        <v>358276.36</v>
      </c>
      <c r="I23" s="172">
        <f t="shared" si="2"/>
        <v>8.3470242747520684E-2</v>
      </c>
      <c r="J23" s="86">
        <f t="shared" si="7"/>
        <v>27601.510000000009</v>
      </c>
      <c r="L23" s="86">
        <f>ינואר!J23+פברואר!J23+מרץ!J23+אפריל!J23+מאי!J23+יוני!J23+יולי!M23+אוגוסט!M23+ספטמבר!M23+אוקטובר!M23</f>
        <v>417158.97</v>
      </c>
      <c r="M23" s="172">
        <f t="shared" si="3"/>
        <v>-0.14115148956283974</v>
      </c>
      <c r="N23" s="86">
        <f t="shared" si="8"/>
        <v>-58882.609999999986</v>
      </c>
      <c r="P23" s="89">
        <f>_xlfn.XLOOKUP($A23,'תקציב  '!A:A,'תקציב  '!AU:AU)</f>
        <v>382053.13</v>
      </c>
      <c r="Q23" s="172">
        <f t="shared" si="4"/>
        <v>0.93776580236366602</v>
      </c>
      <c r="R23" s="89">
        <f t="shared" si="5"/>
        <v>-23776.770000000019</v>
      </c>
    </row>
    <row r="24" spans="1:18" x14ac:dyDescent="0.2">
      <c r="A24" s="135">
        <v>23</v>
      </c>
      <c r="B24" s="89" t="s">
        <v>96</v>
      </c>
      <c r="C24" s="89" t="s">
        <v>78</v>
      </c>
      <c r="D24" s="89" t="s">
        <v>24</v>
      </c>
      <c r="E24" s="3" t="s">
        <v>25</v>
      </c>
      <c r="F24" s="86">
        <f>ינואר!E24+פברואר!E24+מרץ!E24+אפריל!E24+מאי!E24+יוני!E24+יולי!F24+אוגוסט!F24+ספטמבר!F24+אוקטובר!F24</f>
        <v>110944.93</v>
      </c>
      <c r="G24" s="86">
        <f>ינואר!F24+פברואר!F24+מרץ!F24+אפריל!F24+מאי!F24+יוני!F24+יולי!G24+אוגוסט!G24+ספטמבר!G24+אוקטובר!G24</f>
        <v>106654.67</v>
      </c>
      <c r="H24" s="86">
        <f>ינואר!G24+פברואר!G24+מרץ!G24+אפריל!G24+מאי!G24+יוני!G24+יולי!H24+אוגוסט!H24+ספטמבר!H24+אוקטובר!H24</f>
        <v>111290.53</v>
      </c>
      <c r="I24" s="172">
        <f t="shared" si="2"/>
        <v>4.3466076075243665E-2</v>
      </c>
      <c r="J24" s="86">
        <f t="shared" si="7"/>
        <v>4635.8600000000006</v>
      </c>
      <c r="L24" s="86">
        <f>ינואר!J24+פברואר!J24+מרץ!J24+אפריל!J24+מאי!J24+יוני!J24+יולי!M24+אוגוסט!M24+ספטמבר!M24+אוקטובר!M24</f>
        <v>122999.92</v>
      </c>
      <c r="M24" s="172">
        <f t="shared" si="3"/>
        <v>-9.5198354600555812E-2</v>
      </c>
      <c r="N24" s="86">
        <f t="shared" si="8"/>
        <v>-11709.39</v>
      </c>
      <c r="P24" s="89">
        <f>_xlfn.XLOOKUP($A24,'תקציב  '!A:A,'תקציב  '!AU:AU)</f>
        <v>111678.59</v>
      </c>
      <c r="Q24" s="172">
        <f t="shared" si="4"/>
        <v>0.99652520684582424</v>
      </c>
      <c r="R24" s="89">
        <f t="shared" si="5"/>
        <v>-388.05999999999767</v>
      </c>
    </row>
    <row r="25" spans="1:18" x14ac:dyDescent="0.2">
      <c r="A25" s="135">
        <v>24</v>
      </c>
      <c r="B25" s="89" t="s">
        <v>97</v>
      </c>
      <c r="C25" s="89" t="s">
        <v>79</v>
      </c>
      <c r="D25" s="89" t="s">
        <v>27</v>
      </c>
      <c r="E25" s="3" t="s">
        <v>46</v>
      </c>
      <c r="F25" s="86">
        <f>ינואר!E25+פברואר!E25+מרץ!E25+אפריל!E25+מאי!E25+יוני!E25+יולי!F25+אוגוסט!F25+ספטמבר!F25+אוקטובר!F25</f>
        <v>116140.04999999999</v>
      </c>
      <c r="G25" s="86">
        <f>ינואר!F25+פברואר!F25+מרץ!F25+אפריל!F25+מאי!F25+יוני!F25+יולי!G25+אוגוסט!G25+ספטמבר!G25+אוקטובר!G25</f>
        <v>52899.82</v>
      </c>
      <c r="H25" s="86">
        <f>ינואר!G25+פברואר!G25+מרץ!G25+אפריל!G25+מאי!G25+יוני!G25+יולי!H25+אוגוסט!H25+ספטמבר!H25+אוקטובר!H25</f>
        <v>0</v>
      </c>
      <c r="I25" s="172">
        <f t="shared" si="2"/>
        <v>-1</v>
      </c>
      <c r="J25" s="86">
        <f t="shared" si="7"/>
        <v>-52899.82</v>
      </c>
      <c r="L25" s="86">
        <f>ינואר!J25+פברואר!J25+מרץ!J25+אפריל!J25+מאי!J25+יוני!J25+יולי!M25+אוגוסט!M25+ספטמבר!M25+אוקטובר!M25</f>
        <v>40000</v>
      </c>
      <c r="M25" s="172">
        <f t="shared" si="3"/>
        <v>-1</v>
      </c>
      <c r="N25" s="86">
        <f t="shared" si="8"/>
        <v>-40000</v>
      </c>
      <c r="P25" s="89">
        <f>_xlfn.XLOOKUP($A25,'תקציב  '!A:A,'תקציב  '!AU:AU)</f>
        <v>0</v>
      </c>
      <c r="Q25" s="172" t="str">
        <f t="shared" si="4"/>
        <v>-</v>
      </c>
      <c r="R25" s="89">
        <f t="shared" si="5"/>
        <v>0</v>
      </c>
    </row>
    <row r="26" spans="1:18" ht="13.5" customHeight="1" x14ac:dyDescent="0.2">
      <c r="A26" s="135">
        <v>25</v>
      </c>
      <c r="B26" s="89" t="s">
        <v>98</v>
      </c>
      <c r="C26" s="89" t="s">
        <v>87</v>
      </c>
      <c r="D26" s="89" t="s">
        <v>20</v>
      </c>
      <c r="E26" s="3" t="s">
        <v>21</v>
      </c>
      <c r="F26" s="86">
        <f>ינואר!E26+פברואר!E26+מרץ!E26+אפריל!E26+מאי!E26+יוני!E26+יולי!F26+אוגוסט!F26+ספטמבר!F26+אוקטובר!F26</f>
        <v>249206.12</v>
      </c>
      <c r="G26" s="86">
        <f>ינואר!F26+פברואר!F26+מרץ!F26+אפריל!F26+מאי!F26+יוני!F26+יולי!G26+אוגוסט!G26+ספטמבר!G26+אוקטובר!G26</f>
        <v>172805.93</v>
      </c>
      <c r="H26" s="86">
        <f>ינואר!G26+פברואר!G26+מרץ!G26+אפריל!G26+מאי!G26+יוני!G26+יולי!H26+אוגוסט!H26+ספטמבר!H26+אוקטובר!H26</f>
        <v>365555.25</v>
      </c>
      <c r="I26" s="172">
        <f t="shared" si="2"/>
        <v>1.115409176062419</v>
      </c>
      <c r="J26" s="86">
        <f t="shared" si="7"/>
        <v>192749.32</v>
      </c>
      <c r="L26" s="86">
        <f>ינואר!J26+פברואר!J26+מרץ!J26+אפריל!J26+מאי!J26+יוני!J26+יולי!M26+אוגוסט!M26+ספטמבר!M26+אוקטובר!M26</f>
        <v>300000</v>
      </c>
      <c r="M26" s="172">
        <f t="shared" si="3"/>
        <v>0.21851749999999992</v>
      </c>
      <c r="N26" s="86">
        <f t="shared" si="8"/>
        <v>65555.25</v>
      </c>
      <c r="P26" s="89">
        <f>_xlfn.XLOOKUP($A26,'תקציב  '!A:A,'תקציב  '!AU:AU)</f>
        <v>454147.47</v>
      </c>
      <c r="Q26" s="172">
        <f t="shared" si="4"/>
        <v>0.80492631611489551</v>
      </c>
      <c r="R26" s="89">
        <f t="shared" si="5"/>
        <v>-88592.219999999972</v>
      </c>
    </row>
    <row r="27" spans="1:18" x14ac:dyDescent="0.2">
      <c r="A27" s="135">
        <v>26</v>
      </c>
      <c r="B27" s="89" t="s">
        <v>99</v>
      </c>
      <c r="C27" s="89" t="s">
        <v>77</v>
      </c>
      <c r="D27" s="89" t="s">
        <v>26</v>
      </c>
      <c r="E27" s="3" t="s">
        <v>28</v>
      </c>
      <c r="F27" s="86">
        <f>ינואר!E27+פברואר!E27+מרץ!E27+אפריל!E27+מאי!E27+יוני!E27+יולי!F27+אוגוסט!F27+ספטמבר!F27+אוקטובר!F27</f>
        <v>162967.90999999997</v>
      </c>
      <c r="G27" s="86">
        <f>ינואר!F27+פברואר!F27+מרץ!F27+אפריל!F27+מאי!F27+יוני!F27+יולי!G27+אוגוסט!G27+ספטמבר!G27+אוקטובר!G27</f>
        <v>86855.65</v>
      </c>
      <c r="H27" s="86">
        <f>ינואר!G27+פברואר!G27+מרץ!G27+אפריל!G27+מאי!G27+יוני!G27+יולי!H27+אוגוסט!H27+ספטמבר!H27+אוקטובר!H27</f>
        <v>60694.009999999995</v>
      </c>
      <c r="I27" s="172">
        <f t="shared" si="2"/>
        <v>-0.30120826912238874</v>
      </c>
      <c r="J27" s="86">
        <f t="shared" si="7"/>
        <v>-26161.64</v>
      </c>
      <c r="L27" s="86">
        <f>ינואר!J27+פברואר!J27+מרץ!J27+אפריל!J27+מאי!J27+יוני!J27+יולי!M27+אוגוסט!M27+ספטמבר!M27+אוקטובר!M27</f>
        <v>160000</v>
      </c>
      <c r="M27" s="172">
        <f t="shared" si="3"/>
        <v>-0.62066243750000005</v>
      </c>
      <c r="N27" s="86">
        <f t="shared" si="8"/>
        <v>-99305.99</v>
      </c>
      <c r="P27" s="89">
        <f>_xlfn.XLOOKUP($A27,'תקציב  '!A:A,'תקציב  '!AU:AU)</f>
        <v>80694.009999999995</v>
      </c>
      <c r="Q27" s="172">
        <f t="shared" si="4"/>
        <v>0.75215012861549446</v>
      </c>
      <c r="R27" s="89">
        <f t="shared" si="5"/>
        <v>-20000</v>
      </c>
    </row>
    <row r="28" spans="1:18" ht="13.5" customHeight="1" x14ac:dyDescent="0.2">
      <c r="A28" s="135">
        <v>27</v>
      </c>
      <c r="B28" s="89" t="s">
        <v>100</v>
      </c>
      <c r="C28" s="89" t="s">
        <v>88</v>
      </c>
      <c r="D28" s="89" t="s">
        <v>22</v>
      </c>
      <c r="E28" s="3" t="s">
        <v>23</v>
      </c>
      <c r="F28" s="86">
        <f>ינואר!E28+פברואר!E28+מרץ!E28+אפריל!E28+מאי!E28+יוני!E28+יולי!F28+אוגוסט!F28+ספטמבר!F28+אוקטובר!F28</f>
        <v>171813.81000000003</v>
      </c>
      <c r="G28" s="86">
        <f>ינואר!F28+פברואר!F28+מרץ!F28+אפריל!F28+מאי!F28+יוני!F28+יולי!G28+אוגוסט!G28+ספטמבר!G28+אוקטובר!G28</f>
        <v>0.22</v>
      </c>
      <c r="H28" s="86">
        <f>ינואר!G28+פברואר!G28+מרץ!G28+אפריל!G28+מאי!G28+יוני!G28+יולי!H28+אוגוסט!H28+ספטמבר!H28+אוקטובר!H28</f>
        <v>0</v>
      </c>
      <c r="I28" s="172">
        <f t="shared" si="2"/>
        <v>-1</v>
      </c>
      <c r="J28" s="86">
        <f t="shared" si="7"/>
        <v>-0.22</v>
      </c>
      <c r="L28" s="86">
        <f>ינואר!J28+פברואר!J28+מרץ!J28+אפריל!J28+מאי!J28+יוני!J28+יולי!M28+אוגוסט!M28+ספטמבר!M28+אוקטובר!M28</f>
        <v>250000</v>
      </c>
      <c r="M28" s="172">
        <f t="shared" si="3"/>
        <v>-1</v>
      </c>
      <c r="N28" s="86">
        <f t="shared" si="8"/>
        <v>-250000</v>
      </c>
      <c r="P28" s="89">
        <f>_xlfn.XLOOKUP($A28,'תקציב  '!A:A,'תקציב  '!AU:AU)</f>
        <v>250000</v>
      </c>
      <c r="Q28" s="172">
        <f t="shared" si="4"/>
        <v>0</v>
      </c>
      <c r="R28" s="89">
        <f t="shared" si="5"/>
        <v>-250000</v>
      </c>
    </row>
    <row r="29" spans="1:18" ht="13.5" customHeight="1" x14ac:dyDescent="0.2">
      <c r="A29" s="135">
        <v>28</v>
      </c>
      <c r="B29" s="89" t="s">
        <v>101</v>
      </c>
      <c r="C29" s="89" t="s">
        <v>89</v>
      </c>
      <c r="D29" s="89" t="s">
        <v>16</v>
      </c>
      <c r="E29" s="3" t="s">
        <v>17</v>
      </c>
      <c r="F29" s="86">
        <f>ינואר!E29+פברואר!E29+מרץ!E29+אפריל!E29+מאי!E29+יוני!E29+יולי!F29+אוגוסט!F29+ספטמבר!F29+אוקטובר!F29</f>
        <v>286240.18</v>
      </c>
      <c r="G29" s="86">
        <f>ינואר!F29+פברואר!F29+מרץ!F29+אפריל!F29+מאי!F29+יוני!F29+יולי!G29+אוגוסט!G29+ספטמבר!G29+אוקטובר!G29</f>
        <v>335404.13</v>
      </c>
      <c r="H29" s="86">
        <f>ינואר!G29+פברואר!G29+מרץ!G29+אפריל!G29+מאי!G29+יוני!G29+יולי!H29+אוגוסט!H29+ספטמבר!H29+אוקטובר!H29</f>
        <v>300835.11</v>
      </c>
      <c r="I29" s="172">
        <f t="shared" si="2"/>
        <v>-0.10306676903471645</v>
      </c>
      <c r="J29" s="86">
        <f t="shared" si="7"/>
        <v>-34569.020000000019</v>
      </c>
      <c r="L29" s="86">
        <f>ינואר!J29+פברואר!J29+מרץ!J29+אפריל!J29+מאי!J29+יוני!J29+יולי!M29+אוגוסט!M29+ספטמבר!M29+אוקטובר!M29</f>
        <v>370469.848</v>
      </c>
      <c r="M29" s="172">
        <f t="shared" si="3"/>
        <v>-0.18796330761039426</v>
      </c>
      <c r="N29" s="86">
        <f t="shared" si="8"/>
        <v>-69634.738000000012</v>
      </c>
      <c r="P29" s="89">
        <f>_xlfn.XLOOKUP($A29,'תקציב  '!A:A,'תקציב  '!AU:AU)</f>
        <v>323207.08999999997</v>
      </c>
      <c r="Q29" s="172">
        <f t="shared" si="4"/>
        <v>0.93078128329424958</v>
      </c>
      <c r="R29" s="89">
        <f t="shared" si="5"/>
        <v>-22371.979999999981</v>
      </c>
    </row>
    <row r="30" spans="1:18" x14ac:dyDescent="0.2">
      <c r="A30" s="135">
        <v>29</v>
      </c>
      <c r="B30" s="89" t="s">
        <v>102</v>
      </c>
      <c r="C30" s="89" t="s">
        <v>81</v>
      </c>
      <c r="D30" s="89" t="s">
        <v>29</v>
      </c>
      <c r="E30" s="3" t="s">
        <v>30</v>
      </c>
      <c r="F30" s="86">
        <f>ינואר!E30+פברואר!E30+מרץ!E30+אפריל!E30+מאי!E30+יוני!E30+יולי!F30+אוגוסט!F30+ספטמבר!F30+אוקטובר!F30</f>
        <v>107690.85</v>
      </c>
      <c r="G30" s="86">
        <f>ינואר!F30+פברואר!F30+מרץ!F30+אפריל!F30+מאי!F30+יוני!F30+יולי!G30+אוגוסט!G30+ספטמבר!G30+אוקטובר!G30</f>
        <v>32010.18</v>
      </c>
      <c r="H30" s="86">
        <f>ינואר!G30+פברואר!G30+מרץ!G30+אפריל!G30+מאי!G30+יוני!G30+יולי!H30+אוגוסט!H30+ספטמבר!H30+אוקטובר!H30</f>
        <v>43116.44</v>
      </c>
      <c r="I30" s="172">
        <f t="shared" si="2"/>
        <v>0.34696024827101879</v>
      </c>
      <c r="J30" s="86">
        <f t="shared" si="7"/>
        <v>11106.260000000002</v>
      </c>
      <c r="L30" s="86">
        <f>ינואר!J30+פברואר!J30+מרץ!J30+אפריל!J30+מאי!J30+יוני!J30+יולי!M30+אוגוסט!M30+ספטמבר!M30+אוקטובר!M30</f>
        <v>70000</v>
      </c>
      <c r="M30" s="172">
        <f t="shared" si="3"/>
        <v>-0.38405085714285714</v>
      </c>
      <c r="N30" s="86">
        <f t="shared" si="8"/>
        <v>-26883.559999999998</v>
      </c>
      <c r="P30" s="89">
        <f>_xlfn.XLOOKUP($A30,'תקציב  '!A:A,'תקציב  '!AU:AU)</f>
        <v>73116.44</v>
      </c>
      <c r="Q30" s="172">
        <f t="shared" si="4"/>
        <v>0.58969555957593123</v>
      </c>
      <c r="R30" s="89">
        <f t="shared" si="5"/>
        <v>-30000</v>
      </c>
    </row>
    <row r="31" spans="1:18" x14ac:dyDescent="0.2">
      <c r="A31" s="135">
        <v>30</v>
      </c>
      <c r="B31" s="89" t="s">
        <v>103</v>
      </c>
      <c r="C31" s="89" t="s">
        <v>76</v>
      </c>
      <c r="D31" s="89" t="s">
        <v>34</v>
      </c>
      <c r="E31" s="3" t="s">
        <v>30</v>
      </c>
      <c r="F31" s="86">
        <f>ינואר!E31+פברואר!E31+מרץ!E31+אפריל!E31+מאי!E31+יוני!E31+יולי!F31+אוגוסט!F31+ספטמבר!F31+אוקטובר!F31</f>
        <v>41028.36</v>
      </c>
      <c r="G31" s="86">
        <f>ינואר!F31+פברואר!F31+מרץ!F31+אפריל!F31+מאי!F31+יוני!F31+יולי!G31+אוגוסט!G31+ספטמבר!G31+אוקטובר!G31</f>
        <v>60908.12</v>
      </c>
      <c r="H31" s="86">
        <f>ינואר!G31+פברואר!G31+מרץ!G31+אפריל!G31+מאי!G31+יוני!G31+יולי!H31+אוגוסט!H31+ספטמבר!H31+אוקטובר!H31</f>
        <v>39400.130000000005</v>
      </c>
      <c r="I31" s="172">
        <f t="shared" si="2"/>
        <v>-0.35312188259956134</v>
      </c>
      <c r="J31" s="86">
        <f t="shared" si="7"/>
        <v>-21507.989999999998</v>
      </c>
      <c r="L31" s="86">
        <f>ינואר!J31+פברואר!J31+מרץ!J31+אפריל!J31+מאי!J31+יוני!J31+יולי!M31+אוגוסט!M31+ספטמבר!M31+אוקטובר!M31</f>
        <v>40000</v>
      </c>
      <c r="M31" s="172">
        <f t="shared" si="3"/>
        <v>-1.4996749999999892E-2</v>
      </c>
      <c r="N31" s="86">
        <f t="shared" si="8"/>
        <v>-599.86999999999534</v>
      </c>
      <c r="P31" s="89">
        <f>_xlfn.XLOOKUP($A31,'תקציב  '!A:A,'תקציב  '!AU:AU)</f>
        <v>42809.5</v>
      </c>
      <c r="Q31" s="172">
        <f t="shared" si="4"/>
        <v>0.92035949964377073</v>
      </c>
      <c r="R31" s="89">
        <f t="shared" si="5"/>
        <v>-3409.3699999999953</v>
      </c>
    </row>
    <row r="32" spans="1:18" ht="13.5" customHeight="1" x14ac:dyDescent="0.2">
      <c r="A32" s="135">
        <v>31</v>
      </c>
      <c r="B32" s="89" t="s">
        <v>85</v>
      </c>
      <c r="C32" s="89" t="s">
        <v>85</v>
      </c>
      <c r="D32" s="89" t="s">
        <v>32</v>
      </c>
      <c r="E32" s="3" t="s">
        <v>33</v>
      </c>
      <c r="F32" s="86">
        <f>ינואר!E32+פברואר!E32+מרץ!E32+אפריל!E32+מאי!E32+יוני!E32+יולי!F32+אוגוסט!F32+ספטמבר!F32+אוקטובר!F32</f>
        <v>31722.98</v>
      </c>
      <c r="G32" s="86">
        <f>ינואר!F32+פברואר!F32+מרץ!F32+אפריל!F32+מאי!F32+יוני!F32+יולי!G32+אוגוסט!G32+ספטמבר!G32+אוקטובר!G32</f>
        <v>81786.570000000007</v>
      </c>
      <c r="H32" s="86">
        <f>ינואר!G32+פברואר!G32+מרץ!G32+אפריל!G32+מאי!G32+יוני!G32+יולי!H32+אוגוסט!H32+ספטמבר!H32+אוקטובר!H32</f>
        <v>10037.15</v>
      </c>
      <c r="I32" s="172">
        <f t="shared" si="2"/>
        <v>-0.87727630587760319</v>
      </c>
      <c r="J32" s="86">
        <f t="shared" si="7"/>
        <v>-71749.420000000013</v>
      </c>
      <c r="L32" s="86">
        <f>ינואר!J32+פברואר!J32+מרץ!J32+אפריל!J32+מאי!J32+יוני!J32+יולי!M32+אוגוסט!M32+ספטמבר!M32+אוקטובר!M32</f>
        <v>85000</v>
      </c>
      <c r="M32" s="172">
        <f t="shared" si="3"/>
        <v>-0.88191588235294116</v>
      </c>
      <c r="N32" s="86">
        <f t="shared" si="8"/>
        <v>-74962.850000000006</v>
      </c>
      <c r="P32" s="89">
        <f>_xlfn.XLOOKUP($A32,'תקציב  '!A:A,'תקציב  '!AU:AU)</f>
        <v>17500</v>
      </c>
      <c r="Q32" s="172">
        <f t="shared" si="4"/>
        <v>0.5735514285714286</v>
      </c>
      <c r="R32" s="89">
        <f t="shared" si="5"/>
        <v>-7462.85</v>
      </c>
    </row>
    <row r="33" spans="1:18" ht="13.5" customHeight="1" x14ac:dyDescent="0.2">
      <c r="A33" s="135"/>
      <c r="B33" s="89"/>
      <c r="C33" s="89"/>
      <c r="D33" s="89" t="s">
        <v>11</v>
      </c>
      <c r="E33" s="3" t="s">
        <v>12</v>
      </c>
      <c r="F33" s="86">
        <f>ינואר!E33+פברואר!E33+מרץ!E33+אפריל!E33+מאי!E33+יוני!E33+יולי!F33+אוגוסט!F33+ספטמבר!F33+אוקטובר!F33</f>
        <v>0</v>
      </c>
      <c r="G33" s="86">
        <f>ינואר!F33+פברואר!F33+מרץ!F33+אפריל!F33+מאי!F33+יוני!F33+יולי!G33+אוגוסט!G33+ספטמבר!G33+אוקטובר!G33</f>
        <v>0</v>
      </c>
      <c r="H33" s="86">
        <f>ינואר!G33+פברואר!G33+מרץ!G33+אפריל!G33+מאי!G33+יוני!G33+יולי!H33+אוגוסט!H33+ספטמבר!H33+אוקטובר!H33</f>
        <v>0</v>
      </c>
      <c r="I33" s="172" t="str">
        <f t="shared" si="2"/>
        <v/>
      </c>
      <c r="J33" s="86">
        <f t="shared" si="7"/>
        <v>0</v>
      </c>
      <c r="L33" s="86">
        <f>ינואר!J33+פברואר!J33+מרץ!J33+אפריל!J33+מאי!J33+יוני!J33+יולי!M33+אוגוסט!M33+ספטמבר!M33+אוקטובר!M33</f>
        <v>0</v>
      </c>
      <c r="M33" s="172" t="str">
        <f t="shared" si="3"/>
        <v/>
      </c>
      <c r="N33" s="86">
        <f t="shared" si="8"/>
        <v>0</v>
      </c>
      <c r="P33" s="89">
        <f>_xlfn.XLOOKUP($A33,'תקציב  '!A:A,'תקציב  '!AU:AU)</f>
        <v>0</v>
      </c>
      <c r="Q33" s="172" t="str">
        <f t="shared" si="4"/>
        <v>-</v>
      </c>
      <c r="R33" s="89">
        <f t="shared" si="5"/>
        <v>0</v>
      </c>
    </row>
    <row r="34" spans="1:18" ht="13.5" customHeight="1" x14ac:dyDescent="0.2">
      <c r="A34" s="135">
        <v>32</v>
      </c>
      <c r="B34" s="89" t="s">
        <v>104</v>
      </c>
      <c r="C34" s="89" t="s">
        <v>86</v>
      </c>
      <c r="D34" s="89" t="s">
        <v>31</v>
      </c>
      <c r="E34" s="3" t="s">
        <v>49</v>
      </c>
      <c r="F34" s="86">
        <f>ינואר!E34+פברואר!E34+מרץ!E34+אפריל!E34+מאי!E34+יוני!E34+יולי!F34+אוגוסט!F34+ספטמבר!F34+אוקטובר!F34</f>
        <v>35826.780000000006</v>
      </c>
      <c r="G34" s="86">
        <f>ינואר!F34+פברואר!F34+מרץ!F34+אפריל!F34+מאי!F34+יוני!F34+יולי!G34+אוגוסט!G34+ספטמבר!G34+אוקטובר!G34</f>
        <v>39713.57</v>
      </c>
      <c r="H34" s="86">
        <f>ינואר!G34+פברואר!G34+מרץ!G34+אפריל!G34+מאי!G34+יוני!G34+יולי!H34+אוגוסט!H34+ספטמבר!H34+אוקטובר!H34</f>
        <v>37142.71</v>
      </c>
      <c r="I34" s="172">
        <f t="shared" si="2"/>
        <v>-6.4735051520173115E-2</v>
      </c>
      <c r="J34" s="86">
        <f t="shared" si="7"/>
        <v>-2570.8600000000006</v>
      </c>
      <c r="L34" s="86">
        <f>ינואר!J34+פברואר!J34+מרץ!J34+אפריל!J34+מאי!J34+יוני!J34+יולי!M34+אוגוסט!M34+ספטמבר!M34+אוקטובר!M34</f>
        <v>40000</v>
      </c>
      <c r="M34" s="172">
        <f t="shared" si="3"/>
        <v>-7.1432249999999975E-2</v>
      </c>
      <c r="N34" s="86">
        <f t="shared" si="8"/>
        <v>-2857.2900000000009</v>
      </c>
      <c r="P34" s="89">
        <f>_xlfn.XLOOKUP($A34,'תקציב  '!A:A,'תקציב  '!AU:AU)</f>
        <v>38792.660000000003</v>
      </c>
      <c r="Q34" s="172">
        <f t="shared" si="4"/>
        <v>0.95746746936147187</v>
      </c>
      <c r="R34" s="89">
        <f t="shared" si="5"/>
        <v>-1649.9500000000044</v>
      </c>
    </row>
    <row r="35" spans="1:18" ht="13.5" customHeight="1" x14ac:dyDescent="0.2">
      <c r="A35" s="135">
        <v>33</v>
      </c>
      <c r="B35" s="89" t="s">
        <v>105</v>
      </c>
      <c r="C35" s="89" t="s">
        <v>83</v>
      </c>
      <c r="D35" s="89" t="s">
        <v>84</v>
      </c>
      <c r="E35" s="3" t="s">
        <v>48</v>
      </c>
      <c r="F35" s="86">
        <f>ינואר!E35+פברואר!E35+מרץ!E35+אפריל!E35+מאי!E35+יוני!E35+יולי!F35+אוגוסט!F35+ספטמבר!F35+אוקטובר!F35</f>
        <v>59175.03</v>
      </c>
      <c r="G35" s="86">
        <f>ינואר!F35+פברואר!F35+מרץ!F35+אפריל!F35+מאי!F35+יוני!F35+יולי!G35+אוגוסט!G35+ספטמבר!G35+אוקטובר!G35</f>
        <v>30531.53</v>
      </c>
      <c r="H35" s="86">
        <f>ינואר!G35+פברואר!G35+מרץ!G35+אפריל!G35+מאי!G35+יוני!G35+יולי!H35+אוגוסט!H35+ספטמבר!H35+אוקטובר!H35</f>
        <v>26105.72</v>
      </c>
      <c r="I35" s="172">
        <f t="shared" si="2"/>
        <v>-0.14495867059397283</v>
      </c>
      <c r="J35" s="86">
        <f t="shared" si="7"/>
        <v>-4425.8099999999977</v>
      </c>
      <c r="L35" s="86">
        <f>ינואר!J35+פברואר!J35+מרץ!J35+אפריל!J35+מאי!J35+יוני!J35+יולי!M35+אוגוסט!M35+ספטמבר!M35+אוקטובר!M35</f>
        <v>40000</v>
      </c>
      <c r="M35" s="172">
        <f t="shared" si="3"/>
        <v>-0.34735699999999992</v>
      </c>
      <c r="N35" s="86">
        <f t="shared" si="8"/>
        <v>-13894.279999999999</v>
      </c>
      <c r="P35" s="89">
        <f>_xlfn.XLOOKUP($A35,'תקציב  '!A:A,'תקציב  '!AU:AU)</f>
        <v>0</v>
      </c>
      <c r="Q35" s="172" t="str">
        <f t="shared" si="4"/>
        <v>-</v>
      </c>
      <c r="R35" s="89">
        <f t="shared" si="5"/>
        <v>26105.72</v>
      </c>
    </row>
    <row r="36" spans="1:18" x14ac:dyDescent="0.2">
      <c r="A36" s="135"/>
      <c r="B36" s="89" t="s">
        <v>107</v>
      </c>
      <c r="C36" s="89" t="s">
        <v>107</v>
      </c>
      <c r="D36" s="89" t="s">
        <v>37</v>
      </c>
      <c r="E36" s="3" t="s">
        <v>17</v>
      </c>
      <c r="F36" s="86">
        <f>ינואר!E36+פברואר!E36+מרץ!E36+אפריל!E36+מאי!E36+יוני!E36+יולי!F36+אוגוסט!F36+ספטמבר!F36+אוקטובר!F36</f>
        <v>41531.96</v>
      </c>
      <c r="G36" s="86">
        <f>ינואר!F36+פברואר!F36+מרץ!F36+אפריל!F36+מאי!F36+יוני!F36+יולי!G36+אוגוסט!G36+ספטמבר!G36+אוקטובר!G36</f>
        <v>0</v>
      </c>
      <c r="H36" s="86">
        <f>ינואר!G36+פברואר!G36+מרץ!G36+אפריל!G36+מאי!G36+יוני!G36+יולי!H36+אוגוסט!H36+ספטמבר!H36+אוקטובר!H36</f>
        <v>0</v>
      </c>
      <c r="I36" s="172" t="str">
        <f t="shared" si="2"/>
        <v/>
      </c>
      <c r="J36" s="86">
        <f t="shared" si="7"/>
        <v>0</v>
      </c>
      <c r="L36" s="86">
        <f>ינואר!J36+פברואר!J36+מרץ!J36+אפריל!J36+מאי!J36+יוני!J36+יולי!M36+אוגוסט!M36+ספטמבר!M36+אוקטובר!M36</f>
        <v>0</v>
      </c>
      <c r="M36" s="172" t="str">
        <f t="shared" si="3"/>
        <v/>
      </c>
      <c r="N36" s="86">
        <f t="shared" si="8"/>
        <v>0</v>
      </c>
      <c r="P36" s="89">
        <f>_xlfn.XLOOKUP($A36,'תקציב  '!A:A,'תקציב  '!AU:AU)</f>
        <v>0</v>
      </c>
      <c r="Q36" s="172" t="str">
        <f t="shared" si="4"/>
        <v>-</v>
      </c>
      <c r="R36" s="89">
        <f t="shared" si="5"/>
        <v>0</v>
      </c>
    </row>
    <row r="37" spans="1:18" x14ac:dyDescent="0.2">
      <c r="A37" s="135">
        <v>34</v>
      </c>
      <c r="B37" s="89" t="s">
        <v>108</v>
      </c>
      <c r="C37" s="89" t="s">
        <v>108</v>
      </c>
      <c r="D37" s="89" t="s">
        <v>35</v>
      </c>
      <c r="E37" s="3" t="s">
        <v>36</v>
      </c>
      <c r="F37" s="86">
        <f>ינואר!E37+פברואר!E37+מרץ!E37+אפריל!E37+מאי!E37+יוני!E37+יולי!F37+אוגוסט!F37+ספטמבר!F37+אוקטובר!F37</f>
        <v>22310.959999999999</v>
      </c>
      <c r="G37" s="86">
        <f>ינואר!F37+פברואר!F37+מרץ!F37+אפריל!F37+מאי!F37+יוני!F37+יולי!G37+אוגוסט!G37+ספטמבר!G37+אוקטובר!G37</f>
        <v>0</v>
      </c>
      <c r="H37" s="86">
        <f>ינואר!G37+פברואר!G37+מרץ!G37+אפריל!G37+מאי!G37+יוני!G37+יולי!H37+אוגוסט!H37+ספטמבר!H37+אוקטובר!H37</f>
        <v>0</v>
      </c>
      <c r="I37" s="172" t="str">
        <f t="shared" si="2"/>
        <v/>
      </c>
      <c r="J37" s="86">
        <f t="shared" si="7"/>
        <v>0</v>
      </c>
      <c r="L37" s="86">
        <f>ינואר!J37+פברואר!J37+מרץ!J37+אפריל!J37+מאי!J37+יוני!J37+יולי!M37+אוגוסט!M37+ספטמבר!M37+אוקטובר!M37</f>
        <v>0</v>
      </c>
      <c r="M37" s="172" t="str">
        <f t="shared" si="3"/>
        <v/>
      </c>
      <c r="N37" s="86">
        <f t="shared" si="8"/>
        <v>0</v>
      </c>
      <c r="P37" s="89">
        <f>_xlfn.XLOOKUP($A37,'תקציב  '!A:A,'תקציב  '!AU:AU)</f>
        <v>0</v>
      </c>
      <c r="Q37" s="172" t="str">
        <f t="shared" si="4"/>
        <v>-</v>
      </c>
      <c r="R37" s="89">
        <f t="shared" si="5"/>
        <v>0</v>
      </c>
    </row>
    <row r="38" spans="1:18" ht="13.5" customHeight="1" x14ac:dyDescent="0.2">
      <c r="A38" s="135">
        <v>35</v>
      </c>
      <c r="B38" s="89" t="s">
        <v>109</v>
      </c>
      <c r="C38" s="89" t="s">
        <v>109</v>
      </c>
      <c r="D38" s="89" t="s">
        <v>70</v>
      </c>
      <c r="E38" s="3" t="s">
        <v>38</v>
      </c>
      <c r="F38" s="86">
        <f>ינואר!E38+פברואר!E38+מרץ!E38+אפריל!E38+מאי!E38+יוני!E38+יולי!F38+אוגוסט!F38+ספטמבר!F38+אוקטובר!F38</f>
        <v>-1.37</v>
      </c>
      <c r="G38" s="86">
        <f>ינואר!F38+פברואר!F38+מרץ!F38+אפריל!F38+מאי!F38+יוני!F38+יולי!G38+אוגוסט!G38+ספטמבר!G38+אוקטובר!G38</f>
        <v>248.59</v>
      </c>
      <c r="H38" s="86">
        <f>ינואר!G38+פברואר!G38+מרץ!G38+אפריל!G38+מאי!G38+יוני!G38+יולי!H38+אוגוסט!H38+ספטמבר!H38+אוקטובר!H38</f>
        <v>0</v>
      </c>
      <c r="I38" s="172">
        <f t="shared" si="2"/>
        <v>-1</v>
      </c>
      <c r="J38" s="86">
        <f t="shared" si="7"/>
        <v>-248.59</v>
      </c>
      <c r="L38" s="86">
        <f>ינואר!J38+פברואר!J38+מרץ!J38+אפריל!J38+מאי!J38+יוני!J38+יולי!M38+אוגוסט!M38+ספטמבר!M38+אוקטובר!M38</f>
        <v>400000</v>
      </c>
      <c r="M38" s="172">
        <f t="shared" si="3"/>
        <v>-1</v>
      </c>
      <c r="N38" s="86">
        <f t="shared" si="8"/>
        <v>-400000</v>
      </c>
      <c r="P38" s="89">
        <f>_xlfn.XLOOKUP($A38,'תקציב  '!A:A,'תקציב  '!AU:AU)</f>
        <v>0</v>
      </c>
      <c r="Q38" s="172" t="str">
        <f t="shared" si="4"/>
        <v>-</v>
      </c>
      <c r="R38" s="89">
        <f t="shared" si="5"/>
        <v>0</v>
      </c>
    </row>
    <row r="39" spans="1:18" ht="13.5" customHeight="1" x14ac:dyDescent="0.2">
      <c r="A39" s="135">
        <v>36</v>
      </c>
      <c r="B39" s="89"/>
      <c r="C39" s="89" t="s">
        <v>91</v>
      </c>
      <c r="D39" s="89" t="s">
        <v>91</v>
      </c>
      <c r="E39" s="3"/>
      <c r="F39" s="86">
        <f>ינואר!E39+פברואר!E39+מרץ!E39+אפריל!E39+מאי!E39+יוני!E39+יולי!F39+אוגוסט!F39+ספטמבר!F39+אוקטובר!F39</f>
        <v>0</v>
      </c>
      <c r="G39" s="86">
        <f>ינואר!F39+פברואר!F39+מרץ!F39+אפריל!F39+מאי!F39+יוני!F39+יולי!G39+אוגוסט!G39+ספטמבר!G39+אוקטובר!G39</f>
        <v>0</v>
      </c>
      <c r="H39" s="86">
        <f>ינואר!G39+פברואר!G39+מרץ!G39+אפריל!G39+מאי!G39+יוני!G39+יולי!H39+אוגוסט!H39+ספטמבר!H39+אוקטובר!H39</f>
        <v>0</v>
      </c>
      <c r="I39" s="172" t="str">
        <f t="shared" si="2"/>
        <v/>
      </c>
      <c r="J39" s="86">
        <f t="shared" si="7"/>
        <v>0</v>
      </c>
      <c r="L39" s="86">
        <f>ינואר!J39+פברואר!J39+מרץ!J39+אפריל!J39+מאי!J39+יוני!J39+יולי!M39+אוגוסט!M39+ספטמבר!M39+אוקטובר!M39</f>
        <v>200000</v>
      </c>
      <c r="M39" s="172">
        <f t="shared" si="3"/>
        <v>-1</v>
      </c>
      <c r="N39" s="86">
        <f t="shared" si="8"/>
        <v>-200000</v>
      </c>
      <c r="P39" s="89">
        <f>_xlfn.XLOOKUP($A39,'תקציב  '!A:A,'תקציב  '!AU:AU)</f>
        <v>100000</v>
      </c>
      <c r="Q39" s="172">
        <f t="shared" si="4"/>
        <v>0</v>
      </c>
      <c r="R39" s="89">
        <f t="shared" si="5"/>
        <v>-100000</v>
      </c>
    </row>
    <row r="40" spans="1:18" ht="15" x14ac:dyDescent="0.25">
      <c r="A40" s="135"/>
      <c r="B40" s="157"/>
      <c r="C40" s="157" t="s">
        <v>42</v>
      </c>
      <c r="D40" s="157" t="s">
        <v>42</v>
      </c>
      <c r="E40" s="157"/>
      <c r="F40" s="157">
        <f>SUM(F20:F39)</f>
        <v>6233942.2199999997</v>
      </c>
      <c r="G40" s="157">
        <f>SUM(G20:G39)</f>
        <v>4692163.9700000007</v>
      </c>
      <c r="H40" s="157">
        <f>SUM(H20:H39)</f>
        <v>4050561.8299999991</v>
      </c>
      <c r="I40" s="97">
        <f t="shared" si="2"/>
        <v>-0.13673907052314749</v>
      </c>
      <c r="J40" s="157">
        <f>SUM(J20:J39)</f>
        <v>-641602.14</v>
      </c>
      <c r="L40" s="157">
        <f>SUM(L20:L39)</f>
        <v>7794490.7529374994</v>
      </c>
      <c r="M40" s="97">
        <f t="shared" si="3"/>
        <v>-0.48033015133497092</v>
      </c>
      <c r="N40" s="157">
        <f>SUM(N20:N39)</f>
        <v>-3743928.9229375003</v>
      </c>
      <c r="P40" s="157">
        <f>SUM(P20:P39)</f>
        <v>5513697.4399999995</v>
      </c>
      <c r="Q40" s="97">
        <f t="shared" si="4"/>
        <v>0.73463621718060745</v>
      </c>
      <c r="R40" s="157">
        <f t="shared" si="6"/>
        <v>-5513697.4399999995</v>
      </c>
    </row>
    <row r="41" spans="1:18" ht="15" x14ac:dyDescent="0.25">
      <c r="A41" s="135"/>
      <c r="B41" s="159"/>
      <c r="C41" s="159" t="s">
        <v>69</v>
      </c>
      <c r="D41" s="159" t="s">
        <v>69</v>
      </c>
      <c r="E41" s="159"/>
      <c r="F41" s="159">
        <f>F40+F19</f>
        <v>20558303.605</v>
      </c>
      <c r="G41" s="159">
        <f>G40+G19</f>
        <v>19557864.362000041</v>
      </c>
      <c r="H41" s="159">
        <f>H40+H19</f>
        <v>19243216.60100003</v>
      </c>
      <c r="I41" s="50">
        <f t="shared" si="2"/>
        <v>-1.6088042905714972E-2</v>
      </c>
      <c r="J41" s="159">
        <f>J40+J19</f>
        <v>-314647.76100000617</v>
      </c>
      <c r="L41" s="159">
        <f>L40+L19</f>
        <v>32484578.680338629</v>
      </c>
      <c r="M41" s="50">
        <f t="shared" si="3"/>
        <v>-0.40761994205431906</v>
      </c>
      <c r="N41" s="159">
        <f>N40+N19</f>
        <v>-13241362.079338603</v>
      </c>
      <c r="P41" s="159">
        <f>P40+P19</f>
        <v>25052449.334118679</v>
      </c>
      <c r="Q41" s="50">
        <f t="shared" si="4"/>
        <v>0.76811717466654594</v>
      </c>
      <c r="R41" s="159">
        <f t="shared" si="6"/>
        <v>-25052449.334118679</v>
      </c>
    </row>
    <row r="42" spans="1:18" ht="15" x14ac:dyDescent="0.25">
      <c r="B42" s="177"/>
      <c r="C42" s="177" t="s">
        <v>43</v>
      </c>
      <c r="D42" s="177" t="s">
        <v>43</v>
      </c>
      <c r="E42" s="178"/>
      <c r="F42" s="179">
        <f>F40/F41</f>
        <v>0.30323232596311295</v>
      </c>
      <c r="G42" s="179">
        <f>G40/G41</f>
        <v>0.23991187806357028</v>
      </c>
      <c r="H42" s="179">
        <f>H40/H41</f>
        <v>0.2104929707951996</v>
      </c>
      <c r="I42" s="179">
        <f t="shared" si="2"/>
        <v>-0.12262380464786926</v>
      </c>
      <c r="J42" s="179"/>
      <c r="L42" s="179">
        <f>L40-ינואר!J40-פברואר!J40-מרץ!J40-אפריל!J40-מאי!J40-יוני!J40-יולי!M40-אוגוסט!M40-ספטמבר!M40-אוקטובר!M40</f>
        <v>0</v>
      </c>
      <c r="M42" s="179" t="str">
        <f t="shared" si="3"/>
        <v/>
      </c>
      <c r="N42" s="179"/>
      <c r="P42" s="192"/>
      <c r="Q42" s="179" t="str">
        <f t="shared" si="4"/>
        <v>-</v>
      </c>
      <c r="R42" s="192"/>
    </row>
    <row r="43" spans="1:18" x14ac:dyDescent="0.2">
      <c r="F43">
        <f>F41-ינואר!E41-פברואר!E41-מרץ!E41-אפריל!E41-מאי!E41-יוני!E41-יולי!F41-אוגוסט!F41-ספטמבר!F41-אוקטובר!F41</f>
        <v>0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F2A8-EFFE-4019-881C-CF2EAF5EFF09}">
  <dimension ref="A1:X43"/>
  <sheetViews>
    <sheetView showGridLines="0" rightToLeft="1" zoomScale="85" zoomScaleNormal="85" workbookViewId="0">
      <pane xSplit="5" ySplit="2" topLeftCell="F3" activePane="bottomRight" state="frozen"/>
      <selection activeCell="J13" sqref="J13"/>
      <selection pane="topRight" activeCell="J13" sqref="J13"/>
      <selection pane="bottomLeft" activeCell="J13" sqref="J13"/>
      <selection pane="bottomRight" activeCell="Q1" sqref="Q1:X1048576"/>
    </sheetView>
  </sheetViews>
  <sheetFormatPr defaultRowHeight="14.25" x14ac:dyDescent="0.2"/>
  <cols>
    <col min="1" max="1" width="2.875" bestFit="1" customWidth="1"/>
    <col min="2" max="3" width="26" style="100" hidden="1" customWidth="1"/>
    <col min="4" max="4" width="26" style="100" customWidth="1"/>
    <col min="5" max="5" width="12.25" style="100" bestFit="1" customWidth="1"/>
    <col min="6" max="8" width="9.875" bestFit="1" customWidth="1"/>
    <col min="9" max="9" width="6.875" bestFit="1" customWidth="1"/>
    <col min="10" max="11" width="11.875" bestFit="1" customWidth="1"/>
    <col min="13" max="13" width="10.625" bestFit="1" customWidth="1"/>
    <col min="14" max="14" width="11" bestFit="1" customWidth="1"/>
    <col min="15" max="15" width="10.5" bestFit="1" customWidth="1"/>
    <col min="17" max="17" width="9.875" bestFit="1" customWidth="1"/>
    <col min="18" max="20" width="11.875" bestFit="1" customWidth="1"/>
    <col min="22" max="22" width="9.875" bestFit="1" customWidth="1"/>
    <col min="23" max="23" width="10.5" bestFit="1" customWidth="1"/>
    <col min="24" max="24" width="9" style="102"/>
  </cols>
  <sheetData>
    <row r="1" spans="1:24" ht="15.75" x14ac:dyDescent="0.25">
      <c r="B1" s="160"/>
      <c r="C1" s="160" t="s">
        <v>169</v>
      </c>
      <c r="D1" s="160" t="s">
        <v>169</v>
      </c>
      <c r="E1" s="160"/>
      <c r="F1" s="34"/>
      <c r="G1" s="34"/>
      <c r="H1" s="34"/>
      <c r="I1" s="34"/>
      <c r="J1" s="34"/>
      <c r="K1" s="34"/>
      <c r="M1" s="34"/>
      <c r="N1" s="34"/>
      <c r="O1" s="34"/>
      <c r="Q1" s="34"/>
      <c r="R1" s="34"/>
      <c r="S1" s="34"/>
      <c r="T1" s="34"/>
      <c r="V1" s="34"/>
    </row>
    <row r="2" spans="1:24" ht="15" x14ac:dyDescent="0.25">
      <c r="A2" s="133" t="s">
        <v>228</v>
      </c>
      <c r="B2" s="14"/>
      <c r="C2" s="14"/>
      <c r="D2" s="14"/>
      <c r="E2" s="146" t="s">
        <v>10</v>
      </c>
      <c r="F2" s="146">
        <v>11.202400000000001</v>
      </c>
      <c r="G2" s="146">
        <v>11.202500000000001</v>
      </c>
      <c r="H2" s="146">
        <v>11.2026</v>
      </c>
      <c r="I2" s="147" t="s">
        <v>225</v>
      </c>
      <c r="J2" s="147" t="s">
        <v>191</v>
      </c>
      <c r="K2" s="146" t="s">
        <v>192</v>
      </c>
      <c r="M2" s="146" t="s">
        <v>67</v>
      </c>
      <c r="N2" s="147" t="s">
        <v>68</v>
      </c>
      <c r="O2" s="146" t="s">
        <v>71</v>
      </c>
      <c r="Q2" s="148" t="s">
        <v>229</v>
      </c>
      <c r="R2" s="147" t="s">
        <v>231</v>
      </c>
      <c r="S2" s="147" t="s">
        <v>223</v>
      </c>
      <c r="T2" s="146" t="s">
        <v>232</v>
      </c>
      <c r="U2" s="90"/>
      <c r="V2" s="149">
        <v>11.2026</v>
      </c>
      <c r="W2" s="90"/>
    </row>
    <row r="3" spans="1:24" x14ac:dyDescent="0.2">
      <c r="A3" s="140">
        <v>5</v>
      </c>
      <c r="B3" s="142" t="s">
        <v>115</v>
      </c>
      <c r="C3" s="142" t="s">
        <v>1</v>
      </c>
      <c r="D3" s="142" t="s">
        <v>1</v>
      </c>
      <c r="E3" s="142" t="s">
        <v>40</v>
      </c>
      <c r="F3" s="86">
        <f>VLOOKUP(B3,'2024'!$A:$O,12,0)</f>
        <v>183470.34</v>
      </c>
      <c r="G3" s="86">
        <f>VLOOKUP($B3,'2025'!$A:$O,12,0)</f>
        <v>265660.90000000002</v>
      </c>
      <c r="H3" s="86"/>
      <c r="I3" s="125" t="str">
        <f>IFERROR(H3/$H$19,"")</f>
        <v/>
      </c>
      <c r="J3" s="125">
        <f>IFERROR(H3/G3-1,"")</f>
        <v>-1</v>
      </c>
      <c r="K3" s="86">
        <f t="shared" ref="K3:K15" si="0">H3-G3</f>
        <v>-265660.90000000002</v>
      </c>
      <c r="M3" s="86">
        <f>VLOOKUP(C3,'תקציב  '!$B:$S,14,0)*1</f>
        <v>235079.36507936506</v>
      </c>
      <c r="N3" s="125">
        <f>IFERROR(H3/M3-1,"")</f>
        <v>-1</v>
      </c>
      <c r="O3" s="86">
        <f t="shared" ref="O3:O15" si="1">H3-M3</f>
        <v>-235079.36507936506</v>
      </c>
      <c r="Q3" s="89">
        <f>_xlfn.XLOOKUP(A3,'תקציב  '!A:A,'תקציב  '!AM:AM)</f>
        <v>200000</v>
      </c>
      <c r="R3" s="125">
        <f>IFERROR(H3/Q3-1,"-")</f>
        <v>-1</v>
      </c>
      <c r="S3" s="125">
        <f>IFERROR(H3/Q3,"-")</f>
        <v>0</v>
      </c>
      <c r="T3" s="86">
        <f>H3-Q3</f>
        <v>-200000</v>
      </c>
      <c r="V3" s="86"/>
      <c r="W3" s="7">
        <f>H3-V3</f>
        <v>0</v>
      </c>
      <c r="X3" s="101" t="str">
        <f t="shared" ref="X3:X41" si="2">IFERROR((G3/V3)-1,"-")</f>
        <v>-</v>
      </c>
    </row>
    <row r="4" spans="1:24" x14ac:dyDescent="0.2">
      <c r="A4" s="134">
        <v>1</v>
      </c>
      <c r="B4" s="142" t="s">
        <v>0</v>
      </c>
      <c r="C4" s="142" t="s">
        <v>0</v>
      </c>
      <c r="D4" s="142" t="s">
        <v>0</v>
      </c>
      <c r="E4" s="142" t="s">
        <v>40</v>
      </c>
      <c r="F4" s="86">
        <f>VLOOKUP(C4,'2024'!$A:$O,12,0)</f>
        <v>399305.08799999999</v>
      </c>
      <c r="G4" s="86">
        <f>VLOOKUP($B4,'2025'!$A:$O,12,0)</f>
        <v>507426.01</v>
      </c>
      <c r="H4" s="86"/>
      <c r="I4" s="125" t="str">
        <f t="shared" ref="I4:I42" si="3">IFERROR(H4/$H$19,"")</f>
        <v/>
      </c>
      <c r="J4" s="125">
        <f t="shared" ref="J4:J42" si="4">IFERROR(H4/G4-1,"")</f>
        <v>-1</v>
      </c>
      <c r="K4" s="86">
        <f t="shared" si="0"/>
        <v>-507426.01</v>
      </c>
      <c r="M4" s="86">
        <f>VLOOKUP(C4,'תקציב  '!$B:$S,14,0)*1</f>
        <v>574698.41269841266</v>
      </c>
      <c r="N4" s="125">
        <f t="shared" ref="N4:N42" si="5">IFERROR(H4/M4-1,"")</f>
        <v>-1</v>
      </c>
      <c r="O4" s="86">
        <f t="shared" si="1"/>
        <v>-574698.41269841266</v>
      </c>
      <c r="Q4" s="89">
        <f>_xlfn.XLOOKUP(A4,'תקציב  '!A:A,'תקציב  '!AM:AM)</f>
        <v>550000</v>
      </c>
      <c r="R4" s="125">
        <f t="shared" ref="R4:R41" si="6">IFERROR(H4/Q4-1,"-")</f>
        <v>-1</v>
      </c>
      <c r="S4" s="125">
        <f t="shared" ref="S4:S41" si="7">IFERROR(H4/Q4,"-")</f>
        <v>0</v>
      </c>
      <c r="T4" s="86">
        <f t="shared" ref="T4:T41" si="8">H4-Q4</f>
        <v>-550000</v>
      </c>
      <c r="V4" s="86"/>
      <c r="W4" s="7">
        <f t="shared" ref="W4:W42" si="9">H4-V4</f>
        <v>0</v>
      </c>
      <c r="X4" s="101" t="str">
        <f t="shared" si="2"/>
        <v>-</v>
      </c>
    </row>
    <row r="5" spans="1:24" x14ac:dyDescent="0.2">
      <c r="A5" s="134">
        <v>7</v>
      </c>
      <c r="B5" s="142" t="s">
        <v>44</v>
      </c>
      <c r="C5" s="142" t="s">
        <v>44</v>
      </c>
      <c r="D5" s="142" t="s">
        <v>44</v>
      </c>
      <c r="E5" s="142" t="s">
        <v>40</v>
      </c>
      <c r="F5" s="86">
        <f>VLOOKUP(C5,'2024'!$A:$O,12,0)</f>
        <v>78931.670999999988</v>
      </c>
      <c r="G5" s="86">
        <f>VLOOKUP($B5,'2025'!$A:$O,12,0)</f>
        <v>85930.39</v>
      </c>
      <c r="H5" s="86"/>
      <c r="I5" s="125" t="str">
        <f t="shared" si="3"/>
        <v/>
      </c>
      <c r="J5" s="125">
        <f t="shared" si="4"/>
        <v>-1</v>
      </c>
      <c r="K5" s="86">
        <f t="shared" si="0"/>
        <v>-85930.39</v>
      </c>
      <c r="M5" s="86">
        <f>VLOOKUP(C5,'תקציב  '!$B:$S,14,0)*1</f>
        <v>78571.428571428565</v>
      </c>
      <c r="N5" s="125">
        <f t="shared" si="5"/>
        <v>-1</v>
      </c>
      <c r="O5" s="86">
        <f t="shared" si="1"/>
        <v>-78571.428571428565</v>
      </c>
      <c r="Q5" s="89">
        <f>_xlfn.XLOOKUP(A5,'תקציב  '!A:A,'תקציב  '!AM:AM)</f>
        <v>100000</v>
      </c>
      <c r="R5" s="125">
        <f t="shared" si="6"/>
        <v>-1</v>
      </c>
      <c r="S5" s="125">
        <f t="shared" si="7"/>
        <v>0</v>
      </c>
      <c r="T5" s="86">
        <f t="shared" si="8"/>
        <v>-100000</v>
      </c>
      <c r="V5" s="86"/>
      <c r="W5" s="7">
        <f t="shared" si="9"/>
        <v>0</v>
      </c>
      <c r="X5" s="101" t="str">
        <f t="shared" si="2"/>
        <v>-</v>
      </c>
    </row>
    <row r="6" spans="1:24" x14ac:dyDescent="0.2">
      <c r="A6" s="134">
        <v>4</v>
      </c>
      <c r="B6" s="142" t="s">
        <v>3</v>
      </c>
      <c r="C6" s="142" t="s">
        <v>3</v>
      </c>
      <c r="D6" s="142" t="s">
        <v>3</v>
      </c>
      <c r="E6" s="142" t="s">
        <v>40</v>
      </c>
      <c r="F6" s="86">
        <f>VLOOKUP(C6,'2024'!$A:$O,12,0)</f>
        <v>144720.94399999999</v>
      </c>
      <c r="G6" s="86">
        <f>VLOOKUP($B6,'2025'!$A:$O,12,0)</f>
        <v>167763.04999999993</v>
      </c>
      <c r="H6" s="86"/>
      <c r="I6" s="125" t="str">
        <f t="shared" si="3"/>
        <v/>
      </c>
      <c r="J6" s="125">
        <f t="shared" si="4"/>
        <v>-1</v>
      </c>
      <c r="K6" s="86">
        <f t="shared" si="0"/>
        <v>-167763.04999999993</v>
      </c>
      <c r="M6" s="86">
        <f>VLOOKUP(B6,'תקציב  '!$B:$S,14,0)*1</f>
        <v>170873.01587301589</v>
      </c>
      <c r="N6" s="125">
        <f t="shared" si="5"/>
        <v>-1</v>
      </c>
      <c r="O6" s="86">
        <f t="shared" si="1"/>
        <v>-170873.01587301589</v>
      </c>
      <c r="Q6" s="89">
        <f>_xlfn.XLOOKUP(A6,'תקציב  '!A:A,'תקציב  '!AM:AM)</f>
        <v>200000</v>
      </c>
      <c r="R6" s="125">
        <f t="shared" si="6"/>
        <v>-1</v>
      </c>
      <c r="S6" s="125">
        <f t="shared" si="7"/>
        <v>0</v>
      </c>
      <c r="T6" s="86">
        <f t="shared" si="8"/>
        <v>-200000</v>
      </c>
      <c r="V6" s="86"/>
      <c r="W6" s="7">
        <f t="shared" si="9"/>
        <v>0</v>
      </c>
      <c r="X6" s="101" t="str">
        <f t="shared" si="2"/>
        <v>-</v>
      </c>
    </row>
    <row r="7" spans="1:24" x14ac:dyDescent="0.2">
      <c r="A7" s="134">
        <v>3</v>
      </c>
      <c r="B7" s="142" t="s">
        <v>112</v>
      </c>
      <c r="C7" s="142" t="s">
        <v>2</v>
      </c>
      <c r="D7" s="142" t="s">
        <v>2</v>
      </c>
      <c r="E7" s="142" t="s">
        <v>40</v>
      </c>
      <c r="F7" s="86">
        <f>VLOOKUP(B7,'2024'!$A:$O,12,0)</f>
        <v>319604.5</v>
      </c>
      <c r="G7" s="86">
        <f>VLOOKUP($B7,'2025'!$A:$O,12,0)</f>
        <v>308121.37</v>
      </c>
      <c r="H7" s="86"/>
      <c r="I7" s="125" t="str">
        <f t="shared" si="3"/>
        <v/>
      </c>
      <c r="J7" s="125">
        <f t="shared" si="4"/>
        <v>-1</v>
      </c>
      <c r="K7" s="86">
        <f t="shared" si="0"/>
        <v>-308121.37</v>
      </c>
      <c r="M7" s="86">
        <f>VLOOKUP(C7,'תקציב  '!$B:$S,14,0)*1</f>
        <v>365000</v>
      </c>
      <c r="N7" s="125">
        <f t="shared" si="5"/>
        <v>-1</v>
      </c>
      <c r="O7" s="86">
        <f t="shared" si="1"/>
        <v>-365000</v>
      </c>
      <c r="Q7" s="89">
        <f>_xlfn.XLOOKUP(A7,'תקציב  '!A:A,'תקציב  '!AM:AM)</f>
        <v>330000</v>
      </c>
      <c r="R7" s="125">
        <f t="shared" si="6"/>
        <v>-1</v>
      </c>
      <c r="S7" s="125">
        <f t="shared" si="7"/>
        <v>0</v>
      </c>
      <c r="T7" s="86">
        <f t="shared" si="8"/>
        <v>-330000</v>
      </c>
      <c r="V7" s="86"/>
      <c r="W7" s="7">
        <f t="shared" si="9"/>
        <v>0</v>
      </c>
      <c r="X7" s="101" t="str">
        <f t="shared" si="2"/>
        <v>-</v>
      </c>
    </row>
    <row r="8" spans="1:24" x14ac:dyDescent="0.2">
      <c r="A8" s="134">
        <v>8</v>
      </c>
      <c r="B8" s="142" t="s">
        <v>113</v>
      </c>
      <c r="C8" s="142" t="s">
        <v>5</v>
      </c>
      <c r="D8" s="142" t="s">
        <v>5</v>
      </c>
      <c r="E8" s="142" t="s">
        <v>40</v>
      </c>
      <c r="F8" s="86">
        <f>VLOOKUP(B8,'2024'!$A:$O,12,0)</f>
        <v>57000.57</v>
      </c>
      <c r="G8" s="86">
        <f>VLOOKUP($B8,'2025'!$A:$O,12,0)</f>
        <v>68004.570000000007</v>
      </c>
      <c r="H8" s="86"/>
      <c r="I8" s="125" t="str">
        <f t="shared" si="3"/>
        <v/>
      </c>
      <c r="J8" s="125">
        <f t="shared" si="4"/>
        <v>-1</v>
      </c>
      <c r="K8" s="86">
        <f t="shared" si="0"/>
        <v>-68004.570000000007</v>
      </c>
      <c r="M8" s="86">
        <f>VLOOKUP(C8,'תקציב  '!$B:$S,14,0)*1</f>
        <v>107301.58730158729</v>
      </c>
      <c r="N8" s="125">
        <f t="shared" si="5"/>
        <v>-1</v>
      </c>
      <c r="O8" s="86">
        <f t="shared" si="1"/>
        <v>-107301.58730158729</v>
      </c>
      <c r="Q8" s="89">
        <f>_xlfn.XLOOKUP(A8,'תקציב  '!A:A,'תקציב  '!AM:AM)</f>
        <v>100000</v>
      </c>
      <c r="R8" s="125">
        <f t="shared" si="6"/>
        <v>-1</v>
      </c>
      <c r="S8" s="125">
        <f t="shared" si="7"/>
        <v>0</v>
      </c>
      <c r="T8" s="86">
        <f t="shared" si="8"/>
        <v>-100000</v>
      </c>
      <c r="V8" s="86"/>
      <c r="W8" s="7">
        <f t="shared" si="9"/>
        <v>0</v>
      </c>
      <c r="X8" s="101" t="str">
        <f t="shared" si="2"/>
        <v>-</v>
      </c>
    </row>
    <row r="9" spans="1:24" x14ac:dyDescent="0.2">
      <c r="A9" s="134">
        <v>6</v>
      </c>
      <c r="B9" s="142" t="s">
        <v>121</v>
      </c>
      <c r="C9" s="142" t="s">
        <v>4</v>
      </c>
      <c r="D9" s="142" t="s">
        <v>4</v>
      </c>
      <c r="E9" s="142" t="s">
        <v>40</v>
      </c>
      <c r="F9" s="86">
        <f>VLOOKUP(B9,'2024'!$A:$O,12,0)</f>
        <v>62213.38</v>
      </c>
      <c r="G9" s="86">
        <f>VLOOKUP($B9,'2025'!$A:$O,12,0)</f>
        <v>96453.829999999987</v>
      </c>
      <c r="H9" s="86"/>
      <c r="I9" s="125" t="str">
        <f t="shared" si="3"/>
        <v/>
      </c>
      <c r="J9" s="125">
        <f t="shared" si="4"/>
        <v>-1</v>
      </c>
      <c r="K9" s="86">
        <f t="shared" si="0"/>
        <v>-96453.829999999987</v>
      </c>
      <c r="M9" s="86">
        <f>VLOOKUP(C9,'תקציב  '!$B:$S,14,0)*1</f>
        <v>177087.30158730157</v>
      </c>
      <c r="N9" s="125">
        <f t="shared" si="5"/>
        <v>-1</v>
      </c>
      <c r="O9" s="86">
        <f t="shared" si="1"/>
        <v>-177087.30158730157</v>
      </c>
      <c r="Q9" s="89">
        <f>_xlfn.XLOOKUP(A9,'תקציב  '!A:A,'תקציב  '!AM:AM)</f>
        <v>100000</v>
      </c>
      <c r="R9" s="125">
        <f t="shared" si="6"/>
        <v>-1</v>
      </c>
      <c r="S9" s="125">
        <f t="shared" si="7"/>
        <v>0</v>
      </c>
      <c r="T9" s="86">
        <f t="shared" si="8"/>
        <v>-100000</v>
      </c>
      <c r="V9" s="86"/>
      <c r="W9" s="7">
        <f t="shared" si="9"/>
        <v>0</v>
      </c>
      <c r="X9" s="101" t="str">
        <f t="shared" si="2"/>
        <v>-</v>
      </c>
    </row>
    <row r="10" spans="1:24" x14ac:dyDescent="0.2">
      <c r="A10" s="135">
        <v>10</v>
      </c>
      <c r="B10" s="132" t="s">
        <v>120</v>
      </c>
      <c r="C10" s="132" t="s">
        <v>6</v>
      </c>
      <c r="D10" s="132" t="s">
        <v>6</v>
      </c>
      <c r="E10" s="132" t="s">
        <v>40</v>
      </c>
      <c r="F10" s="86">
        <f>VLOOKUP(B10,'2024'!$A:$O,12,0)</f>
        <v>10956.17</v>
      </c>
      <c r="G10" s="86">
        <f>VLOOKUP($B10,'2025'!$A:$O,12,0)</f>
        <v>28016.530000000002</v>
      </c>
      <c r="H10" s="86"/>
      <c r="I10" s="125" t="str">
        <f t="shared" si="3"/>
        <v/>
      </c>
      <c r="J10" s="125">
        <f t="shared" si="4"/>
        <v>-1</v>
      </c>
      <c r="K10" s="86">
        <f t="shared" si="0"/>
        <v>-28016.530000000002</v>
      </c>
      <c r="M10" s="86">
        <f>VLOOKUP(C10,'תקציב  '!$B:$S,14,0)*1</f>
        <v>16587.301587301587</v>
      </c>
      <c r="N10" s="125">
        <f t="shared" si="5"/>
        <v>-1</v>
      </c>
      <c r="O10" s="86">
        <f t="shared" si="1"/>
        <v>-16587.301587301587</v>
      </c>
      <c r="Q10" s="89">
        <f>_xlfn.XLOOKUP(A10,'תקציב  '!A:A,'תקציב  '!AM:AM)</f>
        <v>15000</v>
      </c>
      <c r="R10" s="125">
        <f t="shared" si="6"/>
        <v>-1</v>
      </c>
      <c r="S10" s="125">
        <f t="shared" si="7"/>
        <v>0</v>
      </c>
      <c r="T10" s="86">
        <f t="shared" si="8"/>
        <v>-15000</v>
      </c>
      <c r="V10" s="86"/>
      <c r="W10" s="7">
        <f t="shared" si="9"/>
        <v>0</v>
      </c>
      <c r="X10" s="101" t="str">
        <f t="shared" si="2"/>
        <v>-</v>
      </c>
    </row>
    <row r="11" spans="1:24" x14ac:dyDescent="0.2">
      <c r="A11" s="134">
        <v>11</v>
      </c>
      <c r="B11" s="142" t="s">
        <v>117</v>
      </c>
      <c r="C11" s="142" t="s">
        <v>66</v>
      </c>
      <c r="D11" s="142" t="s">
        <v>66</v>
      </c>
      <c r="E11" s="142" t="s">
        <v>40</v>
      </c>
      <c r="F11" s="86">
        <f>VLOOKUP(B11,'2024'!$A:$O,12,0)</f>
        <v>30231.73</v>
      </c>
      <c r="G11" s="86">
        <f>VLOOKUP($B11,'2025'!$A:$O,12,0)</f>
        <v>1902.07</v>
      </c>
      <c r="H11" s="86"/>
      <c r="I11" s="125" t="str">
        <f t="shared" si="3"/>
        <v/>
      </c>
      <c r="J11" s="125">
        <f t="shared" si="4"/>
        <v>-1</v>
      </c>
      <c r="K11" s="86">
        <f t="shared" si="0"/>
        <v>-1902.07</v>
      </c>
      <c r="M11" s="86">
        <f>VLOOKUP(C11,'תקציב  '!$B:$S,14,0)*1</f>
        <v>8730.1587301587297</v>
      </c>
      <c r="N11" s="125">
        <f t="shared" si="5"/>
        <v>-1</v>
      </c>
      <c r="O11" s="86">
        <f t="shared" si="1"/>
        <v>-8730.1587301587297</v>
      </c>
      <c r="Q11" s="89">
        <f>_xlfn.XLOOKUP(A11,'תקציב  '!A:A,'תקציב  '!AM:AM)</f>
        <v>10000</v>
      </c>
      <c r="R11" s="125">
        <f t="shared" si="6"/>
        <v>-1</v>
      </c>
      <c r="S11" s="125">
        <f t="shared" si="7"/>
        <v>0</v>
      </c>
      <c r="T11" s="86">
        <f t="shared" si="8"/>
        <v>-10000</v>
      </c>
      <c r="V11" s="86"/>
      <c r="W11" s="7">
        <f t="shared" si="9"/>
        <v>0</v>
      </c>
      <c r="X11" s="101" t="str">
        <f t="shared" si="2"/>
        <v>-</v>
      </c>
    </row>
    <row r="12" spans="1:24" x14ac:dyDescent="0.2">
      <c r="A12" s="134">
        <v>14</v>
      </c>
      <c r="B12" s="142" t="s">
        <v>116</v>
      </c>
      <c r="C12" s="142" t="s">
        <v>8</v>
      </c>
      <c r="D12" s="142" t="s">
        <v>8</v>
      </c>
      <c r="E12" s="142" t="s">
        <v>40</v>
      </c>
      <c r="F12" s="86">
        <f>VLOOKUP(B12,'2024'!$A:$O,12,0)</f>
        <v>0</v>
      </c>
      <c r="G12" s="86">
        <f>VLOOKUP($B12,'2025'!$A:$O,12,0)</f>
        <v>498.8</v>
      </c>
      <c r="H12" s="86"/>
      <c r="I12" s="125" t="str">
        <f t="shared" si="3"/>
        <v/>
      </c>
      <c r="J12" s="125">
        <f t="shared" si="4"/>
        <v>-1</v>
      </c>
      <c r="K12" s="86">
        <f t="shared" si="0"/>
        <v>-498.8</v>
      </c>
      <c r="M12" s="86">
        <f>VLOOKUP(C12,'תקציב  '!$B:$S,14,0)*1</f>
        <v>0</v>
      </c>
      <c r="N12" s="125" t="str">
        <f t="shared" si="5"/>
        <v/>
      </c>
      <c r="O12" s="86">
        <f t="shared" si="1"/>
        <v>0</v>
      </c>
      <c r="Q12" s="89">
        <f>_xlfn.XLOOKUP(A12,'תקציב  '!A:A,'תקציב  '!AM:AM)</f>
        <v>5000</v>
      </c>
      <c r="R12" s="125">
        <f t="shared" si="6"/>
        <v>-1</v>
      </c>
      <c r="S12" s="125">
        <f t="shared" si="7"/>
        <v>0</v>
      </c>
      <c r="T12" s="86">
        <f t="shared" si="8"/>
        <v>-5000</v>
      </c>
      <c r="V12" s="86"/>
      <c r="W12" s="7">
        <f t="shared" si="9"/>
        <v>0</v>
      </c>
      <c r="X12" s="101" t="str">
        <f t="shared" si="2"/>
        <v>-</v>
      </c>
    </row>
    <row r="13" spans="1:24" x14ac:dyDescent="0.2">
      <c r="A13" s="134">
        <v>15</v>
      </c>
      <c r="B13" s="142" t="s">
        <v>119</v>
      </c>
      <c r="C13" s="142" t="s">
        <v>151</v>
      </c>
      <c r="D13" s="142" t="s">
        <v>151</v>
      </c>
      <c r="E13" s="142" t="s">
        <v>40</v>
      </c>
      <c r="F13" s="86">
        <f>VLOOKUP(B13,'2024'!$A:$O,12,0)</f>
        <v>0</v>
      </c>
      <c r="G13" s="86">
        <f>VLOOKUP($B13,'2025'!$A:$O,12,0)</f>
        <v>0</v>
      </c>
      <c r="H13" s="86"/>
      <c r="I13" s="125" t="str">
        <f t="shared" si="3"/>
        <v/>
      </c>
      <c r="J13" s="125" t="str">
        <f t="shared" si="4"/>
        <v/>
      </c>
      <c r="K13" s="86">
        <f t="shared" si="0"/>
        <v>0</v>
      </c>
      <c r="M13" s="86">
        <f>VLOOKUP(C13,'תקציב  '!$B:$S,14,0)*1</f>
        <v>12500</v>
      </c>
      <c r="N13" s="125">
        <f t="shared" si="5"/>
        <v>-1</v>
      </c>
      <c r="O13" s="86">
        <f t="shared" si="1"/>
        <v>-12500</v>
      </c>
      <c r="Q13" s="89">
        <f>_xlfn.XLOOKUP(A13,'תקציב  '!A:A,'תקציב  '!AM:AM)</f>
        <v>5000</v>
      </c>
      <c r="R13" s="125">
        <f t="shared" si="6"/>
        <v>-1</v>
      </c>
      <c r="S13" s="125">
        <f t="shared" si="7"/>
        <v>0</v>
      </c>
      <c r="T13" s="86">
        <f t="shared" si="8"/>
        <v>-5000</v>
      </c>
      <c r="V13" s="86"/>
      <c r="W13" s="7">
        <f t="shared" si="9"/>
        <v>0</v>
      </c>
      <c r="X13" s="101" t="str">
        <f t="shared" si="2"/>
        <v>-</v>
      </c>
    </row>
    <row r="14" spans="1:24" x14ac:dyDescent="0.2">
      <c r="A14" s="134">
        <v>13</v>
      </c>
      <c r="B14" s="142" t="s">
        <v>114</v>
      </c>
      <c r="C14" s="142" t="s">
        <v>45</v>
      </c>
      <c r="D14" s="142" t="s">
        <v>45</v>
      </c>
      <c r="E14" s="142" t="s">
        <v>40</v>
      </c>
      <c r="F14" s="86">
        <f>VLOOKUP(B14,'2024'!$A:$O,12,0)</f>
        <v>695.57</v>
      </c>
      <c r="G14" s="86">
        <f>VLOOKUP($B14,'2025'!$A:$O,12,0)</f>
        <v>0</v>
      </c>
      <c r="H14" s="86"/>
      <c r="I14" s="125" t="str">
        <f t="shared" si="3"/>
        <v/>
      </c>
      <c r="J14" s="125" t="str">
        <f t="shared" si="4"/>
        <v/>
      </c>
      <c r="K14" s="86">
        <f t="shared" si="0"/>
        <v>0</v>
      </c>
      <c r="M14" s="86">
        <f>VLOOKUP(C14,'תקציב  '!$B:$S,14,0)*1</f>
        <v>50000</v>
      </c>
      <c r="N14" s="125">
        <f t="shared" si="5"/>
        <v>-1</v>
      </c>
      <c r="O14" s="86">
        <f t="shared" si="1"/>
        <v>-50000</v>
      </c>
      <c r="Q14" s="89">
        <f>_xlfn.XLOOKUP(A14,'תקציב  '!A:A,'תקציב  '!AM:AM)</f>
        <v>5000</v>
      </c>
      <c r="R14" s="125">
        <f t="shared" si="6"/>
        <v>-1</v>
      </c>
      <c r="S14" s="125">
        <f t="shared" si="7"/>
        <v>0</v>
      </c>
      <c r="T14" s="86">
        <f t="shared" si="8"/>
        <v>-5000</v>
      </c>
      <c r="V14" s="86"/>
      <c r="W14" s="7">
        <f t="shared" si="9"/>
        <v>0</v>
      </c>
      <c r="X14" s="101" t="str">
        <f t="shared" si="2"/>
        <v>-</v>
      </c>
    </row>
    <row r="15" spans="1:24" x14ac:dyDescent="0.2">
      <c r="A15" s="134">
        <v>9</v>
      </c>
      <c r="B15" s="142" t="s">
        <v>118</v>
      </c>
      <c r="C15" s="142" t="s">
        <v>73</v>
      </c>
      <c r="D15" s="142" t="s">
        <v>73</v>
      </c>
      <c r="E15" s="142" t="s">
        <v>40</v>
      </c>
      <c r="F15" s="86">
        <f>VLOOKUP(B15,'2024'!$A:$O,12,0)</f>
        <v>5017.43</v>
      </c>
      <c r="G15" s="86">
        <f>VLOOKUP($B15,'2025'!$A:$O,12,0)</f>
        <v>12930.619999999999</v>
      </c>
      <c r="H15" s="86"/>
      <c r="I15" s="125" t="str">
        <f t="shared" si="3"/>
        <v/>
      </c>
      <c r="J15" s="125">
        <f t="shared" si="4"/>
        <v>-1</v>
      </c>
      <c r="K15" s="86">
        <f t="shared" si="0"/>
        <v>-12930.619999999999</v>
      </c>
      <c r="M15" s="86">
        <f>VLOOKUP(C15,'תקציב  '!$B:$S,14,0)*1</f>
        <v>17460.317460317459</v>
      </c>
      <c r="N15" s="125">
        <f t="shared" si="5"/>
        <v>-1</v>
      </c>
      <c r="O15" s="86">
        <f t="shared" si="1"/>
        <v>-17460.317460317459</v>
      </c>
      <c r="Q15" s="89">
        <f>_xlfn.XLOOKUP(A15,'תקציב  '!A:A,'תקציב  '!AM:AM)</f>
        <v>25000</v>
      </c>
      <c r="R15" s="125">
        <f t="shared" si="6"/>
        <v>-1</v>
      </c>
      <c r="S15" s="125">
        <f t="shared" si="7"/>
        <v>0</v>
      </c>
      <c r="T15" s="86">
        <f t="shared" si="8"/>
        <v>-25000</v>
      </c>
      <c r="V15" s="86"/>
      <c r="W15" s="7">
        <f t="shared" si="9"/>
        <v>0</v>
      </c>
      <c r="X15" s="101" t="str">
        <f t="shared" si="2"/>
        <v>-</v>
      </c>
    </row>
    <row r="16" spans="1:24" ht="15" x14ac:dyDescent="0.25">
      <c r="A16" s="136"/>
      <c r="B16" s="150"/>
      <c r="C16" s="150" t="s">
        <v>221</v>
      </c>
      <c r="D16" s="150" t="s">
        <v>221</v>
      </c>
      <c r="E16" s="150"/>
      <c r="F16" s="152">
        <f>SUM(F3:F15)</f>
        <v>1292147.3929999999</v>
      </c>
      <c r="G16" s="152">
        <f>SUM(G3:G15)</f>
        <v>1542708.1400000004</v>
      </c>
      <c r="H16" s="152">
        <f>SUM(H3:H15)</f>
        <v>0</v>
      </c>
      <c r="I16" s="153" t="str">
        <f t="shared" si="3"/>
        <v/>
      </c>
      <c r="J16" s="153">
        <f t="shared" si="4"/>
        <v>-1</v>
      </c>
      <c r="K16" s="152">
        <f>SUM(K3:K15)</f>
        <v>-1542708.1400000004</v>
      </c>
      <c r="M16" s="152">
        <f>SUM(M3:M15)</f>
        <v>1813888.8888888888</v>
      </c>
      <c r="N16" s="153">
        <f t="shared" si="5"/>
        <v>-1</v>
      </c>
      <c r="O16" s="152">
        <f>SUM(O3:O15)</f>
        <v>-1813888.8888888888</v>
      </c>
      <c r="Q16" s="152">
        <f>SUM(Q3:Q15)</f>
        <v>1645000</v>
      </c>
      <c r="R16" s="153">
        <f t="shared" si="6"/>
        <v>-1</v>
      </c>
      <c r="S16" s="153">
        <f t="shared" si="7"/>
        <v>0</v>
      </c>
      <c r="T16" s="152">
        <f t="shared" si="8"/>
        <v>-1645000</v>
      </c>
      <c r="U16" s="143"/>
      <c r="V16" s="152"/>
      <c r="W16" s="144">
        <f t="shared" si="9"/>
        <v>0</v>
      </c>
      <c r="X16" s="145" t="str">
        <f t="shared" si="2"/>
        <v>-</v>
      </c>
    </row>
    <row r="17" spans="1:24" x14ac:dyDescent="0.2">
      <c r="A17" s="134">
        <v>2</v>
      </c>
      <c r="B17" s="142" t="s">
        <v>111</v>
      </c>
      <c r="C17" s="142" t="s">
        <v>7</v>
      </c>
      <c r="D17" s="142" t="s">
        <v>7</v>
      </c>
      <c r="E17" s="142" t="s">
        <v>40</v>
      </c>
      <c r="F17" s="86">
        <f>VLOOKUP(B17,'2024'!$A:$O,12,0)</f>
        <v>87038.749999999724</v>
      </c>
      <c r="G17" s="86">
        <f>VLOOKUP($B17,'2025'!$A:$O,12,0)</f>
        <v>249690.08000000147</v>
      </c>
      <c r="H17" s="86"/>
      <c r="I17" s="125" t="str">
        <f t="shared" si="3"/>
        <v/>
      </c>
      <c r="J17" s="125">
        <f t="shared" si="4"/>
        <v>-1</v>
      </c>
      <c r="K17" s="86">
        <f>H17-G17</f>
        <v>-249690.08000000147</v>
      </c>
      <c r="M17" s="86">
        <f>VLOOKUP(C17,'תקציב  '!$B:$S,14,0)*1</f>
        <v>1684810.1694915255</v>
      </c>
      <c r="N17" s="125">
        <f t="shared" si="5"/>
        <v>-1</v>
      </c>
      <c r="O17" s="86">
        <f>H17-M17</f>
        <v>-1684810.1694915255</v>
      </c>
      <c r="Q17" s="89">
        <f>_xlfn.XLOOKUP(A17,'תקציב  '!A:A,'תקציב  '!AM:AM)</f>
        <v>1012800</v>
      </c>
      <c r="R17" s="125">
        <f t="shared" si="6"/>
        <v>-1</v>
      </c>
      <c r="S17" s="125">
        <f t="shared" si="7"/>
        <v>0</v>
      </c>
      <c r="T17" s="86">
        <f t="shared" si="8"/>
        <v>-1012800</v>
      </c>
      <c r="V17" s="86"/>
      <c r="W17" s="7">
        <f t="shared" si="9"/>
        <v>0</v>
      </c>
      <c r="X17" s="101" t="str">
        <f t="shared" si="2"/>
        <v>-</v>
      </c>
    </row>
    <row r="18" spans="1:24" x14ac:dyDescent="0.2">
      <c r="A18" s="134">
        <v>12</v>
      </c>
      <c r="B18" s="142" t="s">
        <v>110</v>
      </c>
      <c r="C18" s="142" t="s">
        <v>65</v>
      </c>
      <c r="D18" s="142" t="s">
        <v>65</v>
      </c>
      <c r="E18" s="142" t="s">
        <v>40</v>
      </c>
      <c r="F18" s="86">
        <f>VLOOKUP(B18,'2024'!$A:$O,12,0)</f>
        <v>3533.4400000000005</v>
      </c>
      <c r="G18" s="86">
        <f>VLOOKUP($B18,'2025'!$A:$O,12,0)</f>
        <v>1058.8800000000001</v>
      </c>
      <c r="H18" s="86"/>
      <c r="I18" s="125" t="str">
        <f t="shared" si="3"/>
        <v/>
      </c>
      <c r="J18" s="125">
        <f t="shared" si="4"/>
        <v>-1</v>
      </c>
      <c r="K18" s="86">
        <f>H18-G18</f>
        <v>-1058.8800000000001</v>
      </c>
      <c r="M18" s="86">
        <f>VLOOKUP(C18,'תקציב  '!$B:$S,14,0)*1</f>
        <v>2536.9283333333324</v>
      </c>
      <c r="N18" s="125">
        <f t="shared" si="5"/>
        <v>-1</v>
      </c>
      <c r="O18" s="86">
        <f>H18-M18</f>
        <v>-2536.9283333333324</v>
      </c>
      <c r="Q18" s="89">
        <f>_xlfn.XLOOKUP(A18,'תקציב  '!A:A,'תקציב  '!AM:AM)</f>
        <v>5000</v>
      </c>
      <c r="R18" s="125">
        <f t="shared" si="6"/>
        <v>-1</v>
      </c>
      <c r="S18" s="125">
        <f t="shared" si="7"/>
        <v>0</v>
      </c>
      <c r="T18" s="86">
        <f t="shared" si="8"/>
        <v>-5000</v>
      </c>
      <c r="V18" s="86"/>
      <c r="W18" s="7">
        <f t="shared" si="9"/>
        <v>0</v>
      </c>
      <c r="X18" s="101" t="str">
        <f t="shared" si="2"/>
        <v>-</v>
      </c>
    </row>
    <row r="19" spans="1:24" ht="15" x14ac:dyDescent="0.25">
      <c r="A19" s="135"/>
      <c r="B19" s="154"/>
      <c r="C19" s="154" t="s">
        <v>41</v>
      </c>
      <c r="D19" s="154" t="s">
        <v>41</v>
      </c>
      <c r="E19" s="154"/>
      <c r="F19" s="152">
        <f>F16+F17+F18</f>
        <v>1382719.5829999996</v>
      </c>
      <c r="G19" s="152">
        <f>G16+G17+G18</f>
        <v>1793457.1000000017</v>
      </c>
      <c r="H19" s="152">
        <f>H16+H17+H18</f>
        <v>0</v>
      </c>
      <c r="I19" s="153" t="str">
        <f t="shared" si="3"/>
        <v/>
      </c>
      <c r="J19" s="153">
        <f t="shared" si="4"/>
        <v>-1</v>
      </c>
      <c r="K19" s="152">
        <f>K16+K17+K18</f>
        <v>-1793457.1000000017</v>
      </c>
      <c r="M19" s="152">
        <f>M16+M17+M18</f>
        <v>3501235.9867137475</v>
      </c>
      <c r="N19" s="153">
        <f t="shared" si="5"/>
        <v>-1</v>
      </c>
      <c r="O19" s="152">
        <f>O16+O17+O18</f>
        <v>-3501235.9867137475</v>
      </c>
      <c r="Q19" s="152">
        <f>Q16+Q17+Q18</f>
        <v>2662800</v>
      </c>
      <c r="R19" s="153">
        <f t="shared" si="6"/>
        <v>-1</v>
      </c>
      <c r="S19" s="153">
        <f t="shared" si="7"/>
        <v>0</v>
      </c>
      <c r="T19" s="152">
        <f t="shared" si="8"/>
        <v>-2662800</v>
      </c>
      <c r="U19" s="143"/>
      <c r="V19" s="152"/>
      <c r="W19" s="144">
        <f t="shared" si="9"/>
        <v>0</v>
      </c>
      <c r="X19" s="145" t="str">
        <f t="shared" si="2"/>
        <v>-</v>
      </c>
    </row>
    <row r="20" spans="1:24" x14ac:dyDescent="0.2">
      <c r="A20" s="135">
        <v>50</v>
      </c>
      <c r="B20" s="132" t="s">
        <v>92</v>
      </c>
      <c r="C20" s="132" t="s">
        <v>74</v>
      </c>
      <c r="D20" s="132" t="s">
        <v>47</v>
      </c>
      <c r="E20" s="132" t="s">
        <v>38</v>
      </c>
      <c r="F20" s="86">
        <f>VLOOKUP(B20,'2024'!$A:$O,12,0)</f>
        <v>169336.07</v>
      </c>
      <c r="G20" s="86">
        <f>VLOOKUP($B20,'2025'!$A:$O,12,0)</f>
        <v>271266.06</v>
      </c>
      <c r="H20" s="86"/>
      <c r="I20" s="125" t="str">
        <f t="shared" si="3"/>
        <v/>
      </c>
      <c r="J20" s="125">
        <f t="shared" si="4"/>
        <v>-1</v>
      </c>
      <c r="K20" s="86">
        <f t="shared" ref="K20:K39" si="10">H20-G20</f>
        <v>-271266.06</v>
      </c>
      <c r="M20" s="86">
        <f>VLOOKUP(C20,'תקציב  '!$B:$S,14,0)*1</f>
        <v>398561.08173749998</v>
      </c>
      <c r="N20" s="125">
        <f t="shared" si="5"/>
        <v>-1</v>
      </c>
      <c r="O20" s="86">
        <f t="shared" ref="O20:O39" si="11">H20-M20</f>
        <v>-398561.08173749998</v>
      </c>
      <c r="Q20" s="89">
        <f>_xlfn.XLOOKUP(A20,'תקציב  '!A:A,'תקציב  '!AM:AM)</f>
        <v>326122.5</v>
      </c>
      <c r="R20" s="125">
        <f t="shared" si="6"/>
        <v>-1</v>
      </c>
      <c r="S20" s="125">
        <f t="shared" si="7"/>
        <v>0</v>
      </c>
      <c r="T20" s="86">
        <f t="shared" si="8"/>
        <v>-326122.5</v>
      </c>
      <c r="V20" s="86"/>
      <c r="W20" s="7">
        <f t="shared" si="9"/>
        <v>0</v>
      </c>
      <c r="X20" s="101" t="str">
        <f t="shared" si="2"/>
        <v>-</v>
      </c>
    </row>
    <row r="21" spans="1:24" x14ac:dyDescent="0.2">
      <c r="A21" s="135">
        <v>20</v>
      </c>
      <c r="B21" s="132" t="s">
        <v>93</v>
      </c>
      <c r="C21" s="132" t="s">
        <v>75</v>
      </c>
      <c r="D21" s="132" t="s">
        <v>13</v>
      </c>
      <c r="E21" s="132" t="s">
        <v>39</v>
      </c>
      <c r="F21" s="86">
        <f>VLOOKUP(B21,'2024'!$A:$O,12,0)</f>
        <v>0</v>
      </c>
      <c r="G21" s="86">
        <f>VLOOKUP($B21,'2025'!$A:$O,12,0)</f>
        <v>0</v>
      </c>
      <c r="H21" s="86"/>
      <c r="I21" s="125" t="str">
        <f t="shared" si="3"/>
        <v/>
      </c>
      <c r="J21" s="125" t="str">
        <f t="shared" si="4"/>
        <v/>
      </c>
      <c r="K21" s="86">
        <f t="shared" si="10"/>
        <v>0</v>
      </c>
      <c r="M21" s="86">
        <f>VLOOKUP(C21,'תקציב  '!$B:$S,14,0)*1</f>
        <v>0</v>
      </c>
      <c r="N21" s="125" t="str">
        <f t="shared" si="5"/>
        <v/>
      </c>
      <c r="O21" s="86">
        <f t="shared" si="11"/>
        <v>0</v>
      </c>
      <c r="Q21" s="89">
        <f>_xlfn.XLOOKUP(A21,'תקציב  '!A:A,'תקציב  '!AM:AM)</f>
        <v>0</v>
      </c>
      <c r="R21" s="125" t="str">
        <f t="shared" si="6"/>
        <v>-</v>
      </c>
      <c r="S21" s="125" t="str">
        <f t="shared" si="7"/>
        <v>-</v>
      </c>
      <c r="T21" s="86">
        <f t="shared" si="8"/>
        <v>0</v>
      </c>
      <c r="V21" s="86"/>
      <c r="W21" s="7">
        <f t="shared" si="9"/>
        <v>0</v>
      </c>
      <c r="X21" s="101" t="str">
        <f t="shared" si="2"/>
        <v>-</v>
      </c>
    </row>
    <row r="22" spans="1:24" x14ac:dyDescent="0.2">
      <c r="A22" s="135">
        <v>21</v>
      </c>
      <c r="B22" s="132" t="s">
        <v>94</v>
      </c>
      <c r="C22" s="132" t="s">
        <v>80</v>
      </c>
      <c r="D22" s="132" t="s">
        <v>18</v>
      </c>
      <c r="E22" s="132" t="s">
        <v>19</v>
      </c>
      <c r="F22" s="86">
        <f>VLOOKUP(B22,'2024'!$A:$O,12,0)</f>
        <v>127411.06</v>
      </c>
      <c r="G22" s="86">
        <f>VLOOKUP($B22,'2025'!$A:$O,12,0)</f>
        <v>53932.219999999994</v>
      </c>
      <c r="H22" s="86"/>
      <c r="I22" s="125" t="str">
        <f t="shared" si="3"/>
        <v/>
      </c>
      <c r="J22" s="125">
        <f t="shared" si="4"/>
        <v>-1</v>
      </c>
      <c r="K22" s="86">
        <f t="shared" si="10"/>
        <v>-53932.219999999994</v>
      </c>
      <c r="M22" s="86">
        <f>VLOOKUP(C22,'תקציב  '!$B:$S,14,0)*1</f>
        <v>200000</v>
      </c>
      <c r="N22" s="125">
        <f t="shared" si="5"/>
        <v>-1</v>
      </c>
      <c r="O22" s="86">
        <f t="shared" si="11"/>
        <v>-200000</v>
      </c>
      <c r="Q22" s="89">
        <f>_xlfn.XLOOKUP(A22,'תקציב  '!A:A,'תקציב  '!AM:AM)</f>
        <v>220000</v>
      </c>
      <c r="R22" s="125">
        <f t="shared" si="6"/>
        <v>-1</v>
      </c>
      <c r="S22" s="125">
        <f t="shared" si="7"/>
        <v>0</v>
      </c>
      <c r="T22" s="86">
        <f t="shared" si="8"/>
        <v>-220000</v>
      </c>
      <c r="V22" s="86"/>
      <c r="W22" s="7">
        <f t="shared" si="9"/>
        <v>0</v>
      </c>
      <c r="X22" s="101" t="str">
        <f t="shared" si="2"/>
        <v>-</v>
      </c>
    </row>
    <row r="23" spans="1:24" x14ac:dyDescent="0.2">
      <c r="A23" s="135">
        <v>22</v>
      </c>
      <c r="B23" s="132" t="s">
        <v>95</v>
      </c>
      <c r="C23" s="132" t="s">
        <v>82</v>
      </c>
      <c r="D23" s="132" t="s">
        <v>14</v>
      </c>
      <c r="E23" s="132" t="s">
        <v>15</v>
      </c>
      <c r="F23" s="86">
        <f>VLOOKUP(B23,'2024'!$A:$O,12,0)</f>
        <v>0</v>
      </c>
      <c r="G23" s="86">
        <f>VLOOKUP($B23,'2025'!$A:$O,12,0)</f>
        <v>83397.790000000008</v>
      </c>
      <c r="H23" s="86"/>
      <c r="I23" s="125" t="str">
        <f t="shared" si="3"/>
        <v/>
      </c>
      <c r="J23" s="125">
        <f t="shared" si="4"/>
        <v>-1</v>
      </c>
      <c r="K23" s="86">
        <f t="shared" si="10"/>
        <v>-83397.790000000008</v>
      </c>
      <c r="M23" s="86">
        <f>VLOOKUP(C23,'תקציב  '!$B:$S,14,0)*1</f>
        <v>82841</v>
      </c>
      <c r="N23" s="125">
        <f t="shared" si="5"/>
        <v>-1</v>
      </c>
      <c r="O23" s="86">
        <f t="shared" si="11"/>
        <v>-82841</v>
      </c>
      <c r="Q23" s="89">
        <f>_xlfn.XLOOKUP(A23,'תקציב  '!A:A,'תקציב  '!AM:AM)</f>
        <v>75000</v>
      </c>
      <c r="R23" s="125">
        <f t="shared" si="6"/>
        <v>-1</v>
      </c>
      <c r="S23" s="125">
        <f t="shared" si="7"/>
        <v>0</v>
      </c>
      <c r="T23" s="86">
        <f t="shared" si="8"/>
        <v>-75000</v>
      </c>
      <c r="V23" s="86"/>
      <c r="W23" s="7">
        <f t="shared" si="9"/>
        <v>0</v>
      </c>
      <c r="X23" s="101" t="str">
        <f t="shared" si="2"/>
        <v>-</v>
      </c>
    </row>
    <row r="24" spans="1:24" x14ac:dyDescent="0.2">
      <c r="A24" s="135">
        <v>23</v>
      </c>
      <c r="B24" s="132" t="s">
        <v>96</v>
      </c>
      <c r="C24" s="132" t="s">
        <v>78</v>
      </c>
      <c r="D24" s="132" t="s">
        <v>24</v>
      </c>
      <c r="E24" s="132" t="s">
        <v>25</v>
      </c>
      <c r="F24" s="86">
        <f>VLOOKUP(B24,'2024'!$A:$O,12,0)</f>
        <v>17813.97</v>
      </c>
      <c r="G24" s="86">
        <f>VLOOKUP($B24,'2025'!$A:$O,12,0)</f>
        <v>15684.33</v>
      </c>
      <c r="H24" s="86"/>
      <c r="I24" s="125" t="str">
        <f t="shared" si="3"/>
        <v/>
      </c>
      <c r="J24" s="125">
        <f t="shared" si="4"/>
        <v>-1</v>
      </c>
      <c r="K24" s="86">
        <f t="shared" si="10"/>
        <v>-15684.33</v>
      </c>
      <c r="M24" s="86">
        <f>VLOOKUP(C24,'תקציב  '!$B:$S,14,0)*1</f>
        <v>17000</v>
      </c>
      <c r="N24" s="125">
        <f t="shared" si="5"/>
        <v>-1</v>
      </c>
      <c r="O24" s="86">
        <f t="shared" si="11"/>
        <v>-17000</v>
      </c>
      <c r="Q24" s="89">
        <f>_xlfn.XLOOKUP(A24,'תקציב  '!A:A,'תקציב  '!AM:AM)</f>
        <v>20000</v>
      </c>
      <c r="R24" s="125">
        <f t="shared" si="6"/>
        <v>-1</v>
      </c>
      <c r="S24" s="125">
        <f t="shared" si="7"/>
        <v>0</v>
      </c>
      <c r="T24" s="86">
        <f t="shared" si="8"/>
        <v>-20000</v>
      </c>
      <c r="V24" s="86"/>
      <c r="W24" s="7">
        <f t="shared" si="9"/>
        <v>0</v>
      </c>
      <c r="X24" s="101" t="str">
        <f t="shared" si="2"/>
        <v>-</v>
      </c>
    </row>
    <row r="25" spans="1:24" x14ac:dyDescent="0.2">
      <c r="A25" s="135">
        <v>24</v>
      </c>
      <c r="B25" s="132" t="s">
        <v>97</v>
      </c>
      <c r="C25" s="132" t="s">
        <v>79</v>
      </c>
      <c r="D25" s="132" t="s">
        <v>27</v>
      </c>
      <c r="E25" s="132" t="s">
        <v>46</v>
      </c>
      <c r="F25" s="86">
        <f>VLOOKUP(B25,'2024'!$A:$O,12,0)</f>
        <v>44572.45</v>
      </c>
      <c r="G25" s="86">
        <f>VLOOKUP($B25,'2025'!$A:$O,12,0)</f>
        <v>0</v>
      </c>
      <c r="H25" s="86"/>
      <c r="I25" s="125" t="str">
        <f t="shared" si="3"/>
        <v/>
      </c>
      <c r="J25" s="125" t="str">
        <f t="shared" si="4"/>
        <v/>
      </c>
      <c r="K25" s="86">
        <f t="shared" si="10"/>
        <v>0</v>
      </c>
      <c r="M25" s="86">
        <f>VLOOKUP(C25,'תקציב  '!$B:$S,14,0)*1</f>
        <v>5000</v>
      </c>
      <c r="N25" s="125">
        <f t="shared" si="5"/>
        <v>-1</v>
      </c>
      <c r="O25" s="86">
        <f t="shared" si="11"/>
        <v>-5000</v>
      </c>
      <c r="Q25" s="89">
        <f>_xlfn.XLOOKUP(A25,'תקציב  '!A:A,'תקציב  '!AM:AM)</f>
        <v>0</v>
      </c>
      <c r="R25" s="125" t="str">
        <f t="shared" si="6"/>
        <v>-</v>
      </c>
      <c r="S25" s="125" t="str">
        <f t="shared" si="7"/>
        <v>-</v>
      </c>
      <c r="T25" s="86">
        <f t="shared" si="8"/>
        <v>0</v>
      </c>
      <c r="V25" s="86"/>
      <c r="W25" s="7">
        <f t="shared" si="9"/>
        <v>0</v>
      </c>
      <c r="X25" s="101" t="str">
        <f t="shared" si="2"/>
        <v>-</v>
      </c>
    </row>
    <row r="26" spans="1:24" ht="13.5" customHeight="1" x14ac:dyDescent="0.2">
      <c r="A26" s="135">
        <v>25</v>
      </c>
      <c r="B26" s="132" t="s">
        <v>98</v>
      </c>
      <c r="C26" s="132" t="s">
        <v>87</v>
      </c>
      <c r="D26" s="132" t="s">
        <v>20</v>
      </c>
      <c r="E26" s="132" t="s">
        <v>21</v>
      </c>
      <c r="F26" s="86">
        <f>VLOOKUP(B26,'2024'!$A:$O,12,0)</f>
        <v>0</v>
      </c>
      <c r="G26" s="86">
        <f>VLOOKUP($B26,'2025'!$A:$O,12,0)</f>
        <v>0</v>
      </c>
      <c r="H26" s="86"/>
      <c r="I26" s="125" t="str">
        <f t="shared" si="3"/>
        <v/>
      </c>
      <c r="J26" s="125" t="str">
        <f t="shared" si="4"/>
        <v/>
      </c>
      <c r="K26" s="86">
        <f t="shared" si="10"/>
        <v>0</v>
      </c>
      <c r="M26" s="86">
        <f>VLOOKUP(C26,'תקציב  '!$B:$S,14,0)*1</f>
        <v>150000</v>
      </c>
      <c r="N26" s="125">
        <f t="shared" si="5"/>
        <v>-1</v>
      </c>
      <c r="O26" s="86">
        <f t="shared" si="11"/>
        <v>-150000</v>
      </c>
      <c r="Q26" s="89">
        <f>_xlfn.XLOOKUP(A26,'תקציב  '!A:A,'תקציב  '!AM:AM)</f>
        <v>70000</v>
      </c>
      <c r="R26" s="125">
        <f t="shared" si="6"/>
        <v>-1</v>
      </c>
      <c r="S26" s="125">
        <f t="shared" si="7"/>
        <v>0</v>
      </c>
      <c r="T26" s="86">
        <f t="shared" si="8"/>
        <v>-70000</v>
      </c>
      <c r="V26" s="86"/>
      <c r="W26" s="7">
        <f t="shared" si="9"/>
        <v>0</v>
      </c>
      <c r="X26" s="101" t="str">
        <f t="shared" si="2"/>
        <v>-</v>
      </c>
    </row>
    <row r="27" spans="1:24" x14ac:dyDescent="0.2">
      <c r="A27" s="135">
        <v>26</v>
      </c>
      <c r="B27" s="132" t="s">
        <v>99</v>
      </c>
      <c r="C27" s="132" t="s">
        <v>77</v>
      </c>
      <c r="D27" s="132" t="s">
        <v>26</v>
      </c>
      <c r="E27" s="132" t="s">
        <v>28</v>
      </c>
      <c r="F27" s="86">
        <f>VLOOKUP(B27,'2024'!$A:$O,12,0)</f>
        <v>0</v>
      </c>
      <c r="G27" s="86">
        <f>VLOOKUP($B27,'2025'!$A:$O,12,0)</f>
        <v>0</v>
      </c>
      <c r="H27" s="86"/>
      <c r="I27" s="125" t="str">
        <f t="shared" si="3"/>
        <v/>
      </c>
      <c r="J27" s="125" t="str">
        <f t="shared" si="4"/>
        <v/>
      </c>
      <c r="K27" s="86">
        <f t="shared" si="10"/>
        <v>0</v>
      </c>
      <c r="M27" s="86">
        <f>VLOOKUP(C27,'תקציב  '!$B:$S,14,0)*1</f>
        <v>40000</v>
      </c>
      <c r="N27" s="125">
        <f t="shared" si="5"/>
        <v>-1</v>
      </c>
      <c r="O27" s="86">
        <f t="shared" si="11"/>
        <v>-40000</v>
      </c>
      <c r="Q27" s="89">
        <f>_xlfn.XLOOKUP(A27,'תקציב  '!A:A,'תקציב  '!AM:AM)</f>
        <v>20000</v>
      </c>
      <c r="R27" s="125">
        <f t="shared" si="6"/>
        <v>-1</v>
      </c>
      <c r="S27" s="125">
        <f t="shared" si="7"/>
        <v>0</v>
      </c>
      <c r="T27" s="86">
        <f t="shared" si="8"/>
        <v>-20000</v>
      </c>
      <c r="V27" s="86"/>
      <c r="W27" s="7">
        <f t="shared" si="9"/>
        <v>0</v>
      </c>
      <c r="X27" s="101" t="str">
        <f t="shared" si="2"/>
        <v>-</v>
      </c>
    </row>
    <row r="28" spans="1:24" ht="13.5" customHeight="1" x14ac:dyDescent="0.2">
      <c r="A28" s="135">
        <v>27</v>
      </c>
      <c r="B28" s="132" t="s">
        <v>100</v>
      </c>
      <c r="C28" s="132" t="s">
        <v>88</v>
      </c>
      <c r="D28" s="132" t="s">
        <v>22</v>
      </c>
      <c r="E28" s="132" t="s">
        <v>23</v>
      </c>
      <c r="F28" s="86">
        <f>VLOOKUP(B28,'2024'!$A:$O,12,0)</f>
        <v>115405.87</v>
      </c>
      <c r="G28" s="86">
        <f>VLOOKUP($B28,'2025'!$A:$O,12,0)</f>
        <v>256771.88</v>
      </c>
      <c r="H28" s="86"/>
      <c r="I28" s="125" t="str">
        <f t="shared" si="3"/>
        <v/>
      </c>
      <c r="J28" s="125">
        <f t="shared" si="4"/>
        <v>-1</v>
      </c>
      <c r="K28" s="86">
        <f t="shared" si="10"/>
        <v>-256771.88</v>
      </c>
      <c r="M28" s="86">
        <f>VLOOKUP(C28,'תקציב  '!$B:$S,14,0)*1</f>
        <v>0</v>
      </c>
      <c r="N28" s="125" t="str">
        <f t="shared" si="5"/>
        <v/>
      </c>
      <c r="O28" s="86">
        <f t="shared" si="11"/>
        <v>0</v>
      </c>
      <c r="Q28" s="89">
        <f>_xlfn.XLOOKUP(A28,'תקציב  '!A:A,'תקציב  '!AM:AM)</f>
        <v>0</v>
      </c>
      <c r="R28" s="125" t="str">
        <f t="shared" si="6"/>
        <v>-</v>
      </c>
      <c r="S28" s="125" t="str">
        <f t="shared" si="7"/>
        <v>-</v>
      </c>
      <c r="T28" s="86">
        <f t="shared" si="8"/>
        <v>0</v>
      </c>
      <c r="V28" s="86"/>
      <c r="W28" s="7">
        <f t="shared" si="9"/>
        <v>0</v>
      </c>
      <c r="X28" s="101" t="str">
        <f t="shared" si="2"/>
        <v>-</v>
      </c>
    </row>
    <row r="29" spans="1:24" ht="13.5" customHeight="1" x14ac:dyDescent="0.2">
      <c r="A29" s="135">
        <v>28</v>
      </c>
      <c r="B29" s="132" t="s">
        <v>101</v>
      </c>
      <c r="C29" s="132" t="s">
        <v>89</v>
      </c>
      <c r="D29" s="132" t="s">
        <v>16</v>
      </c>
      <c r="E29" s="132" t="s">
        <v>17</v>
      </c>
      <c r="F29" s="86">
        <f>VLOOKUP(B29,'2024'!$A:$O,12,0)</f>
        <v>62633.86</v>
      </c>
      <c r="G29" s="86">
        <f>VLOOKUP($B29,'2025'!$A:$O,12,0)</f>
        <v>29107.59</v>
      </c>
      <c r="H29" s="86"/>
      <c r="I29" s="125" t="str">
        <f t="shared" si="3"/>
        <v/>
      </c>
      <c r="J29" s="125">
        <f t="shared" si="4"/>
        <v>-1</v>
      </c>
      <c r="K29" s="86">
        <f t="shared" si="10"/>
        <v>-29107.59</v>
      </c>
      <c r="M29" s="86">
        <f>VLOOKUP(C29,'תקציב  '!$B:$S,14,0)*1</f>
        <v>39765.076000000001</v>
      </c>
      <c r="N29" s="125">
        <f t="shared" si="5"/>
        <v>-1</v>
      </c>
      <c r="O29" s="86">
        <f t="shared" si="11"/>
        <v>-39765.076000000001</v>
      </c>
      <c r="Q29" s="89">
        <f>_xlfn.XLOOKUP(A29,'תקציב  '!A:A,'תקציב  '!AM:AM)</f>
        <v>40000</v>
      </c>
      <c r="R29" s="125">
        <f t="shared" si="6"/>
        <v>-1</v>
      </c>
      <c r="S29" s="125">
        <f t="shared" si="7"/>
        <v>0</v>
      </c>
      <c r="T29" s="86">
        <f t="shared" si="8"/>
        <v>-40000</v>
      </c>
      <c r="V29" s="86"/>
      <c r="W29" s="7">
        <f t="shared" si="9"/>
        <v>0</v>
      </c>
      <c r="X29" s="101" t="str">
        <f t="shared" si="2"/>
        <v>-</v>
      </c>
    </row>
    <row r="30" spans="1:24" x14ac:dyDescent="0.2">
      <c r="A30" s="135">
        <v>29</v>
      </c>
      <c r="B30" s="132" t="s">
        <v>102</v>
      </c>
      <c r="C30" s="132" t="s">
        <v>81</v>
      </c>
      <c r="D30" s="132" t="s">
        <v>29</v>
      </c>
      <c r="E30" s="132" t="s">
        <v>30</v>
      </c>
      <c r="F30" s="86">
        <f>VLOOKUP(B30,'2024'!$A:$O,12,0)</f>
        <v>0</v>
      </c>
      <c r="G30" s="86">
        <f>VLOOKUP($B30,'2025'!$A:$O,12,0)</f>
        <v>32544.41</v>
      </c>
      <c r="H30" s="86"/>
      <c r="I30" s="125" t="str">
        <f t="shared" si="3"/>
        <v/>
      </c>
      <c r="J30" s="125">
        <f t="shared" si="4"/>
        <v>-1</v>
      </c>
      <c r="K30" s="86">
        <f t="shared" si="10"/>
        <v>-32544.41</v>
      </c>
      <c r="M30" s="86">
        <f>VLOOKUP(C30,'תקציב  '!$B:$S,14,0)*1</f>
        <v>0</v>
      </c>
      <c r="N30" s="125" t="str">
        <f t="shared" si="5"/>
        <v/>
      </c>
      <c r="O30" s="86">
        <f t="shared" si="11"/>
        <v>0</v>
      </c>
      <c r="Q30" s="89">
        <f>_xlfn.XLOOKUP(A30,'תקציב  '!A:A,'תקציב  '!AM:AM)</f>
        <v>0</v>
      </c>
      <c r="R30" s="125" t="str">
        <f t="shared" si="6"/>
        <v>-</v>
      </c>
      <c r="S30" s="125" t="str">
        <f t="shared" si="7"/>
        <v>-</v>
      </c>
      <c r="T30" s="86">
        <f t="shared" si="8"/>
        <v>0</v>
      </c>
      <c r="V30" s="86"/>
      <c r="W30" s="7">
        <f t="shared" si="9"/>
        <v>0</v>
      </c>
      <c r="X30" s="101" t="str">
        <f t="shared" si="2"/>
        <v>-</v>
      </c>
    </row>
    <row r="31" spans="1:24" x14ac:dyDescent="0.2">
      <c r="A31" s="135">
        <v>30</v>
      </c>
      <c r="B31" s="132" t="s">
        <v>103</v>
      </c>
      <c r="C31" s="132" t="s">
        <v>76</v>
      </c>
      <c r="D31" s="132" t="s">
        <v>34</v>
      </c>
      <c r="E31" s="132" t="s">
        <v>30</v>
      </c>
      <c r="F31" s="86">
        <f>VLOOKUP(B31,'2024'!$A:$O,12,0)</f>
        <v>0</v>
      </c>
      <c r="G31" s="86">
        <f>VLOOKUP($B31,'2025'!$A:$O,12,0)</f>
        <v>0.08</v>
      </c>
      <c r="H31" s="86"/>
      <c r="I31" s="125" t="str">
        <f t="shared" si="3"/>
        <v/>
      </c>
      <c r="J31" s="125">
        <f t="shared" si="4"/>
        <v>-1</v>
      </c>
      <c r="K31" s="86">
        <f t="shared" si="10"/>
        <v>-0.08</v>
      </c>
      <c r="M31" s="86">
        <f>VLOOKUP(C31,'תקציב  '!$B:$S,14,0)*1</f>
        <v>19793</v>
      </c>
      <c r="N31" s="125">
        <f t="shared" si="5"/>
        <v>-1</v>
      </c>
      <c r="O31" s="86">
        <f t="shared" si="11"/>
        <v>-19793</v>
      </c>
      <c r="Q31" s="89">
        <f>_xlfn.XLOOKUP(A31,'תקציב  '!A:A,'תקציב  '!AM:AM)</f>
        <v>0</v>
      </c>
      <c r="R31" s="125" t="str">
        <f t="shared" si="6"/>
        <v>-</v>
      </c>
      <c r="S31" s="125" t="str">
        <f t="shared" si="7"/>
        <v>-</v>
      </c>
      <c r="T31" s="86">
        <f t="shared" si="8"/>
        <v>0</v>
      </c>
      <c r="V31" s="86"/>
      <c r="W31" s="7">
        <f t="shared" si="9"/>
        <v>0</v>
      </c>
      <c r="X31" s="101" t="str">
        <f t="shared" si="2"/>
        <v>-</v>
      </c>
    </row>
    <row r="32" spans="1:24" ht="13.5" customHeight="1" x14ac:dyDescent="0.2">
      <c r="A32" s="135">
        <v>31</v>
      </c>
      <c r="B32" s="132" t="s">
        <v>85</v>
      </c>
      <c r="C32" s="132" t="s">
        <v>85</v>
      </c>
      <c r="D32" s="132" t="s">
        <v>32</v>
      </c>
      <c r="E32" s="132" t="s">
        <v>33</v>
      </c>
      <c r="F32" s="86">
        <f>VLOOKUP(B32,'2024'!$A:$O,12,0)</f>
        <v>0</v>
      </c>
      <c r="G32" s="86">
        <f>VLOOKUP($B32,'2025'!$A:$O,12,0)</f>
        <v>0</v>
      </c>
      <c r="H32" s="86"/>
      <c r="I32" s="125" t="str">
        <f t="shared" si="3"/>
        <v/>
      </c>
      <c r="J32" s="125" t="str">
        <f t="shared" si="4"/>
        <v/>
      </c>
      <c r="K32" s="86">
        <f t="shared" si="10"/>
        <v>0</v>
      </c>
      <c r="M32" s="86">
        <f>VLOOKUP(C32,'תקציב  '!$B:$S,14,0)*1</f>
        <v>0</v>
      </c>
      <c r="N32" s="125" t="str">
        <f t="shared" si="5"/>
        <v/>
      </c>
      <c r="O32" s="86">
        <f t="shared" si="11"/>
        <v>0</v>
      </c>
      <c r="Q32" s="89">
        <f>_xlfn.XLOOKUP(A32,'תקציב  '!A:A,'תקציב  '!AM:AM)</f>
        <v>0</v>
      </c>
      <c r="R32" s="125" t="str">
        <f t="shared" si="6"/>
        <v>-</v>
      </c>
      <c r="S32" s="125" t="str">
        <f t="shared" si="7"/>
        <v>-</v>
      </c>
      <c r="T32" s="86">
        <f t="shared" si="8"/>
        <v>0</v>
      </c>
      <c r="V32" s="86"/>
      <c r="W32" s="7">
        <f t="shared" si="9"/>
        <v>0</v>
      </c>
      <c r="X32" s="101" t="str">
        <f t="shared" si="2"/>
        <v>-</v>
      </c>
    </row>
    <row r="33" spans="1:24" ht="13.5" customHeight="1" x14ac:dyDescent="0.2">
      <c r="A33" s="135"/>
      <c r="B33" s="132"/>
      <c r="C33" s="132"/>
      <c r="D33" s="132" t="s">
        <v>11</v>
      </c>
      <c r="E33" s="132" t="s">
        <v>12</v>
      </c>
      <c r="F33" s="86"/>
      <c r="G33" s="86"/>
      <c r="H33" s="86"/>
      <c r="I33" s="125" t="str">
        <f t="shared" si="3"/>
        <v/>
      </c>
      <c r="J33" s="125" t="str">
        <f t="shared" si="4"/>
        <v/>
      </c>
      <c r="K33" s="86">
        <f t="shared" si="10"/>
        <v>0</v>
      </c>
      <c r="M33" s="86"/>
      <c r="N33" s="125" t="str">
        <f t="shared" si="5"/>
        <v/>
      </c>
      <c r="O33" s="86">
        <f t="shared" si="11"/>
        <v>0</v>
      </c>
      <c r="Q33" s="89">
        <f>_xlfn.XLOOKUP(A33,'תקציב  '!A:A,'תקציב  '!AM:AM)</f>
        <v>0</v>
      </c>
      <c r="R33" s="125" t="str">
        <f t="shared" si="6"/>
        <v>-</v>
      </c>
      <c r="S33" s="125" t="str">
        <f t="shared" si="7"/>
        <v>-</v>
      </c>
      <c r="T33" s="86">
        <f t="shared" si="8"/>
        <v>0</v>
      </c>
      <c r="V33" s="86"/>
      <c r="W33" s="7">
        <f t="shared" si="9"/>
        <v>0</v>
      </c>
      <c r="X33" s="101" t="str">
        <f t="shared" si="2"/>
        <v>-</v>
      </c>
    </row>
    <row r="34" spans="1:24" ht="13.5" customHeight="1" x14ac:dyDescent="0.2">
      <c r="A34" s="135">
        <v>32</v>
      </c>
      <c r="B34" s="132" t="s">
        <v>104</v>
      </c>
      <c r="C34" s="132" t="s">
        <v>86</v>
      </c>
      <c r="D34" s="132" t="s">
        <v>31</v>
      </c>
      <c r="E34" s="132" t="s">
        <v>49</v>
      </c>
      <c r="F34" s="86">
        <f>VLOOKUP(B34,'2024'!$A:$O,12,0)</f>
        <v>0</v>
      </c>
      <c r="G34" s="86">
        <f>VLOOKUP($B34,'2025'!$A:$O,12,0)</f>
        <v>0</v>
      </c>
      <c r="H34" s="86"/>
      <c r="I34" s="125" t="str">
        <f t="shared" si="3"/>
        <v/>
      </c>
      <c r="J34" s="125" t="str">
        <f t="shared" si="4"/>
        <v/>
      </c>
      <c r="K34" s="86">
        <f t="shared" si="10"/>
        <v>0</v>
      </c>
      <c r="M34" s="86">
        <f>VLOOKUP(C34,'תקציב  '!$B:$S,14,0)*1</f>
        <v>0</v>
      </c>
      <c r="N34" s="125" t="str">
        <f t="shared" si="5"/>
        <v/>
      </c>
      <c r="O34" s="86">
        <f t="shared" si="11"/>
        <v>0</v>
      </c>
      <c r="Q34" s="89">
        <f>_xlfn.XLOOKUP(A34,'תקציב  '!A:A,'תקציב  '!AM:AM)</f>
        <v>0</v>
      </c>
      <c r="R34" s="125" t="str">
        <f t="shared" si="6"/>
        <v>-</v>
      </c>
      <c r="S34" s="125" t="str">
        <f t="shared" si="7"/>
        <v>-</v>
      </c>
      <c r="T34" s="86">
        <f t="shared" si="8"/>
        <v>0</v>
      </c>
      <c r="V34" s="86"/>
      <c r="W34" s="7">
        <f t="shared" si="9"/>
        <v>0</v>
      </c>
      <c r="X34" s="101" t="str">
        <f t="shared" si="2"/>
        <v>-</v>
      </c>
    </row>
    <row r="35" spans="1:24" ht="13.5" customHeight="1" x14ac:dyDescent="0.2">
      <c r="A35" s="135">
        <v>33</v>
      </c>
      <c r="B35" s="132" t="s">
        <v>105</v>
      </c>
      <c r="C35" s="132" t="s">
        <v>83</v>
      </c>
      <c r="D35" s="132" t="s">
        <v>84</v>
      </c>
      <c r="E35" s="132" t="s">
        <v>48</v>
      </c>
      <c r="F35" s="86">
        <f>VLOOKUP(B35,'2024'!$A:$O,12,0)</f>
        <v>0</v>
      </c>
      <c r="G35" s="86">
        <f>VLOOKUP($B35,'2025'!$A:$O,12,0)</f>
        <v>23331.65</v>
      </c>
      <c r="H35" s="86"/>
      <c r="I35" s="125" t="str">
        <f t="shared" si="3"/>
        <v/>
      </c>
      <c r="J35" s="125">
        <f t="shared" si="4"/>
        <v>-1</v>
      </c>
      <c r="K35" s="86">
        <f t="shared" si="10"/>
        <v>-23331.65</v>
      </c>
      <c r="M35" s="86">
        <f>VLOOKUP(C35,'תקציב  '!$B:$S,14,0)*1</f>
        <v>40000</v>
      </c>
      <c r="N35" s="125">
        <f t="shared" si="5"/>
        <v>-1</v>
      </c>
      <c r="O35" s="86">
        <f t="shared" si="11"/>
        <v>-40000</v>
      </c>
      <c r="Q35" s="89">
        <f>_xlfn.XLOOKUP(A35,'תקציב  '!A:A,'תקציב  '!AM:AM)</f>
        <v>0</v>
      </c>
      <c r="R35" s="125" t="str">
        <f t="shared" si="6"/>
        <v>-</v>
      </c>
      <c r="S35" s="125" t="str">
        <f t="shared" si="7"/>
        <v>-</v>
      </c>
      <c r="T35" s="86">
        <f t="shared" si="8"/>
        <v>0</v>
      </c>
      <c r="V35" s="86"/>
      <c r="W35" s="7">
        <f t="shared" si="9"/>
        <v>0</v>
      </c>
      <c r="X35" s="101" t="str">
        <f t="shared" si="2"/>
        <v>-</v>
      </c>
    </row>
    <row r="36" spans="1:24" x14ac:dyDescent="0.2">
      <c r="A36" s="135"/>
      <c r="B36" s="132" t="s">
        <v>107</v>
      </c>
      <c r="C36" s="132" t="s">
        <v>107</v>
      </c>
      <c r="D36" s="132" t="s">
        <v>37</v>
      </c>
      <c r="E36" s="132" t="s">
        <v>17</v>
      </c>
      <c r="F36" s="86">
        <f>VLOOKUP(B36,'2024'!$A:$O,12,0)</f>
        <v>0</v>
      </c>
      <c r="G36" s="86">
        <f>VLOOKUP($B36,'2025'!$A:$O,12,0)</f>
        <v>0</v>
      </c>
      <c r="H36" s="86"/>
      <c r="I36" s="125" t="str">
        <f t="shared" si="3"/>
        <v/>
      </c>
      <c r="J36" s="125" t="str">
        <f t="shared" si="4"/>
        <v/>
      </c>
      <c r="K36" s="86">
        <f t="shared" si="10"/>
        <v>0</v>
      </c>
      <c r="M36" s="86"/>
      <c r="N36" s="125" t="str">
        <f t="shared" si="5"/>
        <v/>
      </c>
      <c r="O36" s="86">
        <f t="shared" si="11"/>
        <v>0</v>
      </c>
      <c r="Q36" s="89">
        <f>_xlfn.XLOOKUP(A36,'תקציב  '!A:A,'תקציב  '!AM:AM)</f>
        <v>0</v>
      </c>
      <c r="R36" s="125" t="str">
        <f t="shared" si="6"/>
        <v>-</v>
      </c>
      <c r="S36" s="125" t="str">
        <f t="shared" si="7"/>
        <v>-</v>
      </c>
      <c r="T36" s="86">
        <f t="shared" si="8"/>
        <v>0</v>
      </c>
      <c r="V36" s="86"/>
      <c r="W36" s="7">
        <f t="shared" si="9"/>
        <v>0</v>
      </c>
      <c r="X36" s="101" t="str">
        <f t="shared" si="2"/>
        <v>-</v>
      </c>
    </row>
    <row r="37" spans="1:24" x14ac:dyDescent="0.2">
      <c r="A37" s="135">
        <v>34</v>
      </c>
      <c r="B37" s="132" t="s">
        <v>108</v>
      </c>
      <c r="C37" s="132" t="s">
        <v>108</v>
      </c>
      <c r="D37" s="132" t="s">
        <v>35</v>
      </c>
      <c r="E37" s="132" t="s">
        <v>36</v>
      </c>
      <c r="F37" s="86">
        <f>VLOOKUP(B37,'2024'!$A:$O,12,0)</f>
        <v>0</v>
      </c>
      <c r="G37" s="86">
        <f>VLOOKUP($B37,'2025'!$A:$O,12,0)</f>
        <v>0</v>
      </c>
      <c r="H37" s="86"/>
      <c r="I37" s="125" t="str">
        <f t="shared" si="3"/>
        <v/>
      </c>
      <c r="J37" s="125" t="str">
        <f t="shared" si="4"/>
        <v/>
      </c>
      <c r="K37" s="86">
        <f t="shared" si="10"/>
        <v>0</v>
      </c>
      <c r="M37" s="86"/>
      <c r="N37" s="125" t="str">
        <f t="shared" si="5"/>
        <v/>
      </c>
      <c r="O37" s="86">
        <f t="shared" si="11"/>
        <v>0</v>
      </c>
      <c r="Q37" s="89">
        <f>_xlfn.XLOOKUP(A37,'תקציב  '!A:A,'תקציב  '!AM:AM)</f>
        <v>0</v>
      </c>
      <c r="R37" s="125" t="str">
        <f t="shared" si="6"/>
        <v>-</v>
      </c>
      <c r="S37" s="125" t="str">
        <f t="shared" si="7"/>
        <v>-</v>
      </c>
      <c r="T37" s="86">
        <f t="shared" si="8"/>
        <v>0</v>
      </c>
      <c r="V37" s="86"/>
      <c r="W37" s="7">
        <f t="shared" si="9"/>
        <v>0</v>
      </c>
      <c r="X37" s="101" t="str">
        <f t="shared" si="2"/>
        <v>-</v>
      </c>
    </row>
    <row r="38" spans="1:24" ht="13.5" customHeight="1" x14ac:dyDescent="0.2">
      <c r="A38" s="135">
        <v>35</v>
      </c>
      <c r="B38" s="132" t="s">
        <v>109</v>
      </c>
      <c r="C38" s="132" t="s">
        <v>109</v>
      </c>
      <c r="D38" s="132" t="s">
        <v>70</v>
      </c>
      <c r="E38" s="132" t="s">
        <v>38</v>
      </c>
      <c r="F38" s="86">
        <f>VLOOKUP(B38,'2024'!$A:$O,12,0)</f>
        <v>0</v>
      </c>
      <c r="G38" s="86">
        <f>VLOOKUP($B38,'2025'!$A:$O,12,0)</f>
        <v>0</v>
      </c>
      <c r="H38" s="86"/>
      <c r="I38" s="125" t="str">
        <f t="shared" si="3"/>
        <v/>
      </c>
      <c r="J38" s="125" t="str">
        <f t="shared" si="4"/>
        <v/>
      </c>
      <c r="K38" s="86">
        <f t="shared" si="10"/>
        <v>0</v>
      </c>
      <c r="M38" s="86">
        <f>VLOOKUP(C38,'תקציב  '!$B:$S,14,0)*1</f>
        <v>200000</v>
      </c>
      <c r="N38" s="125">
        <f t="shared" si="5"/>
        <v>-1</v>
      </c>
      <c r="O38" s="86">
        <f t="shared" si="11"/>
        <v>-200000</v>
      </c>
      <c r="Q38" s="89">
        <f>_xlfn.XLOOKUP(A38,'תקציב  '!A:A,'תקציב  '!AM:AM)</f>
        <v>0</v>
      </c>
      <c r="R38" s="125" t="str">
        <f t="shared" si="6"/>
        <v>-</v>
      </c>
      <c r="S38" s="125" t="str">
        <f t="shared" si="7"/>
        <v>-</v>
      </c>
      <c r="T38" s="86">
        <f t="shared" si="8"/>
        <v>0</v>
      </c>
      <c r="V38" s="86"/>
      <c r="W38" s="7">
        <f t="shared" si="9"/>
        <v>0</v>
      </c>
      <c r="X38" s="101" t="str">
        <f t="shared" si="2"/>
        <v>-</v>
      </c>
    </row>
    <row r="39" spans="1:24" ht="13.5" customHeight="1" x14ac:dyDescent="0.2">
      <c r="A39" s="188">
        <v>36</v>
      </c>
      <c r="B39" s="189"/>
      <c r="C39" s="189" t="s">
        <v>91</v>
      </c>
      <c r="D39" s="189" t="s">
        <v>91</v>
      </c>
      <c r="E39" s="189"/>
      <c r="F39" s="86"/>
      <c r="G39" s="86"/>
      <c r="H39" s="86"/>
      <c r="I39" s="191" t="str">
        <f t="shared" si="3"/>
        <v/>
      </c>
      <c r="J39" s="191" t="str">
        <f t="shared" si="4"/>
        <v/>
      </c>
      <c r="K39" s="86">
        <f t="shared" si="10"/>
        <v>0</v>
      </c>
      <c r="M39" s="86">
        <f>VLOOKUP(C39,'תקציב  '!$B:$S,14,0)*1</f>
        <v>200000</v>
      </c>
      <c r="N39" s="191">
        <f t="shared" si="5"/>
        <v>-1</v>
      </c>
      <c r="O39" s="86">
        <f t="shared" si="11"/>
        <v>-200000</v>
      </c>
      <c r="Q39" s="89">
        <f>_xlfn.XLOOKUP(A39,'תקציב  '!A:A,'תקציב  '!AM:AM)</f>
        <v>0</v>
      </c>
      <c r="R39" s="191" t="str">
        <f t="shared" si="6"/>
        <v>-</v>
      </c>
      <c r="S39" s="191" t="str">
        <f t="shared" si="7"/>
        <v>-</v>
      </c>
      <c r="T39" s="86">
        <f t="shared" si="8"/>
        <v>0</v>
      </c>
      <c r="V39" s="86"/>
      <c r="W39" s="7">
        <f t="shared" si="9"/>
        <v>0</v>
      </c>
      <c r="X39" s="101" t="str">
        <f t="shared" si="2"/>
        <v>-</v>
      </c>
    </row>
    <row r="40" spans="1:24" ht="15" x14ac:dyDescent="0.25">
      <c r="A40" s="135"/>
      <c r="B40" s="156"/>
      <c r="C40" s="156" t="s">
        <v>42</v>
      </c>
      <c r="D40" s="156" t="s">
        <v>42</v>
      </c>
      <c r="E40" s="156"/>
      <c r="F40" s="157">
        <f>SUM(F20:F39)</f>
        <v>537173.28</v>
      </c>
      <c r="G40" s="157">
        <f>SUM(G20:G39)</f>
        <v>766036.01</v>
      </c>
      <c r="H40" s="157">
        <f>SUM(H20:H39)</f>
        <v>0</v>
      </c>
      <c r="I40" s="97" t="str">
        <f t="shared" si="3"/>
        <v/>
      </c>
      <c r="J40" s="97">
        <f t="shared" si="4"/>
        <v>-1</v>
      </c>
      <c r="K40" s="157">
        <f>SUM(K20:K39)</f>
        <v>-766036.01</v>
      </c>
      <c r="M40" s="157">
        <f>SUM(M20:M39)</f>
        <v>1392960.1577375</v>
      </c>
      <c r="N40" s="97">
        <f t="shared" si="5"/>
        <v>-1</v>
      </c>
      <c r="O40" s="157">
        <f>SUM(O20:O39)</f>
        <v>-1392960.1577375</v>
      </c>
      <c r="Q40" s="157">
        <f>SUM(Q20:Q39)</f>
        <v>771122.5</v>
      </c>
      <c r="R40" s="97">
        <f t="shared" si="6"/>
        <v>-1</v>
      </c>
      <c r="S40" s="97">
        <f t="shared" si="7"/>
        <v>0</v>
      </c>
      <c r="T40" s="157">
        <f t="shared" si="8"/>
        <v>-771122.5</v>
      </c>
      <c r="U40" s="143"/>
      <c r="V40" s="157"/>
      <c r="W40" s="7">
        <f t="shared" si="9"/>
        <v>0</v>
      </c>
      <c r="X40" s="145" t="str">
        <f t="shared" si="2"/>
        <v>-</v>
      </c>
    </row>
    <row r="41" spans="1:24" ht="15" x14ac:dyDescent="0.25">
      <c r="A41" s="135"/>
      <c r="B41" s="158"/>
      <c r="C41" s="158" t="s">
        <v>69</v>
      </c>
      <c r="D41" s="158" t="s">
        <v>69</v>
      </c>
      <c r="E41" s="158"/>
      <c r="F41" s="159">
        <f>F40+F19</f>
        <v>1919892.8629999997</v>
      </c>
      <c r="G41" s="159">
        <f>G40+G19</f>
        <v>2559493.1100000017</v>
      </c>
      <c r="H41" s="159">
        <f>H40+H19</f>
        <v>0</v>
      </c>
      <c r="I41" s="50" t="str">
        <f t="shared" si="3"/>
        <v/>
      </c>
      <c r="J41" s="50">
        <f t="shared" si="4"/>
        <v>-1</v>
      </c>
      <c r="K41" s="159">
        <f>K40+K19</f>
        <v>-2559493.1100000017</v>
      </c>
      <c r="M41" s="159">
        <f>M40+M19</f>
        <v>4894196.1444512475</v>
      </c>
      <c r="N41" s="50">
        <f t="shared" si="5"/>
        <v>-1</v>
      </c>
      <c r="O41" s="159">
        <f>O40+O19</f>
        <v>-4894196.1444512475</v>
      </c>
      <c r="Q41" s="159">
        <f>Q40+Q19</f>
        <v>3433922.5</v>
      </c>
      <c r="R41" s="50">
        <f t="shared" si="6"/>
        <v>-1</v>
      </c>
      <c r="S41" s="50">
        <f t="shared" si="7"/>
        <v>0</v>
      </c>
      <c r="T41" s="159">
        <f t="shared" si="8"/>
        <v>-3433922.5</v>
      </c>
      <c r="U41" s="143"/>
      <c r="V41" s="159"/>
      <c r="W41" s="144">
        <f t="shared" si="9"/>
        <v>0</v>
      </c>
      <c r="X41" s="145" t="str">
        <f t="shared" si="2"/>
        <v>-</v>
      </c>
    </row>
    <row r="42" spans="1:24" ht="15" x14ac:dyDescent="0.25">
      <c r="A42" s="96"/>
      <c r="B42" s="178"/>
      <c r="C42" s="178" t="s">
        <v>43</v>
      </c>
      <c r="D42" s="178" t="s">
        <v>43</v>
      </c>
      <c r="E42" s="178"/>
      <c r="F42" s="176">
        <f>F40/F41</f>
        <v>0.2797933626153597</v>
      </c>
      <c r="G42" s="176">
        <f>G40/G41</f>
        <v>0.29929207740668601</v>
      </c>
      <c r="H42" s="176" t="str">
        <f>IFERROR(H40/H41,"")</f>
        <v/>
      </c>
      <c r="I42" s="180" t="str">
        <f t="shared" si="3"/>
        <v/>
      </c>
      <c r="J42" s="180" t="str">
        <f t="shared" si="4"/>
        <v/>
      </c>
      <c r="K42" s="176"/>
      <c r="M42" s="193">
        <f>M41-'תקציב  '!O41*1</f>
        <v>-20000</v>
      </c>
      <c r="N42" s="180" t="str">
        <f t="shared" si="5"/>
        <v/>
      </c>
      <c r="O42" s="176"/>
      <c r="Q42" s="180"/>
      <c r="R42" s="180"/>
      <c r="S42" s="180"/>
      <c r="T42" s="176"/>
      <c r="V42" s="180" t="str">
        <f>IFERROR(V40/V41,"")</f>
        <v/>
      </c>
      <c r="W42" s="7" t="e">
        <f t="shared" si="9"/>
        <v>#VALUE!</v>
      </c>
    </row>
    <row r="43" spans="1:24" x14ac:dyDescent="0.2">
      <c r="F43">
        <f>F41-'2024'!L38</f>
        <v>0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F146-D45C-4DE0-A333-E21E14457791}">
  <dimension ref="A1:R43"/>
  <sheetViews>
    <sheetView showGridLines="0" rightToLeft="1" zoomScale="85" zoomScaleNormal="85" workbookViewId="0">
      <pane xSplit="5" ySplit="2" topLeftCell="F3" activePane="bottomRight" state="frozen"/>
      <selection activeCell="J13" sqref="J13"/>
      <selection pane="topRight" activeCell="J13" sqref="J13"/>
      <selection pane="bottomLeft" activeCell="J13" sqref="J13"/>
      <selection pane="bottomRight" activeCell="N45" sqref="N45"/>
    </sheetView>
  </sheetViews>
  <sheetFormatPr defaultRowHeight="14.25" x14ac:dyDescent="0.2"/>
  <cols>
    <col min="1" max="1" width="2.875" bestFit="1" customWidth="1"/>
    <col min="2" max="3" width="28" hidden="1" customWidth="1"/>
    <col min="4" max="4" width="28" bestFit="1" customWidth="1"/>
    <col min="5" max="5" width="13.375" bestFit="1" customWidth="1"/>
    <col min="6" max="6" width="12.25" bestFit="1" customWidth="1"/>
    <col min="7" max="8" width="10.875" bestFit="1" customWidth="1"/>
    <col min="9" max="9" width="10.75" style="51" bestFit="1" customWidth="1"/>
    <col min="10" max="10" width="11.875" bestFit="1" customWidth="1"/>
    <col min="12" max="12" width="10.875" bestFit="1" customWidth="1"/>
    <col min="13" max="13" width="9.75" style="51" bestFit="1" customWidth="1"/>
    <col min="14" max="14" width="11.5" bestFit="1" customWidth="1"/>
    <col min="16" max="16" width="10.875" bestFit="1" customWidth="1"/>
    <col min="17" max="17" width="6.75" style="51" bestFit="1" customWidth="1"/>
    <col min="18" max="18" width="13" bestFit="1" customWidth="1"/>
  </cols>
  <sheetData>
    <row r="1" spans="1:18" ht="15.75" x14ac:dyDescent="0.25">
      <c r="B1" s="34"/>
      <c r="C1" s="34" t="s">
        <v>168</v>
      </c>
      <c r="D1" s="34" t="s">
        <v>168</v>
      </c>
      <c r="E1" s="34"/>
      <c r="F1" s="174"/>
      <c r="G1" s="174"/>
      <c r="H1" s="174"/>
      <c r="I1" s="175"/>
      <c r="J1" s="174"/>
      <c r="L1" s="174"/>
      <c r="M1" s="175"/>
      <c r="N1" s="174"/>
      <c r="P1" s="34"/>
      <c r="Q1" s="175"/>
      <c r="R1" s="34"/>
    </row>
    <row r="2" spans="1:18" ht="15" x14ac:dyDescent="0.25">
      <c r="A2" s="133" t="s">
        <v>228</v>
      </c>
      <c r="B2" s="149"/>
      <c r="C2" s="149"/>
      <c r="D2" s="149"/>
      <c r="E2" s="149" t="s">
        <v>10</v>
      </c>
      <c r="F2" s="146" t="s">
        <v>146</v>
      </c>
      <c r="G2" s="146" t="s">
        <v>195</v>
      </c>
      <c r="H2" s="146" t="s">
        <v>209</v>
      </c>
      <c r="I2" s="171" t="s">
        <v>191</v>
      </c>
      <c r="J2" s="146" t="s">
        <v>192</v>
      </c>
      <c r="L2" s="146" t="s">
        <v>67</v>
      </c>
      <c r="M2" s="171" t="s">
        <v>68</v>
      </c>
      <c r="N2" s="146" t="s">
        <v>71</v>
      </c>
      <c r="P2" s="148" t="s">
        <v>229</v>
      </c>
      <c r="Q2" s="171" t="s">
        <v>223</v>
      </c>
      <c r="R2" s="149" t="s">
        <v>232</v>
      </c>
    </row>
    <row r="3" spans="1:18" x14ac:dyDescent="0.2">
      <c r="A3" s="140">
        <v>5</v>
      </c>
      <c r="B3" s="89" t="s">
        <v>115</v>
      </c>
      <c r="C3" s="89" t="s">
        <v>1</v>
      </c>
      <c r="D3" s="89" t="s">
        <v>1</v>
      </c>
      <c r="E3" s="89" t="s">
        <v>40</v>
      </c>
      <c r="F3" s="86">
        <f>ינואר!E3+פברואר!E3+מרץ!E3+אפריל!E3+מאי!E3+יוני!E3+יולי!F3+אוגוסט!F3+ספטמבר!F3+אוקטובר!F3+נובמבר!F3</f>
        <v>1734310.2</v>
      </c>
      <c r="G3" s="86">
        <f>ינואר!F3+פברואר!F3+מרץ!F3+אפריל!F3+מאי!F3+יוני!F3+יולי!G3+אוגוסט!G3+ספטמבר!G3+אוקטובר!G3+נובמבר!G3</f>
        <v>1611037.79</v>
      </c>
      <c r="H3" s="86">
        <f>ינואר!G3+פברואר!G3+מרץ!G3+אפריל!G3+מאי!G3+יוני!G3+יולי!H3+אוגוסט!H3+ספטמבר!H3+אוקטובר!H3+נובמבר!H3</f>
        <v>1328770.5499999998</v>
      </c>
      <c r="I3" s="172">
        <f>IFERROR(H3/G3-1,"")</f>
        <v>-0.17520832953272947</v>
      </c>
      <c r="J3" s="86">
        <f t="shared" ref="J3:J15" si="0">H3-G3</f>
        <v>-282267.24000000022</v>
      </c>
      <c r="L3" s="86">
        <f>ינואר!J3+פברואר!J3+מרץ!J3+אפריל!J3+מאי!J3+יוני!J3+יולי!M3+אוגוסט!M3+ספטמבר!M3+אוקטובר!M3+נובמבר!M3</f>
        <v>2276507.9365079366</v>
      </c>
      <c r="M3" s="172">
        <f>IFERROR(H3/L3-1,"")</f>
        <v>-0.41631191849114502</v>
      </c>
      <c r="N3" s="86">
        <f t="shared" ref="N3:N15" si="1">H3-L3</f>
        <v>-947737.38650793675</v>
      </c>
      <c r="P3" s="89">
        <f>_xlfn.XLOOKUP($A3,'תקציב  '!A:A,'תקציב  '!AV:AV)</f>
        <v>1740443.2999999998</v>
      </c>
      <c r="Q3" s="172">
        <f>IFERROR(H3/P3,"-")</f>
        <v>0.7634667271263591</v>
      </c>
      <c r="R3" s="89">
        <f>H3-P3</f>
        <v>-411672.75</v>
      </c>
    </row>
    <row r="4" spans="1:18" x14ac:dyDescent="0.2">
      <c r="A4" s="134">
        <v>1</v>
      </c>
      <c r="B4" s="89" t="s">
        <v>0</v>
      </c>
      <c r="C4" s="89" t="s">
        <v>0</v>
      </c>
      <c r="D4" s="89" t="s">
        <v>0</v>
      </c>
      <c r="E4" s="89" t="s">
        <v>40</v>
      </c>
      <c r="F4" s="86">
        <f>ינואר!E4+פברואר!E4+מרץ!E4+אפריל!E4+מאי!E4+יוני!E4+יולי!F4+אוגוסט!F4+ספטמבר!F4+אוקטובר!F4+נובמבר!F4</f>
        <v>5028515.4920000006</v>
      </c>
      <c r="G4" s="86">
        <f>ינואר!F4+פברואר!F4+מרץ!F4+אפריל!F4+מאי!F4+יוני!F4+יולי!G4+אוגוסט!G4+ספטמבר!G4+אוקטובר!G4+נובמבר!G4</f>
        <v>5618725.9326000372</v>
      </c>
      <c r="H4" s="86">
        <f>ינואר!G4+פברואר!G4+מרץ!G4+אפריל!G4+מאי!G4+יוני!G4+יולי!H4+אוגוסט!H4+ספטמבר!H4+אוקטובר!H4+נובמבר!H4</f>
        <v>4231396.2600000007</v>
      </c>
      <c r="I4" s="172">
        <f t="shared" ref="I4:I42" si="2">IFERROR(H4/G4-1,"")</f>
        <v>-0.24691178912121392</v>
      </c>
      <c r="J4" s="86">
        <f t="shared" si="0"/>
        <v>-1387329.6726000365</v>
      </c>
      <c r="L4" s="86">
        <f>ינואר!J4+פברואר!J4+מרץ!J4+אפריל!J4+מאי!J4+יוני!J4+יולי!M4+אוגוסט!M4+ספטמבר!M4+אוקטובר!M4+נובמבר!M4</f>
        <v>6180269.8412698405</v>
      </c>
      <c r="M4" s="172">
        <f t="shared" ref="M4:M41" si="3">IFERROR(H4/L4-1,"")</f>
        <v>-0.31533794337844168</v>
      </c>
      <c r="N4" s="86">
        <f t="shared" si="1"/>
        <v>-1948873.5812698398</v>
      </c>
      <c r="P4" s="89">
        <f>_xlfn.XLOOKUP($A4,'תקציב  '!A:A,'תקציב  '!AV:AV)</f>
        <v>5524937.8930000011</v>
      </c>
      <c r="Q4" s="172">
        <f t="shared" ref="Q4:Q42" si="4">IFERROR(H4/P4,"-")</f>
        <v>0.76587218570567195</v>
      </c>
      <c r="R4" s="89">
        <f t="shared" ref="R4:R39" si="5">H4-P4</f>
        <v>-1293541.6330000004</v>
      </c>
    </row>
    <row r="5" spans="1:18" x14ac:dyDescent="0.2">
      <c r="A5" s="134">
        <v>7</v>
      </c>
      <c r="B5" s="89" t="s">
        <v>44</v>
      </c>
      <c r="C5" s="89" t="s">
        <v>44</v>
      </c>
      <c r="D5" s="89" t="s">
        <v>44</v>
      </c>
      <c r="E5" s="89" t="s">
        <v>40</v>
      </c>
      <c r="F5" s="86">
        <f>ינואר!E5+פברואר!E5+מרץ!E5+אפריל!E5+מאי!E5+יוני!E5+יולי!F5+אוגוסט!F5+ספטמבר!F5+אוקטובר!F5+נובמבר!F5</f>
        <v>999927.92900000012</v>
      </c>
      <c r="G5" s="86">
        <f>ינואר!F5+פברואר!F5+מרץ!F5+אפריל!F5+מאי!F5+יוני!F5+יולי!G5+אוגוסט!G5+ספטמבר!G5+אוקטובר!G5+נובמבר!G5</f>
        <v>767439.58000000007</v>
      </c>
      <c r="H5" s="86">
        <f>ינואר!G5+פברואר!G5+מרץ!G5+אפריל!G5+מאי!G5+יוני!G5+יולי!H5+אוגוסט!H5+ספטמבר!H5+אוקטובר!H5+נובמבר!H5</f>
        <v>651059.04500000004</v>
      </c>
      <c r="I5" s="172">
        <f t="shared" si="2"/>
        <v>-0.15164781441165709</v>
      </c>
      <c r="J5" s="86">
        <f t="shared" si="0"/>
        <v>-116380.53500000003</v>
      </c>
      <c r="L5" s="86">
        <f>ינואר!J5+פברואר!J5+מרץ!J5+אפריל!J5+מאי!J5+יוני!J5+יולי!M5+אוגוסט!M5+ספטמבר!M5+אוקטובר!M5+נובמבר!M5</f>
        <v>817857.14285714284</v>
      </c>
      <c r="M5" s="172">
        <f t="shared" si="3"/>
        <v>-0.2039452724890829</v>
      </c>
      <c r="N5" s="86">
        <f t="shared" si="1"/>
        <v>-166798.0978571428</v>
      </c>
      <c r="P5" s="89">
        <f>_xlfn.XLOOKUP($A5,'תקציב  '!A:A,'תקציב  '!AV:AV)</f>
        <v>937274.56499999994</v>
      </c>
      <c r="Q5" s="172">
        <f t="shared" si="4"/>
        <v>0.69463001484522313</v>
      </c>
      <c r="R5" s="89">
        <f t="shared" si="5"/>
        <v>-286215.5199999999</v>
      </c>
    </row>
    <row r="6" spans="1:18" x14ac:dyDescent="0.2">
      <c r="A6" s="134">
        <v>4</v>
      </c>
      <c r="B6" s="89" t="s">
        <v>3</v>
      </c>
      <c r="C6" s="89" t="s">
        <v>3</v>
      </c>
      <c r="D6" s="89" t="s">
        <v>3</v>
      </c>
      <c r="E6" s="89" t="s">
        <v>40</v>
      </c>
      <c r="F6" s="86">
        <f>ינואר!E6+פברואר!E6+מרץ!E6+אפריל!E6+מאי!E6+יוני!E6+יולי!F6+אוגוסט!F6+ספטמבר!F6+אוקטובר!F6+נובמבר!F6</f>
        <v>1686538.3169999998</v>
      </c>
      <c r="G6" s="86">
        <f>ינואר!F6+פברואר!F6+מרץ!F6+אפריל!F6+מאי!F6+יוני!F6+יולי!G6+אוגוסט!G6+ספטמבר!G6+אוקטובר!G6+נובמבר!G6</f>
        <v>1796943.0594000015</v>
      </c>
      <c r="H6" s="86">
        <f>ינואר!G6+פברואר!G6+מרץ!G6+אפריל!G6+מאי!G6+יוני!G6+יולי!H6+אוגוסט!H6+ספטמבר!H6+אוקטובר!H6+נובמבר!H6</f>
        <v>1409547.8450000002</v>
      </c>
      <c r="I6" s="172">
        <f t="shared" si="2"/>
        <v>-0.21558569280951645</v>
      </c>
      <c r="J6" s="86">
        <f t="shared" si="0"/>
        <v>-387395.21440000134</v>
      </c>
      <c r="L6" s="86">
        <f>ינואר!J6+פברואר!J6+מרץ!J6+אפריל!J6+מאי!J6+יוני!J6+יולי!M6+אוגוסט!M6+ספטמבר!M6+אוקטובר!M6+נובמבר!M6</f>
        <v>1773587.3015873015</v>
      </c>
      <c r="M6" s="172">
        <f t="shared" si="3"/>
        <v>-0.20525601207310074</v>
      </c>
      <c r="N6" s="86">
        <f t="shared" si="1"/>
        <v>-364039.45658730133</v>
      </c>
      <c r="P6" s="89">
        <f>_xlfn.XLOOKUP($A6,'תקציב  '!A:A,'תקציב  '!AV:AV)</f>
        <v>1918523.9780000001</v>
      </c>
      <c r="Q6" s="172">
        <f t="shared" si="4"/>
        <v>0.73470431496478283</v>
      </c>
      <c r="R6" s="89">
        <f t="shared" si="5"/>
        <v>-508976.13299999991</v>
      </c>
    </row>
    <row r="7" spans="1:18" x14ac:dyDescent="0.2">
      <c r="A7" s="134">
        <v>3</v>
      </c>
      <c r="B7" s="89" t="s">
        <v>112</v>
      </c>
      <c r="C7" s="89" t="s">
        <v>2</v>
      </c>
      <c r="D7" s="89" t="s">
        <v>2</v>
      </c>
      <c r="E7" s="89" t="s">
        <v>40</v>
      </c>
      <c r="F7" s="86">
        <f>ינואר!E7+פברואר!E7+מרץ!E7+אפריל!E7+מאי!E7+יוני!E7+יולי!F7+אוגוסט!F7+ספטמבר!F7+אוקטובר!F7+נובמבר!F7</f>
        <v>3740316.3</v>
      </c>
      <c r="G7" s="86">
        <f>ינואר!F7+פברואר!F7+מרץ!F7+אפריל!F7+מאי!F7+יוני!F7+יולי!G7+אוגוסט!G7+ספטמבר!G7+אוקטובר!G7+נובמבר!G7</f>
        <v>3441916.92</v>
      </c>
      <c r="H7" s="86">
        <f>ינואר!G7+פברואר!G7+מרץ!G7+אפריל!G7+מאי!G7+יוני!G7+יולי!H7+אוגוסט!H7+ספטמבר!H7+אוקטובר!H7+נובמבר!H7</f>
        <v>2727663.25</v>
      </c>
      <c r="I7" s="172">
        <f t="shared" si="2"/>
        <v>-0.20751624359370069</v>
      </c>
      <c r="J7" s="86">
        <f t="shared" si="0"/>
        <v>-714253.66999999993</v>
      </c>
      <c r="L7" s="86">
        <f>ינואר!J7+פברואר!J7+מרץ!J7+אפריל!J7+מאי!J7+יוני!J7+יולי!M7+אוגוסט!M7+ספטמבר!M7+אוקטובר!M7+נובמבר!M7</f>
        <v>4015000</v>
      </c>
      <c r="M7" s="172">
        <f t="shared" si="3"/>
        <v>-0.32063181818181818</v>
      </c>
      <c r="N7" s="86">
        <f t="shared" si="1"/>
        <v>-1287336.75</v>
      </c>
      <c r="P7" s="89">
        <f>_xlfn.XLOOKUP($A7,'תקציב  '!A:A,'תקציב  '!AV:AV)</f>
        <v>3392410.85</v>
      </c>
      <c r="Q7" s="172">
        <f t="shared" si="4"/>
        <v>0.8040486163402053</v>
      </c>
      <c r="R7" s="89">
        <f t="shared" si="5"/>
        <v>-664747.60000000009</v>
      </c>
    </row>
    <row r="8" spans="1:18" x14ac:dyDescent="0.2">
      <c r="A8" s="134">
        <v>8</v>
      </c>
      <c r="B8" s="89" t="s">
        <v>113</v>
      </c>
      <c r="C8" s="89" t="s">
        <v>5</v>
      </c>
      <c r="D8" s="89" t="s">
        <v>5</v>
      </c>
      <c r="E8" s="89" t="s">
        <v>40</v>
      </c>
      <c r="F8" s="86">
        <f>ינואר!E8+פברואר!E8+מרץ!E8+אפריל!E8+מאי!E8+יוני!E8+יולי!F8+אוגוסט!F8+ספטמבר!F8+אוקטובר!F8+נובמבר!F8</f>
        <v>729461</v>
      </c>
      <c r="G8" s="86">
        <f>ינואר!F8+פברואר!F8+מרץ!F8+אפריל!F8+מאי!F8+יוני!F8+יולי!G8+אוגוסט!G8+ספטמבר!G8+אוקטובר!G8+נובמבר!G8</f>
        <v>832591.94</v>
      </c>
      <c r="H8" s="86">
        <f>ינואר!G8+פברואר!G8+מרץ!G8+אפריל!G8+מאי!G8+יוני!G8+יולי!H8+אוגוסט!H8+ספטמבר!H8+אוקטובר!H8+נובמבר!H8</f>
        <v>520254.74100000004</v>
      </c>
      <c r="I8" s="172">
        <f t="shared" si="2"/>
        <v>-0.3751383889207478</v>
      </c>
      <c r="J8" s="86">
        <f t="shared" si="0"/>
        <v>-312337.19899999991</v>
      </c>
      <c r="L8" s="86">
        <f>ינואר!J8+פברואר!J8+מרץ!J8+אפריל!J8+מאי!J8+יוני!J8+יולי!M8+אוגוסט!M8+ספטמבר!M8+אוקטובר!M8+נובמבר!M8</f>
        <v>1128730.1587301588</v>
      </c>
      <c r="M8" s="172">
        <f t="shared" si="3"/>
        <v>-0.53907961351427369</v>
      </c>
      <c r="N8" s="86">
        <f t="shared" si="1"/>
        <v>-608475.41773015878</v>
      </c>
      <c r="P8" s="89">
        <f>_xlfn.XLOOKUP($A8,'תקציב  '!A:A,'תקציב  '!AV:AV)</f>
        <v>843097.61100000003</v>
      </c>
      <c r="Q8" s="172">
        <f t="shared" si="4"/>
        <v>0.61707533530183378</v>
      </c>
      <c r="R8" s="89">
        <f t="shared" si="5"/>
        <v>-322842.87</v>
      </c>
    </row>
    <row r="9" spans="1:18" x14ac:dyDescent="0.2">
      <c r="A9" s="134">
        <v>6</v>
      </c>
      <c r="B9" s="89" t="s">
        <v>121</v>
      </c>
      <c r="C9" s="89" t="s">
        <v>4</v>
      </c>
      <c r="D9" s="89" t="s">
        <v>4</v>
      </c>
      <c r="E9" s="89" t="s">
        <v>40</v>
      </c>
      <c r="F9" s="86">
        <f>ינואר!E9+פברואר!E9+מרץ!E9+אפריל!E9+מאי!E9+יוני!E9+יולי!F9+אוגוסט!F9+ספטמבר!F9+אוקטובר!F9+נובמבר!F9</f>
        <v>835348.78999999992</v>
      </c>
      <c r="G9" s="86">
        <f>ינואר!F9+פברואר!F9+מרץ!F9+אפריל!F9+מאי!F9+יוני!F9+יולי!G9+אוגוסט!G9+ספטמבר!G9+אוקטובר!G9+נובמבר!G9</f>
        <v>785456.37000000011</v>
      </c>
      <c r="H9" s="86">
        <f>ינואר!G9+פברואר!G9+מרץ!G9+אפריל!G9+מאי!G9+יוני!G9+יולי!H9+אוגוסט!H9+ספטמבר!H9+אוקטובר!H9+נובמבר!H9</f>
        <v>678114.16</v>
      </c>
      <c r="I9" s="172">
        <f t="shared" si="2"/>
        <v>-0.13666221842468484</v>
      </c>
      <c r="J9" s="86">
        <f t="shared" si="0"/>
        <v>-107342.21000000008</v>
      </c>
      <c r="L9" s="86">
        <f>ינואר!J9+פברואר!J9+מרץ!J9+אפריל!J9+מאי!J9+יוני!J9+יולי!M9+אוגוסט!M9+ספטמבר!M9+אוקטובר!M9+נובמבר!M9</f>
        <v>1801408.7301587299</v>
      </c>
      <c r="M9" s="172">
        <f t="shared" si="3"/>
        <v>-0.62356452000748974</v>
      </c>
      <c r="N9" s="86">
        <f t="shared" si="1"/>
        <v>-1123294.5701587298</v>
      </c>
      <c r="P9" s="89">
        <f>_xlfn.XLOOKUP($A9,'תקציב  '!A:A,'תקציב  '!AV:AV)</f>
        <v>975277.57</v>
      </c>
      <c r="Q9" s="172">
        <f t="shared" si="4"/>
        <v>0.69530375849820891</v>
      </c>
      <c r="R9" s="89">
        <f t="shared" si="5"/>
        <v>-297163.40999999992</v>
      </c>
    </row>
    <row r="10" spans="1:18" x14ac:dyDescent="0.2">
      <c r="A10" s="135">
        <v>10</v>
      </c>
      <c r="B10" s="89" t="s">
        <v>120</v>
      </c>
      <c r="C10" s="89" t="s">
        <v>6</v>
      </c>
      <c r="D10" s="89" t="s">
        <v>6</v>
      </c>
      <c r="E10" s="89" t="s">
        <v>40</v>
      </c>
      <c r="F10" s="86">
        <f>ינואר!E10+פברואר!E10+מרץ!E10+אפריל!E10+מאי!E10+יוני!E10+יולי!F10+אוגוסט!F10+ספטמבר!F10+אוקטובר!F10+נובמבר!F10</f>
        <v>170803.61000000002</v>
      </c>
      <c r="G10" s="86">
        <f>ינואר!F10+פברואר!F10+מרץ!F10+אפריל!F10+מאי!F10+יוני!F10+יולי!G10+אוגוסט!G10+ספטמבר!G10+אוקטובר!G10+נובמבר!G10</f>
        <v>174036.01</v>
      </c>
      <c r="H10" s="86">
        <f>ינואר!G10+פברואר!G10+מרץ!G10+אפריל!G10+מאי!G10+יוני!G10+יולי!H10+אוגוסט!H10+ספטמבר!H10+אוקטובר!H10+נובמבר!H10</f>
        <v>79418.590000000011</v>
      </c>
      <c r="I10" s="172">
        <f t="shared" si="2"/>
        <v>-0.54366576204545258</v>
      </c>
      <c r="J10" s="86">
        <f t="shared" si="0"/>
        <v>-94617.42</v>
      </c>
      <c r="L10" s="86">
        <f>ינואר!J10+פברואר!J10+מרץ!J10+אפריל!J10+מאי!J10+יוני!J10+יולי!M10+אוגוסט!M10+ספטמבר!M10+אוקטובר!M10+נובמבר!M10</f>
        <v>172658.73015873018</v>
      </c>
      <c r="M10" s="172">
        <f t="shared" si="3"/>
        <v>-0.54002563364743739</v>
      </c>
      <c r="N10" s="86">
        <f t="shared" si="1"/>
        <v>-93240.140158730166</v>
      </c>
      <c r="P10" s="89">
        <f>_xlfn.XLOOKUP($A10,'תקציב  '!A:A,'תקציב  '!AV:AV)</f>
        <v>136235.08000000002</v>
      </c>
      <c r="Q10" s="172">
        <f t="shared" si="4"/>
        <v>0.5829525699254553</v>
      </c>
      <c r="R10" s="89">
        <f t="shared" si="5"/>
        <v>-56816.490000000005</v>
      </c>
    </row>
    <row r="11" spans="1:18" x14ac:dyDescent="0.2">
      <c r="A11" s="134">
        <v>11</v>
      </c>
      <c r="B11" s="89" t="s">
        <v>117</v>
      </c>
      <c r="C11" s="89" t="s">
        <v>66</v>
      </c>
      <c r="D11" s="89" t="s">
        <v>66</v>
      </c>
      <c r="E11" s="89" t="s">
        <v>40</v>
      </c>
      <c r="F11" s="86">
        <f>ינואר!E11+פברואר!E11+מרץ!E11+אפריל!E11+מאי!E11+יוני!E11+יולי!F11+אוגוסט!F11+ספטמבר!F11+אוקטובר!F11+נובמבר!F11</f>
        <v>81490.429999999993</v>
      </c>
      <c r="G11" s="86">
        <f>ינואר!F11+פברואר!F11+מרץ!F11+אפריל!F11+מאי!F11+יוני!F11+יולי!G11+אוגוסט!G11+ספטמבר!G11+אוקטובר!G11+נובמבר!G11</f>
        <v>51493.140000000007</v>
      </c>
      <c r="H11" s="86">
        <f>ינואר!G11+פברואר!G11+מרץ!G11+אפריל!G11+מאי!G11+יוני!G11+יולי!H11+אוגוסט!H11+ספטמבר!H11+אוקטובר!H11+נובמבר!H11</f>
        <v>45013.96</v>
      </c>
      <c r="I11" s="172">
        <f t="shared" si="2"/>
        <v>-0.12582608091097192</v>
      </c>
      <c r="J11" s="86">
        <f t="shared" si="0"/>
        <v>-6479.1800000000076</v>
      </c>
      <c r="L11" s="86">
        <f>ינואר!J11+פברואר!J11+מרץ!J11+אפריל!J11+מאי!J11+יוני!J11+יולי!M11+אוגוסט!M11+ספטמבר!M11+אוקטובר!M11+נובמבר!M11</f>
        <v>90873.015873015858</v>
      </c>
      <c r="M11" s="172">
        <f t="shared" si="3"/>
        <v>-0.50464987248908288</v>
      </c>
      <c r="N11" s="86">
        <f t="shared" si="1"/>
        <v>-45859.055873015859</v>
      </c>
      <c r="P11" s="89">
        <f>_xlfn.XLOOKUP($A11,'תקציב  '!A:A,'תקציב  '!AV:AV)</f>
        <v>84015.41</v>
      </c>
      <c r="Q11" s="172">
        <f t="shared" si="4"/>
        <v>0.53578218567284264</v>
      </c>
      <c r="R11" s="89">
        <f t="shared" si="5"/>
        <v>-39001.450000000004</v>
      </c>
    </row>
    <row r="12" spans="1:18" x14ac:dyDescent="0.2">
      <c r="A12" s="134">
        <v>14</v>
      </c>
      <c r="B12" s="89" t="s">
        <v>116</v>
      </c>
      <c r="C12" s="89" t="s">
        <v>8</v>
      </c>
      <c r="D12" s="89" t="s">
        <v>8</v>
      </c>
      <c r="E12" s="89" t="s">
        <v>40</v>
      </c>
      <c r="F12" s="86">
        <f>ינואר!E12+פברואר!E12+מרץ!E12+אפריל!E12+מאי!E12+יוני!E12+יולי!F12+אוגוסט!F12+ספטמבר!F12+אוקטובר!F12+נובמבר!F12</f>
        <v>2380.1</v>
      </c>
      <c r="G12" s="86">
        <f>ינואר!F12+פברואר!F12+מרץ!F12+אפריל!F12+מאי!F12+יוני!F12+יולי!G12+אוגוסט!G12+ספטמבר!G12+אוקטובר!G12+נובמבר!G12</f>
        <v>4145.68</v>
      </c>
      <c r="H12" s="86">
        <f>ינואר!G12+פברואר!G12+מרץ!G12+אפריל!G12+מאי!G12+יוני!G12+יולי!H12+אוגוסט!H12+ספטמבר!H12+אוקטובר!H12+נובמבר!H12</f>
        <v>4305.0200000000004</v>
      </c>
      <c r="I12" s="172">
        <f t="shared" si="2"/>
        <v>3.8435190366839622E-2</v>
      </c>
      <c r="J12" s="86">
        <f t="shared" si="0"/>
        <v>159.34000000000015</v>
      </c>
      <c r="L12" s="86">
        <f>ינואר!J12+פברואר!J12+מרץ!J12+אפריל!J12+מאי!J12+יוני!J12+יולי!M12+אוגוסט!M12+ספטמבר!M12+אוקטובר!M12+נובמבר!M12</f>
        <v>0</v>
      </c>
      <c r="M12" s="172" t="str">
        <f t="shared" si="3"/>
        <v/>
      </c>
      <c r="N12" s="86">
        <f t="shared" si="1"/>
        <v>4305.0200000000004</v>
      </c>
      <c r="P12" s="89">
        <f>_xlfn.XLOOKUP($A12,'תקציב  '!A:A,'תקציב  '!AV:AV)</f>
        <v>28576.15</v>
      </c>
      <c r="Q12" s="172">
        <f t="shared" si="4"/>
        <v>0.15065080495448127</v>
      </c>
      <c r="R12" s="89">
        <f t="shared" si="5"/>
        <v>-24271.13</v>
      </c>
    </row>
    <row r="13" spans="1:18" x14ac:dyDescent="0.2">
      <c r="A13" s="134">
        <v>15</v>
      </c>
      <c r="B13" s="89" t="s">
        <v>119</v>
      </c>
      <c r="C13" s="89" t="s">
        <v>151</v>
      </c>
      <c r="D13" s="89" t="s">
        <v>151</v>
      </c>
      <c r="E13" s="89" t="s">
        <v>40</v>
      </c>
      <c r="F13" s="86">
        <f>ינואר!E13+פברואר!E13+מרץ!E13+אפריל!E13+מאי!E13+יוני!E13+יולי!F13+אוגוסט!F13+ספטמבר!F13+אוקטובר!F13+נובמבר!F13</f>
        <v>1597.46</v>
      </c>
      <c r="G13" s="86">
        <f>ינואר!F13+פברואר!F13+מרץ!F13+אפריל!F13+מאי!F13+יוני!F13+יולי!G13+אוגוסט!G13+ספטמבר!G13+אוקטובר!G13+נובמבר!G13</f>
        <v>514.20000000000005</v>
      </c>
      <c r="H13" s="86">
        <f>ינואר!G13+פברואר!G13+מרץ!G13+אפריל!G13+מאי!G13+יוני!G13+יולי!H13+אוגוסט!H13+ספטמבר!H13+אוקטובר!H13+נובמבר!H13</f>
        <v>1896.82</v>
      </c>
      <c r="I13" s="172">
        <f t="shared" si="2"/>
        <v>2.6888759237650715</v>
      </c>
      <c r="J13" s="86">
        <f t="shared" si="0"/>
        <v>1382.62</v>
      </c>
      <c r="L13" s="86">
        <f>ינואר!J13+פברואר!J13+מרץ!J13+אפריל!J13+מאי!J13+יוני!J13+יולי!M13+אוגוסט!M13+ספטמבר!M13+אוקטובר!M13+נובמבר!M13</f>
        <v>25000</v>
      </c>
      <c r="M13" s="172">
        <f t="shared" si="3"/>
        <v>-0.92412720000000004</v>
      </c>
      <c r="N13" s="86">
        <f t="shared" si="1"/>
        <v>-23103.18</v>
      </c>
      <c r="P13" s="89">
        <f>_xlfn.XLOOKUP($A13,'תקציב  '!A:A,'תקציב  '!AV:AV)</f>
        <v>26896.82</v>
      </c>
      <c r="Q13" s="172">
        <f t="shared" si="4"/>
        <v>7.0522091459139027E-2</v>
      </c>
      <c r="R13" s="89">
        <f t="shared" si="5"/>
        <v>-25000</v>
      </c>
    </row>
    <row r="14" spans="1:18" x14ac:dyDescent="0.2">
      <c r="A14" s="134">
        <v>13</v>
      </c>
      <c r="B14" s="89" t="s">
        <v>114</v>
      </c>
      <c r="C14" s="89" t="s">
        <v>45</v>
      </c>
      <c r="D14" s="89" t="s">
        <v>45</v>
      </c>
      <c r="E14" s="89" t="s">
        <v>40</v>
      </c>
      <c r="F14" s="86">
        <f>ינואר!E14+פברואר!E14+מרץ!E14+אפריל!E14+מאי!E14+יוני!E14+יולי!F14+אוגוסט!F14+ספטמבר!F14+אוקטובר!F14+נובמבר!F14</f>
        <v>7057.5</v>
      </c>
      <c r="G14" s="86">
        <f>ינואר!F14+פברואר!F14+מרץ!F14+אפריל!F14+מאי!F14+יוני!F14+יולי!G14+אוגוסט!G14+ספטמבר!G14+אוקטובר!G14+נובמבר!G14</f>
        <v>11718.66</v>
      </c>
      <c r="H14" s="86">
        <f>ינואר!G14+פברואר!G14+מרץ!G14+אפריל!G14+מאי!G14+יוני!G14+יולי!H14+אוגוסט!H14+ספטמבר!H14+אוקטובר!H14+נובמבר!H14</f>
        <v>14953.48</v>
      </c>
      <c r="I14" s="172">
        <f t="shared" si="2"/>
        <v>0.27604009332125012</v>
      </c>
      <c r="J14" s="86">
        <f t="shared" si="0"/>
        <v>3234.8199999999997</v>
      </c>
      <c r="L14" s="86">
        <f>ינואר!J14+פברואר!J14+מרץ!J14+אפריל!J14+מאי!J14+יוני!J14+יולי!M14+אוגוסט!M14+ספטמבר!M14+אוקטובר!M14+נובמבר!M14</f>
        <v>400000</v>
      </c>
      <c r="M14" s="172">
        <f t="shared" si="3"/>
        <v>-0.96261629999999998</v>
      </c>
      <c r="N14" s="86">
        <f t="shared" si="1"/>
        <v>-385046.52</v>
      </c>
      <c r="P14" s="89">
        <f>_xlfn.XLOOKUP($A14,'תקציב  '!A:A,'תקציב  '!AV:AV)</f>
        <v>32748.720000000001</v>
      </c>
      <c r="Q14" s="172">
        <f t="shared" si="4"/>
        <v>0.45661265539538642</v>
      </c>
      <c r="R14" s="89">
        <f t="shared" si="5"/>
        <v>-17795.240000000002</v>
      </c>
    </row>
    <row r="15" spans="1:18" x14ac:dyDescent="0.2">
      <c r="A15" s="134">
        <v>9</v>
      </c>
      <c r="B15" s="89" t="s">
        <v>118</v>
      </c>
      <c r="C15" s="89" t="s">
        <v>73</v>
      </c>
      <c r="D15" s="89" t="s">
        <v>73</v>
      </c>
      <c r="E15" s="89" t="s">
        <v>40</v>
      </c>
      <c r="F15" s="86">
        <f>ינואר!E15+פברואר!E15+מרץ!E15+אפריל!E15+מאי!E15+יוני!E15+יולי!F15+אוגוסט!F15+ספטמבר!F15+אוקטובר!F15+נובמבר!F15</f>
        <v>68365.91</v>
      </c>
      <c r="G15" s="86">
        <f>ינואר!F15+פברואר!F15+מרץ!F15+אפריל!F15+מאי!F15+יוני!F15+יולי!G15+אוגוסט!G15+ספטמבר!G15+אוקטובר!G15+נובמבר!G15</f>
        <v>94340.1</v>
      </c>
      <c r="H15" s="86">
        <f>ינואר!G15+פברואר!G15+מרץ!G15+אפריל!G15+מאי!G15+יוני!G15+יולי!H15+אוגוסט!H15+ספטמבר!H15+אוקטובר!H15+נובמבר!H15</f>
        <v>118677.26000000001</v>
      </c>
      <c r="I15" s="172">
        <f t="shared" si="2"/>
        <v>0.25797259065869138</v>
      </c>
      <c r="J15" s="86">
        <f t="shared" si="0"/>
        <v>24337.160000000003</v>
      </c>
      <c r="L15" s="86">
        <f>ינואר!J15+פברואר!J15+מרץ!J15+אפריל!J15+מאי!J15+יוני!J15+יולי!M15+אוגוסט!M15+ספטמבר!M15+אוקטובר!M15+נובמבר!M15</f>
        <v>181746.03174603172</v>
      </c>
      <c r="M15" s="172">
        <f t="shared" si="3"/>
        <v>-0.34701594934497804</v>
      </c>
      <c r="N15" s="86">
        <f t="shared" si="1"/>
        <v>-63068.771746031707</v>
      </c>
      <c r="P15" s="89">
        <f>_xlfn.XLOOKUP($A15,'תקציב  '!A:A,'תקציב  '!AV:AV)</f>
        <v>214111.1</v>
      </c>
      <c r="Q15" s="172">
        <f t="shared" si="4"/>
        <v>0.554278876714005</v>
      </c>
      <c r="R15" s="89">
        <f t="shared" si="5"/>
        <v>-95433.84</v>
      </c>
    </row>
    <row r="16" spans="1:18" ht="15" x14ac:dyDescent="0.25">
      <c r="A16" s="136"/>
      <c r="B16" s="152"/>
      <c r="C16" s="152" t="s">
        <v>221</v>
      </c>
      <c r="D16" s="152" t="s">
        <v>221</v>
      </c>
      <c r="E16" s="152"/>
      <c r="F16" s="152">
        <f>SUM(F3:F15)</f>
        <v>15086113.038000001</v>
      </c>
      <c r="G16" s="152">
        <f>SUM(G3:G15)</f>
        <v>15190359.382000037</v>
      </c>
      <c r="H16" s="152">
        <f>SUM(H3:H15)</f>
        <v>11811070.981000002</v>
      </c>
      <c r="I16" s="173">
        <f t="shared" si="2"/>
        <v>-0.22246270256149137</v>
      </c>
      <c r="J16" s="152">
        <f>SUM(J3:J15)</f>
        <v>-3379288.4010000383</v>
      </c>
      <c r="L16" s="152">
        <f>SUM(L3:L15)</f>
        <v>18863638.888888888</v>
      </c>
      <c r="M16" s="173">
        <f t="shared" si="3"/>
        <v>-0.37387101976612835</v>
      </c>
      <c r="N16" s="152">
        <f>SUM(N3:N15)</f>
        <v>-7052567.9078888893</v>
      </c>
      <c r="P16" s="152">
        <f>SUM(P3:P15)</f>
        <v>15854549.047000002</v>
      </c>
      <c r="Q16" s="173">
        <f t="shared" si="4"/>
        <v>0.74496417059776876</v>
      </c>
      <c r="R16" s="152">
        <f t="shared" ref="R16:R41" si="6">E16-P16</f>
        <v>-15854549.047000002</v>
      </c>
    </row>
    <row r="17" spans="1:18" x14ac:dyDescent="0.2">
      <c r="A17" s="134">
        <v>2</v>
      </c>
      <c r="B17" s="89" t="s">
        <v>111</v>
      </c>
      <c r="C17" s="89" t="s">
        <v>7</v>
      </c>
      <c r="D17" s="89" t="s">
        <v>7</v>
      </c>
      <c r="E17" s="89" t="s">
        <v>40</v>
      </c>
      <c r="F17" s="86">
        <f>ינואר!E17+פברואר!E17+מרץ!E17+אפריל!E17+מאי!E17+יוני!E17+יולי!F17+אוגוסט!F17+ספטמבר!F17+אוקטובר!F17+נובמבר!F17</f>
        <v>588335.23</v>
      </c>
      <c r="G17" s="86">
        <f>ינואר!F17+פברואר!F17+מרץ!F17+אפריל!F17+מאי!F17+יוני!F17+יולי!G17+אוגוסט!G17+ספטמבר!G17+אוקטובר!G17+נובמבר!G17</f>
        <v>1443033.8299999973</v>
      </c>
      <c r="H17" s="86">
        <f>ינואר!G17+פברואר!G17+מרץ!G17+אפריל!G17+מאי!G17+יוני!G17+יולי!H17+אוגוסט!H17+ספטמבר!H17+אוקטובר!H17+נובמבר!H17</f>
        <v>3368003.3100000275</v>
      </c>
      <c r="I17" s="172">
        <f t="shared" si="2"/>
        <v>1.3339739096761396</v>
      </c>
      <c r="J17" s="86">
        <f>H17-G17</f>
        <v>1924969.4800000302</v>
      </c>
      <c r="L17" s="86">
        <f>ינואר!J17+פברואר!J17+מרץ!J17+אפריל!J17+מאי!J17+יוני!J17+יולי!M17+אוגוסט!M17+ספטמבר!M17+אוקטובר!M17+נובמבר!M17</f>
        <v>9299778.8135593235</v>
      </c>
      <c r="M17" s="172">
        <f t="shared" si="3"/>
        <v>-0.63784049303523327</v>
      </c>
      <c r="N17" s="86">
        <f>H17-L17</f>
        <v>-5931775.503559296</v>
      </c>
      <c r="P17" s="89">
        <f>_xlfn.XLOOKUP($A17,'תקציב  '!A:A,'תקציב  '!AV:AV)</f>
        <v>6312195.8271186752</v>
      </c>
      <c r="Q17" s="172">
        <f t="shared" si="4"/>
        <v>0.53357078934881819</v>
      </c>
      <c r="R17" s="89">
        <f t="shared" si="5"/>
        <v>-2944192.5171186477</v>
      </c>
    </row>
    <row r="18" spans="1:18" x14ac:dyDescent="0.2">
      <c r="A18" s="134">
        <v>12</v>
      </c>
      <c r="B18" s="89" t="s">
        <v>110</v>
      </c>
      <c r="C18" s="89" t="s">
        <v>65</v>
      </c>
      <c r="D18" s="89" t="s">
        <v>65</v>
      </c>
      <c r="E18" s="89" t="s">
        <v>40</v>
      </c>
      <c r="F18" s="86">
        <f>ינואר!E18+פברואר!E18+מרץ!E18+אפריל!E18+מאי!E18+יוני!E18+יולי!F18+אוגוסט!F18+ספטמבר!F18+אוקטובר!F18+נובמבר!F18</f>
        <v>32632.700000000004</v>
      </c>
      <c r="G18" s="86">
        <f>ינואר!F18+פברואר!F18+מרץ!F18+אפריל!F18+מאי!F18+יוני!F18+יולי!G18+אוגוסט!G18+ספטמבר!G18+אוקטובר!G18+נובמבר!G18</f>
        <v>25764.280000000002</v>
      </c>
      <c r="H18" s="86">
        <f>ינואר!G18+פברואר!G18+מרץ!G18+אפריל!G18+מאי!G18+יוני!G18+יולי!H18+אוגוסט!H18+ספטמבר!H18+אוקטובר!H18+נובמבר!H18</f>
        <v>13580.480000000003</v>
      </c>
      <c r="I18" s="172">
        <f t="shared" si="2"/>
        <v>-0.47289503141558775</v>
      </c>
      <c r="J18" s="86">
        <f>H18-G18</f>
        <v>-12183.8</v>
      </c>
      <c r="L18" s="86">
        <f>ינואר!J18+פברואר!J18+מרץ!J18+אפריל!J18+מאי!J18+יוני!J18+יולי!M18+אוגוסט!M18+ספטמבר!M18+אוקטובר!M18+נובמבר!M18</f>
        <v>27906.211666666662</v>
      </c>
      <c r="M18" s="172">
        <f t="shared" si="3"/>
        <v>-0.51335279176493964</v>
      </c>
      <c r="N18" s="86">
        <f>H18-L18</f>
        <v>-14325.731666666659</v>
      </c>
      <c r="P18" s="89">
        <f>_xlfn.XLOOKUP($A18,'תקציב  '!A:A,'תקציב  '!AV:AV)</f>
        <v>34807.020000000004</v>
      </c>
      <c r="Q18" s="172">
        <f t="shared" si="4"/>
        <v>0.39016497246819754</v>
      </c>
      <c r="R18" s="89">
        <f t="shared" si="5"/>
        <v>-21226.54</v>
      </c>
    </row>
    <row r="19" spans="1:18" ht="15" x14ac:dyDescent="0.25">
      <c r="A19" s="135"/>
      <c r="B19" s="152"/>
      <c r="C19" s="152" t="s">
        <v>41</v>
      </c>
      <c r="D19" s="152" t="s">
        <v>41</v>
      </c>
      <c r="E19" s="152"/>
      <c r="F19" s="152">
        <f>F16+F17+F18</f>
        <v>15707080.968</v>
      </c>
      <c r="G19" s="152">
        <f>G16+G17+G18</f>
        <v>16659157.492000034</v>
      </c>
      <c r="H19" s="152">
        <f>H16+H17+H18</f>
        <v>15192654.771000031</v>
      </c>
      <c r="I19" s="173">
        <f t="shared" si="2"/>
        <v>-8.8029825139971152E-2</v>
      </c>
      <c r="J19" s="152">
        <f>J16+J17+J18</f>
        <v>-1466502.7210000081</v>
      </c>
      <c r="L19" s="152">
        <f>L16+L17+L18</f>
        <v>28191323.914114878</v>
      </c>
      <c r="M19" s="173">
        <f t="shared" si="3"/>
        <v>-0.46108757370584685</v>
      </c>
      <c r="N19" s="152">
        <f>N16+N17+N18</f>
        <v>-12998669.143114852</v>
      </c>
      <c r="P19" s="152">
        <f>P16+P17+P18</f>
        <v>22201551.894118678</v>
      </c>
      <c r="Q19" s="173">
        <f t="shared" si="4"/>
        <v>0.68430598200771076</v>
      </c>
      <c r="R19" s="152">
        <f t="shared" si="6"/>
        <v>-22201551.894118678</v>
      </c>
    </row>
    <row r="20" spans="1:18" x14ac:dyDescent="0.2">
      <c r="A20" s="135">
        <v>50</v>
      </c>
      <c r="B20" s="89" t="s">
        <v>92</v>
      </c>
      <c r="C20" s="89" t="s">
        <v>74</v>
      </c>
      <c r="D20" s="89" t="s">
        <v>47</v>
      </c>
      <c r="E20" s="89" t="s">
        <v>38</v>
      </c>
      <c r="F20" s="86">
        <f>ינואר!E20+פברואר!E20+מרץ!E20+אפריל!E20+מאי!E20+יוני!E20+יולי!F20+אוגוסט!F20+ספטמבר!F20+אוקטובר!F20+נובמבר!F20</f>
        <v>3310887.05</v>
      </c>
      <c r="G20" s="86">
        <f>ינואר!F20+פברואר!F20+מרץ!F20+אפריל!F20+מאי!F20+יוני!F20+יולי!G20+אוגוסט!G20+ספטמבר!G20+אוקטובר!G20+נובמבר!G20</f>
        <v>2523272.7800000003</v>
      </c>
      <c r="H20" s="86">
        <f>ינואר!G20+פברואר!G20+מרץ!G20+אפריל!G20+מאי!G20+יוני!G20+יולי!H20+אוגוסט!H20+ספטמבר!H20+אוקטובר!H20+נובמבר!H20</f>
        <v>1879662.74</v>
      </c>
      <c r="I20" s="172">
        <f t="shared" si="2"/>
        <v>-0.25506954503745738</v>
      </c>
      <c r="J20" s="86">
        <f t="shared" ref="J20:J39" si="7">H20-G20</f>
        <v>-643610.04000000027</v>
      </c>
      <c r="L20" s="86">
        <f>ינואר!J20+פברואר!J20+מרץ!J20+אפריל!J20+מאי!J20+יוני!J20+יולי!M20+אוגוסט!M20+ספטמבר!M20+אוקטובר!M20+נובמבר!M20</f>
        <v>4374422.8266749997</v>
      </c>
      <c r="M20" s="172">
        <f t="shared" si="3"/>
        <v>-0.57030611477749349</v>
      </c>
      <c r="N20" s="86">
        <f t="shared" ref="N20:N39" si="8">H20-L20</f>
        <v>-2494760.0866749994</v>
      </c>
      <c r="P20" s="89">
        <f>_xlfn.XLOOKUP($A20,'תקציב  '!A:A,'תקציב  '!AV:AV)</f>
        <v>2800463.51</v>
      </c>
      <c r="Q20" s="172">
        <f t="shared" si="4"/>
        <v>0.67119701195463899</v>
      </c>
      <c r="R20" s="89">
        <f t="shared" si="5"/>
        <v>-920800.76999999979</v>
      </c>
    </row>
    <row r="21" spans="1:18" x14ac:dyDescent="0.2">
      <c r="A21" s="135">
        <v>20</v>
      </c>
      <c r="B21" s="89" t="s">
        <v>93</v>
      </c>
      <c r="C21" s="89" t="s">
        <v>75</v>
      </c>
      <c r="D21" s="89" t="s">
        <v>13</v>
      </c>
      <c r="E21" s="89" t="s">
        <v>39</v>
      </c>
      <c r="F21" s="86">
        <f>ינואר!E21+פברואר!E21+מרץ!E21+אפריל!E21+מאי!E21+יוני!E21+יולי!F21+אוגוסט!F21+ספטמבר!F21+אוקטובר!F21+נובמבר!F21</f>
        <v>741409.27</v>
      </c>
      <c r="G21" s="86">
        <f>ינואר!F21+פברואר!F21+מרץ!F21+אפריל!F21+מאי!F21+יוני!F21+יולי!G21+אוגוסט!G21+ספטמבר!G21+אוקטובר!G21+נובמבר!G21</f>
        <v>757795.90999999992</v>
      </c>
      <c r="H21" s="86">
        <f>ינואר!G21+פברואר!G21+מרץ!G21+אפריל!G21+מאי!G21+יוני!G21+יולי!H21+אוגוסט!H21+ספטמבר!H21+אוקטובר!H21+נובמבר!H21</f>
        <v>474182.59</v>
      </c>
      <c r="I21" s="172">
        <f t="shared" si="2"/>
        <v>-0.37426082175608455</v>
      </c>
      <c r="J21" s="86">
        <f t="shared" si="7"/>
        <v>-283613.31999999989</v>
      </c>
      <c r="L21" s="86">
        <f>ינואר!J21+פברואר!J21+מרץ!J21+אפריל!J21+מאי!J21+יוני!J21+יולי!M21+אוגוסט!M21+ספטמבר!M21+אוקטובר!M21+נובמבר!M21</f>
        <v>833000</v>
      </c>
      <c r="M21" s="172">
        <f t="shared" si="3"/>
        <v>-0.43075319327731088</v>
      </c>
      <c r="N21" s="86">
        <f t="shared" si="8"/>
        <v>-358817.41</v>
      </c>
      <c r="P21" s="89">
        <f>_xlfn.XLOOKUP($A21,'תקציב  '!A:A,'תקציב  '!AV:AV)</f>
        <v>772081.02</v>
      </c>
      <c r="Q21" s="172">
        <f t="shared" si="4"/>
        <v>0.61416169769333273</v>
      </c>
      <c r="R21" s="89">
        <f t="shared" si="5"/>
        <v>-297898.43</v>
      </c>
    </row>
    <row r="22" spans="1:18" x14ac:dyDescent="0.2">
      <c r="A22" s="135">
        <v>21</v>
      </c>
      <c r="B22" s="89" t="s">
        <v>94</v>
      </c>
      <c r="C22" s="89" t="s">
        <v>80</v>
      </c>
      <c r="D22" s="89" t="s">
        <v>18</v>
      </c>
      <c r="E22" s="89" t="s">
        <v>19</v>
      </c>
      <c r="F22" s="86">
        <f>ינואר!E22+פברואר!E22+מרץ!E22+אפריל!E22+מאי!E22+יוני!E22+יולי!F22+אוגוסט!F22+ספטמבר!F22+אוקטובר!F22+נובמבר!F22</f>
        <v>632351.76</v>
      </c>
      <c r="G22" s="86">
        <f>ינואר!F22+פברואר!F22+מרץ!F22+אפריל!F22+מאי!F22+יוני!F22+יולי!G22+אוגוסט!G22+ספטמבר!G22+אוקטובר!G22+נובמבר!G22</f>
        <v>405799.73</v>
      </c>
      <c r="H22" s="86">
        <f>ינואר!G22+פברואר!G22+מרץ!G22+אפריל!G22+מאי!G22+יוני!G22+יולי!H22+אוגוסט!H22+ספטמבר!H22+אוקטובר!H22+נובמבר!H22</f>
        <v>344263.09</v>
      </c>
      <c r="I22" s="172">
        <f t="shared" si="2"/>
        <v>-0.15164288059038378</v>
      </c>
      <c r="J22" s="86">
        <f t="shared" si="7"/>
        <v>-61536.639999999956</v>
      </c>
      <c r="L22" s="86">
        <f>ינואר!J22+פברואר!J22+מרץ!J22+אפריל!J22+מאי!J22+יוני!J22+יולי!M22+אוגוסט!M22+ספטמבר!M22+אוקטובר!M22+נובמבר!M22</f>
        <v>650000.27</v>
      </c>
      <c r="M22" s="172">
        <f t="shared" si="3"/>
        <v>-0.47036469692543359</v>
      </c>
      <c r="N22" s="86">
        <f t="shared" si="8"/>
        <v>-305737.18</v>
      </c>
      <c r="P22" s="89">
        <f>_xlfn.XLOOKUP($A22,'תקציב  '!A:A,'תקציב  '!AV:AV)</f>
        <v>613276.52</v>
      </c>
      <c r="Q22" s="172">
        <f t="shared" si="4"/>
        <v>0.56135051444656647</v>
      </c>
      <c r="R22" s="89">
        <f t="shared" si="5"/>
        <v>-269013.43</v>
      </c>
    </row>
    <row r="23" spans="1:18" x14ac:dyDescent="0.2">
      <c r="A23" s="135">
        <v>22</v>
      </c>
      <c r="B23" s="89" t="s">
        <v>95</v>
      </c>
      <c r="C23" s="89" t="s">
        <v>82</v>
      </c>
      <c r="D23" s="89" t="s">
        <v>14</v>
      </c>
      <c r="E23" s="89" t="s">
        <v>15</v>
      </c>
      <c r="F23" s="86">
        <f>ינואר!E23+פברואר!E23+מרץ!E23+אפריל!E23+מאי!E23+יוני!E23+יולי!F23+אוגוסט!F23+ספטמבר!F23+אוקטובר!F23+נובמבר!F23</f>
        <v>409442.72</v>
      </c>
      <c r="G23" s="86">
        <f>ינואר!F23+פברואר!F23+מרץ!F23+אפריל!F23+מאי!F23+יוני!F23+יולי!G23+אוגוסט!G23+ספטמבר!G23+אוקטובר!G23+נובמבר!G23</f>
        <v>414072.64</v>
      </c>
      <c r="H23" s="86">
        <f>ינואר!G23+פברואר!G23+מרץ!G23+אפריל!G23+מאי!G23+יוני!G23+יולי!H23+אוגוסט!H23+ספטמבר!H23+אוקטובר!H23+נובמבר!H23</f>
        <v>358276.36</v>
      </c>
      <c r="I23" s="172">
        <f t="shared" si="2"/>
        <v>-0.13474998010011008</v>
      </c>
      <c r="J23" s="86">
        <f t="shared" si="7"/>
        <v>-55796.280000000028</v>
      </c>
      <c r="L23" s="86">
        <f>ינואר!J23+פברואר!J23+מרץ!J23+אפריל!J23+מאי!J23+יוני!J23+יולי!M23+אוגוסט!M23+ספטמבר!M23+אוקטובר!M23+נובמבר!M23</f>
        <v>499999.97</v>
      </c>
      <c r="M23" s="172">
        <f t="shared" si="3"/>
        <v>-0.28344723700683416</v>
      </c>
      <c r="N23" s="86">
        <f t="shared" si="8"/>
        <v>-141723.60999999999</v>
      </c>
      <c r="P23" s="89">
        <f>_xlfn.XLOOKUP($A23,'תקציב  '!A:A,'תקציב  '!AV:AV)</f>
        <v>457053.13</v>
      </c>
      <c r="Q23" s="172">
        <f t="shared" si="4"/>
        <v>0.78388339666331563</v>
      </c>
      <c r="R23" s="89">
        <f t="shared" si="5"/>
        <v>-98776.770000000019</v>
      </c>
    </row>
    <row r="24" spans="1:18" x14ac:dyDescent="0.2">
      <c r="A24" s="135">
        <v>23</v>
      </c>
      <c r="B24" s="89" t="s">
        <v>96</v>
      </c>
      <c r="C24" s="89" t="s">
        <v>78</v>
      </c>
      <c r="D24" s="89" t="s">
        <v>24</v>
      </c>
      <c r="E24" s="89" t="s">
        <v>25</v>
      </c>
      <c r="F24" s="86">
        <f>ינואר!E24+פברואר!E24+מרץ!E24+אפריל!E24+מאי!E24+יוני!E24+יולי!F24+אוגוסט!F24+ספטמבר!F24+אוקטובר!F24+נובמבר!F24</f>
        <v>128758.9</v>
      </c>
      <c r="G24" s="86">
        <f>ינואר!F24+פברואר!F24+מרץ!F24+אפריל!F24+מאי!F24+יוני!F24+יולי!G24+אוגוסט!G24+ספטמבר!G24+אוקטובר!G24+נובמבר!G24</f>
        <v>122339</v>
      </c>
      <c r="H24" s="86">
        <f>ינואר!G24+פברואר!G24+מרץ!G24+אפריל!G24+מאי!G24+יוני!G24+יולי!H24+אוגוסט!H24+ספטמבר!H24+אוקטובר!H24+נובמבר!H24</f>
        <v>111290.53</v>
      </c>
      <c r="I24" s="172">
        <f t="shared" si="2"/>
        <v>-9.0310285354629372E-2</v>
      </c>
      <c r="J24" s="86">
        <f t="shared" si="7"/>
        <v>-11048.470000000001</v>
      </c>
      <c r="L24" s="86">
        <f>ינואר!J24+פברואר!J24+מרץ!J24+אפריל!J24+מאי!J24+יוני!J24+יולי!M24+אוגוסט!M24+ספטמבר!M24+אוקטובר!M24+נובמבר!M24</f>
        <v>139999.91999999998</v>
      </c>
      <c r="M24" s="172">
        <f t="shared" si="3"/>
        <v>-0.20506718860982198</v>
      </c>
      <c r="N24" s="86">
        <f t="shared" si="8"/>
        <v>-28709.389999999985</v>
      </c>
      <c r="P24" s="89">
        <f>_xlfn.XLOOKUP($A24,'תקציב  '!A:A,'תקציב  '!AV:AV)</f>
        <v>131678.59</v>
      </c>
      <c r="Q24" s="172">
        <f t="shared" si="4"/>
        <v>0.845167995799469</v>
      </c>
      <c r="R24" s="89">
        <f t="shared" si="5"/>
        <v>-20388.059999999998</v>
      </c>
    </row>
    <row r="25" spans="1:18" x14ac:dyDescent="0.2">
      <c r="A25" s="135">
        <v>24</v>
      </c>
      <c r="B25" s="89" t="s">
        <v>97</v>
      </c>
      <c r="C25" s="89" t="s">
        <v>79</v>
      </c>
      <c r="D25" s="89" t="s">
        <v>27</v>
      </c>
      <c r="E25" s="89" t="s">
        <v>46</v>
      </c>
      <c r="F25" s="86">
        <f>ינואר!E25+פברואר!E25+מרץ!E25+אפריל!E25+מאי!E25+יוני!E25+יולי!F25+אוגוסט!F25+ספטמבר!F25+אוקטובר!F25+נובמבר!F25</f>
        <v>160712.5</v>
      </c>
      <c r="G25" s="86">
        <f>ינואר!F25+פברואר!F25+מרץ!F25+אפריל!F25+מאי!F25+יוני!F25+יולי!G25+אוגוסט!G25+ספטמבר!G25+אוקטובר!G25+נובמבר!G25</f>
        <v>52899.82</v>
      </c>
      <c r="H25" s="86">
        <f>ינואר!G25+פברואר!G25+מרץ!G25+אפריל!G25+מאי!G25+יוני!G25+יולי!H25+אוגוסט!H25+ספטמבר!H25+אוקטובר!H25+נובמבר!H25</f>
        <v>0</v>
      </c>
      <c r="I25" s="172">
        <f t="shared" si="2"/>
        <v>-1</v>
      </c>
      <c r="J25" s="86">
        <f t="shared" si="7"/>
        <v>-52899.82</v>
      </c>
      <c r="L25" s="86">
        <f>ינואר!J25+פברואר!J25+מרץ!J25+אפריל!J25+מאי!J25+יוני!J25+יולי!M25+אוגוסט!M25+ספטמבר!M25+אוקטובר!M25+נובמבר!M25</f>
        <v>45000</v>
      </c>
      <c r="M25" s="172">
        <f t="shared" si="3"/>
        <v>-1</v>
      </c>
      <c r="N25" s="86">
        <f t="shared" si="8"/>
        <v>-45000</v>
      </c>
      <c r="P25" s="89">
        <f>_xlfn.XLOOKUP($A25,'תקציב  '!A:A,'תקציב  '!AV:AV)</f>
        <v>0</v>
      </c>
      <c r="Q25" s="172" t="str">
        <f t="shared" si="4"/>
        <v>-</v>
      </c>
      <c r="R25" s="89">
        <f t="shared" si="5"/>
        <v>0</v>
      </c>
    </row>
    <row r="26" spans="1:18" ht="13.5" customHeight="1" x14ac:dyDescent="0.2">
      <c r="A26" s="135">
        <v>25</v>
      </c>
      <c r="B26" s="89" t="s">
        <v>98</v>
      </c>
      <c r="C26" s="89" t="s">
        <v>87</v>
      </c>
      <c r="D26" s="89" t="s">
        <v>20</v>
      </c>
      <c r="E26" s="89" t="s">
        <v>21</v>
      </c>
      <c r="F26" s="86">
        <f>ינואר!E26+פברואר!E26+מרץ!E26+אפריל!E26+מאי!E26+יוני!E26+יולי!F26+אוגוסט!F26+ספטמבר!F26+אוקטובר!F26+נובמבר!F26</f>
        <v>249206.12</v>
      </c>
      <c r="G26" s="86">
        <f>ינואר!F26+פברואר!F26+מרץ!F26+אפריל!F26+מאי!F26+יוני!F26+יולי!G26+אוגוסט!G26+ספטמבר!G26+אוקטובר!G26+נובמבר!G26</f>
        <v>172805.93</v>
      </c>
      <c r="H26" s="86">
        <f>ינואר!G26+פברואר!G26+מרץ!G26+אפריל!G26+מאי!G26+יוני!G26+יולי!H26+אוגוסט!H26+ספטמבר!H26+אוקטובר!H26+נובמבר!H26</f>
        <v>365555.25</v>
      </c>
      <c r="I26" s="172">
        <f t="shared" si="2"/>
        <v>1.115409176062419</v>
      </c>
      <c r="J26" s="86">
        <f t="shared" si="7"/>
        <v>192749.32</v>
      </c>
      <c r="L26" s="86">
        <f>ינואר!J26+פברואר!J26+מרץ!J26+אפריל!J26+מאי!J26+יוני!J26+יולי!M26+אוגוסט!M26+ספטמבר!M26+אוקטובר!M26+נובמבר!M26</f>
        <v>450000</v>
      </c>
      <c r="M26" s="172">
        <f t="shared" si="3"/>
        <v>-0.18765500000000002</v>
      </c>
      <c r="N26" s="86">
        <f t="shared" si="8"/>
        <v>-84444.75</v>
      </c>
      <c r="P26" s="89">
        <f>_xlfn.XLOOKUP($A26,'תקציב  '!A:A,'תקציב  '!AV:AV)</f>
        <v>524147.47</v>
      </c>
      <c r="Q26" s="172">
        <f t="shared" si="4"/>
        <v>0.69742824476477971</v>
      </c>
      <c r="R26" s="89">
        <f t="shared" si="5"/>
        <v>-158592.21999999997</v>
      </c>
    </row>
    <row r="27" spans="1:18" x14ac:dyDescent="0.2">
      <c r="A27" s="135">
        <v>26</v>
      </c>
      <c r="B27" s="89" t="s">
        <v>99</v>
      </c>
      <c r="C27" s="89" t="s">
        <v>77</v>
      </c>
      <c r="D27" s="89" t="s">
        <v>26</v>
      </c>
      <c r="E27" s="89" t="s">
        <v>28</v>
      </c>
      <c r="F27" s="86">
        <f>ינואר!E27+פברואר!E27+מרץ!E27+אפריל!E27+מאי!E27+יוני!E27+יולי!F27+אוגוסט!F27+ספטמבר!F27+אוקטובר!F27+נובמבר!F27</f>
        <v>162967.90999999997</v>
      </c>
      <c r="G27" s="86">
        <f>ינואר!F27+פברואר!F27+מרץ!F27+אפריל!F27+מאי!F27+יוני!F27+יולי!G27+אוגוסט!G27+ספטמבר!G27+אוקטובר!G27+נובמבר!G27</f>
        <v>86855.65</v>
      </c>
      <c r="H27" s="86">
        <f>ינואר!G27+פברואר!G27+מרץ!G27+אפריל!G27+מאי!G27+יוני!G27+יולי!H27+אוגוסט!H27+ספטמבר!H27+אוקטובר!H27+נובמבר!H27</f>
        <v>60694.009999999995</v>
      </c>
      <c r="I27" s="172">
        <f t="shared" si="2"/>
        <v>-0.30120826912238874</v>
      </c>
      <c r="J27" s="86">
        <f t="shared" si="7"/>
        <v>-26161.64</v>
      </c>
      <c r="L27" s="86">
        <f>ינואר!J27+פברואר!J27+מרץ!J27+אפריל!J27+מאי!J27+יוני!J27+יולי!M27+אוגוסט!M27+ספטמבר!M27+אוקטובר!M27+נובמבר!M27</f>
        <v>200000</v>
      </c>
      <c r="M27" s="172">
        <f t="shared" si="3"/>
        <v>-0.69652994999999995</v>
      </c>
      <c r="N27" s="86">
        <f t="shared" si="8"/>
        <v>-139305.99</v>
      </c>
      <c r="P27" s="89">
        <f>_xlfn.XLOOKUP($A27,'תקציב  '!A:A,'תקציב  '!AV:AV)</f>
        <v>100694.01</v>
      </c>
      <c r="Q27" s="172">
        <f t="shared" si="4"/>
        <v>0.60275690679117855</v>
      </c>
      <c r="R27" s="89">
        <f t="shared" si="5"/>
        <v>-40000</v>
      </c>
    </row>
    <row r="28" spans="1:18" ht="13.5" customHeight="1" x14ac:dyDescent="0.2">
      <c r="A28" s="135">
        <v>27</v>
      </c>
      <c r="B28" s="89" t="s">
        <v>100</v>
      </c>
      <c r="C28" s="89" t="s">
        <v>88</v>
      </c>
      <c r="D28" s="89" t="s">
        <v>22</v>
      </c>
      <c r="E28" s="89" t="s">
        <v>23</v>
      </c>
      <c r="F28" s="86">
        <f>ינואר!E28+פברואר!E28+מרץ!E28+אפריל!E28+מאי!E28+יוני!E28+יולי!F28+אוגוסט!F28+ספטמבר!F28+אוקטובר!F28+נובמבר!F28</f>
        <v>287219.68000000005</v>
      </c>
      <c r="G28" s="86">
        <f>ינואר!F28+פברואר!F28+מרץ!F28+אפריל!F28+מאי!F28+יוני!F28+יולי!G28+אוגוסט!G28+ספטמבר!G28+אוקטובר!G28+נובמבר!G28</f>
        <v>256772.1</v>
      </c>
      <c r="H28" s="86">
        <f>ינואר!G28+פברואר!G28+מרץ!G28+אפריל!G28+מאי!G28+יוני!G28+יולי!H28+אוגוסט!H28+ספטמבר!H28+אוקטובר!H28+נובמבר!H28</f>
        <v>0</v>
      </c>
      <c r="I28" s="172">
        <f t="shared" si="2"/>
        <v>-1</v>
      </c>
      <c r="J28" s="86">
        <f t="shared" si="7"/>
        <v>-256772.1</v>
      </c>
      <c r="L28" s="86">
        <f>ינואר!J28+פברואר!J28+מרץ!J28+אפריל!J28+מאי!J28+יוני!J28+יולי!M28+אוגוסט!M28+ספטמבר!M28+אוקטובר!M28+נובמבר!M28</f>
        <v>250000</v>
      </c>
      <c r="M28" s="172">
        <f t="shared" si="3"/>
        <v>-1</v>
      </c>
      <c r="N28" s="86">
        <f t="shared" si="8"/>
        <v>-250000</v>
      </c>
      <c r="P28" s="89">
        <f>_xlfn.XLOOKUP($A28,'תקציב  '!A:A,'תקציב  '!AV:AV)</f>
        <v>250000</v>
      </c>
      <c r="Q28" s="172">
        <f t="shared" si="4"/>
        <v>0</v>
      </c>
      <c r="R28" s="89">
        <f t="shared" si="5"/>
        <v>-250000</v>
      </c>
    </row>
    <row r="29" spans="1:18" ht="13.5" customHeight="1" x14ac:dyDescent="0.2">
      <c r="A29" s="135">
        <v>28</v>
      </c>
      <c r="B29" s="89" t="s">
        <v>101</v>
      </c>
      <c r="C29" s="89" t="s">
        <v>89</v>
      </c>
      <c r="D29" s="89" t="s">
        <v>16</v>
      </c>
      <c r="E29" s="89" t="s">
        <v>17</v>
      </c>
      <c r="F29" s="86">
        <f>ינואר!E29+פברואר!E29+מרץ!E29+אפריל!E29+מאי!E29+יוני!E29+יולי!F29+אוגוסט!F29+ספטמבר!F29+אוקטובר!F29+נובמבר!F29</f>
        <v>348874.04</v>
      </c>
      <c r="G29" s="86">
        <f>ינואר!F29+פברואר!F29+מרץ!F29+אפריל!F29+מאי!F29+יוני!F29+יולי!G29+אוגוסט!G29+ספטמבר!G29+אוקטובר!G29+נובמבר!G29</f>
        <v>364511.72000000003</v>
      </c>
      <c r="H29" s="86">
        <f>ינואר!G29+פברואר!G29+מרץ!G29+אפריל!G29+מאי!G29+יוני!G29+יולי!H29+אוגוסט!H29+ספטמבר!H29+אוקטובר!H29+נובמבר!H29</f>
        <v>300835.11</v>
      </c>
      <c r="I29" s="172">
        <f t="shared" si="2"/>
        <v>-0.17469015811069133</v>
      </c>
      <c r="J29" s="86">
        <f t="shared" si="7"/>
        <v>-63676.610000000044</v>
      </c>
      <c r="L29" s="86">
        <f>ינואר!J29+פברואר!J29+מרץ!J29+אפריל!J29+מאי!J29+יוני!J29+יולי!M29+אוגוסט!M29+ספטמבר!M29+אוקטובר!M29+נובמבר!M29</f>
        <v>410234.924</v>
      </c>
      <c r="M29" s="172">
        <f t="shared" si="3"/>
        <v>-0.2666760131811694</v>
      </c>
      <c r="N29" s="86">
        <f t="shared" si="8"/>
        <v>-109399.81400000001</v>
      </c>
      <c r="P29" s="89">
        <f>_xlfn.XLOOKUP($A29,'תקציב  '!A:A,'תקציב  '!AV:AV)</f>
        <v>363207.08999999997</v>
      </c>
      <c r="Q29" s="172">
        <f t="shared" si="4"/>
        <v>0.82827433242010784</v>
      </c>
      <c r="R29" s="89">
        <f t="shared" si="5"/>
        <v>-62371.979999999981</v>
      </c>
    </row>
    <row r="30" spans="1:18" x14ac:dyDescent="0.2">
      <c r="A30" s="135">
        <v>29</v>
      </c>
      <c r="B30" s="89" t="s">
        <v>102</v>
      </c>
      <c r="C30" s="89" t="s">
        <v>81</v>
      </c>
      <c r="D30" s="89" t="s">
        <v>29</v>
      </c>
      <c r="E30" s="89" t="s">
        <v>30</v>
      </c>
      <c r="F30" s="86">
        <f>ינואר!E30+פברואר!E30+מרץ!E30+אפריל!E30+מאי!E30+יוני!E30+יולי!F30+אוגוסט!F30+ספטמבר!F30+אוקטובר!F30+נובמבר!F30</f>
        <v>107690.85</v>
      </c>
      <c r="G30" s="86">
        <f>ינואר!F30+פברואר!F30+מרץ!F30+אפריל!F30+מאי!F30+יוני!F30+יולי!G30+אוגוסט!G30+ספטמבר!G30+אוקטובר!G30+נובמבר!G30</f>
        <v>64554.59</v>
      </c>
      <c r="H30" s="86">
        <f>ינואר!G30+פברואר!G30+מרץ!G30+אפריל!G30+מאי!G30+יוני!G30+יולי!H30+אוגוסט!H30+ספטמבר!H30+אוקטובר!H30+נובמבר!H30</f>
        <v>43116.44</v>
      </c>
      <c r="I30" s="172">
        <f t="shared" si="2"/>
        <v>-0.33209334921033495</v>
      </c>
      <c r="J30" s="86">
        <f t="shared" si="7"/>
        <v>-21438.149999999994</v>
      </c>
      <c r="L30" s="86">
        <f>ינואר!J30+פברואר!J30+מרץ!J30+אפריל!J30+מאי!J30+יוני!J30+יולי!M30+אוגוסט!M30+ספטמבר!M30+אוקטובר!M30+נובמבר!M30</f>
        <v>70000</v>
      </c>
      <c r="M30" s="172">
        <f t="shared" si="3"/>
        <v>-0.38405085714285714</v>
      </c>
      <c r="N30" s="86">
        <f t="shared" si="8"/>
        <v>-26883.559999999998</v>
      </c>
      <c r="P30" s="89">
        <f>_xlfn.XLOOKUP($A30,'תקציב  '!A:A,'תקציב  '!AV:AV)</f>
        <v>73116.44</v>
      </c>
      <c r="Q30" s="172">
        <f t="shared" si="4"/>
        <v>0.58969555957593123</v>
      </c>
      <c r="R30" s="89">
        <f t="shared" si="5"/>
        <v>-30000</v>
      </c>
    </row>
    <row r="31" spans="1:18" x14ac:dyDescent="0.2">
      <c r="A31" s="135">
        <v>30</v>
      </c>
      <c r="B31" s="89" t="s">
        <v>103</v>
      </c>
      <c r="C31" s="89" t="s">
        <v>76</v>
      </c>
      <c r="D31" s="89" t="s">
        <v>34</v>
      </c>
      <c r="E31" s="89" t="s">
        <v>30</v>
      </c>
      <c r="F31" s="86">
        <f>ינואר!E31+פברואר!E31+מרץ!E31+אפריל!E31+מאי!E31+יוני!E31+יולי!F31+אוגוסט!F31+ספטמבר!F31+אוקטובר!F31+נובמבר!F31</f>
        <v>41028.36</v>
      </c>
      <c r="G31" s="86">
        <f>ינואר!F31+פברואר!F31+מרץ!F31+אפריל!F31+מאי!F31+יוני!F31+יולי!G31+אוגוסט!G31+ספטמבר!G31+אוקטובר!G31+נובמבר!G31</f>
        <v>60908.200000000004</v>
      </c>
      <c r="H31" s="86">
        <f>ינואר!G31+פברואר!G31+מרץ!G31+אפריל!G31+מאי!G31+יוני!G31+יולי!H31+אוגוסט!H31+ספטמבר!H31+אוקטובר!H31+נובמבר!H31</f>
        <v>39400.130000000005</v>
      </c>
      <c r="I31" s="172">
        <f t="shared" si="2"/>
        <v>-0.35312273224294921</v>
      </c>
      <c r="J31" s="86">
        <f t="shared" si="7"/>
        <v>-21508.07</v>
      </c>
      <c r="L31" s="86">
        <f>ינואר!J31+פברואר!J31+מרץ!J31+אפריל!J31+מאי!J31+יוני!J31+יולי!M31+אוגוסט!M31+ספטמבר!M31+אוקטובר!M31+נובמבר!M31</f>
        <v>59793</v>
      </c>
      <c r="M31" s="172">
        <f t="shared" si="3"/>
        <v>-0.34105781613232311</v>
      </c>
      <c r="N31" s="86">
        <f t="shared" si="8"/>
        <v>-20392.869999999995</v>
      </c>
      <c r="P31" s="89">
        <f>_xlfn.XLOOKUP($A31,'תקציב  '!A:A,'תקציב  '!AV:AV)</f>
        <v>42809.5</v>
      </c>
      <c r="Q31" s="172">
        <f t="shared" si="4"/>
        <v>0.92035949964377073</v>
      </c>
      <c r="R31" s="89">
        <f t="shared" si="5"/>
        <v>-3409.3699999999953</v>
      </c>
    </row>
    <row r="32" spans="1:18" ht="13.5" customHeight="1" x14ac:dyDescent="0.2">
      <c r="A32" s="135">
        <v>31</v>
      </c>
      <c r="B32" s="89" t="s">
        <v>85</v>
      </c>
      <c r="C32" s="89" t="s">
        <v>85</v>
      </c>
      <c r="D32" s="89" t="s">
        <v>32</v>
      </c>
      <c r="E32" s="89" t="s">
        <v>33</v>
      </c>
      <c r="F32" s="86">
        <f>ינואר!E32+פברואר!E32+מרץ!E32+אפריל!E32+מאי!E32+יוני!E32+יולי!F32+אוגוסט!F32+ספטמבר!F32+אוקטובר!F32+נובמבר!F32</f>
        <v>31722.98</v>
      </c>
      <c r="G32" s="86">
        <f>ינואר!F32+פברואר!F32+מרץ!F32+אפריל!F32+מאי!F32+יוני!F32+יולי!G32+אוגוסט!G32+ספטמבר!G32+אוקטובר!G32+נובמבר!G32</f>
        <v>81786.570000000007</v>
      </c>
      <c r="H32" s="86">
        <f>ינואר!G32+פברואר!G32+מרץ!G32+אפריל!G32+מאי!G32+יוני!G32+יולי!H32+אוגוסט!H32+ספטמבר!H32+אוקטובר!H32+נובמבר!H32</f>
        <v>10037.15</v>
      </c>
      <c r="I32" s="172">
        <f t="shared" si="2"/>
        <v>-0.87727630587760319</v>
      </c>
      <c r="J32" s="86">
        <f t="shared" si="7"/>
        <v>-71749.420000000013</v>
      </c>
      <c r="L32" s="86">
        <f>ינואר!J32+פברואר!J32+מרץ!J32+אפריל!J32+מאי!J32+יוני!J32+יולי!M32+אוגוסט!M32+ספטמבר!M32+אוקטובר!M32+נובמבר!M32</f>
        <v>85000</v>
      </c>
      <c r="M32" s="172">
        <f t="shared" si="3"/>
        <v>-0.88191588235294116</v>
      </c>
      <c r="N32" s="86">
        <f t="shared" si="8"/>
        <v>-74962.850000000006</v>
      </c>
      <c r="P32" s="89">
        <f>_xlfn.XLOOKUP($A32,'תקציב  '!A:A,'תקציב  '!AV:AV)</f>
        <v>17500</v>
      </c>
      <c r="Q32" s="172">
        <f t="shared" si="4"/>
        <v>0.5735514285714286</v>
      </c>
      <c r="R32" s="89">
        <f t="shared" si="5"/>
        <v>-7462.85</v>
      </c>
    </row>
    <row r="33" spans="1:18" ht="13.5" customHeight="1" x14ac:dyDescent="0.2">
      <c r="A33" s="135"/>
      <c r="B33" s="89"/>
      <c r="C33" s="89"/>
      <c r="D33" s="89" t="s">
        <v>11</v>
      </c>
      <c r="E33" s="89" t="s">
        <v>12</v>
      </c>
      <c r="F33" s="86">
        <f>ינואר!E33+פברואר!E33+מרץ!E33+אפריל!E33+מאי!E33+יוני!E33+יולי!F33+אוגוסט!F33+ספטמבר!F33+אוקטובר!F33+נובמבר!F33</f>
        <v>0</v>
      </c>
      <c r="G33" s="86">
        <f>ינואר!F33+פברואר!F33+מרץ!F33+אפריל!F33+מאי!F33+יוני!F33+יולי!G33+אוגוסט!G33+ספטמבר!G33+אוקטובר!G33+נובמבר!G33</f>
        <v>0</v>
      </c>
      <c r="H33" s="86">
        <f>ינואר!G33+פברואר!G33+מרץ!G33+אפריל!G33+מאי!G33+יוני!G33+יולי!H33+אוגוסט!H33+ספטמבר!H33+אוקטובר!H33+נובמבר!H33</f>
        <v>0</v>
      </c>
      <c r="I33" s="172" t="str">
        <f t="shared" si="2"/>
        <v/>
      </c>
      <c r="J33" s="86">
        <f t="shared" si="7"/>
        <v>0</v>
      </c>
      <c r="L33" s="86">
        <f>ינואר!J33+פברואר!J33+מרץ!J33+אפריל!J33+מאי!J33+יוני!J33+יולי!M33+אוגוסט!M33+ספטמבר!M33+אוקטובר!M33+נובמבר!M33</f>
        <v>0</v>
      </c>
      <c r="M33" s="172" t="str">
        <f t="shared" si="3"/>
        <v/>
      </c>
      <c r="N33" s="86">
        <f t="shared" si="8"/>
        <v>0</v>
      </c>
      <c r="P33" s="89">
        <f>_xlfn.XLOOKUP($A33,'תקציב  '!A:A,'תקציב  '!AV:AV)</f>
        <v>0</v>
      </c>
      <c r="Q33" s="172" t="str">
        <f t="shared" si="4"/>
        <v>-</v>
      </c>
      <c r="R33" s="89">
        <f t="shared" si="5"/>
        <v>0</v>
      </c>
    </row>
    <row r="34" spans="1:18" ht="13.5" customHeight="1" x14ac:dyDescent="0.2">
      <c r="A34" s="135">
        <v>32</v>
      </c>
      <c r="B34" s="89" t="s">
        <v>104</v>
      </c>
      <c r="C34" s="89" t="s">
        <v>86</v>
      </c>
      <c r="D34" s="89" t="s">
        <v>31</v>
      </c>
      <c r="E34" s="89" t="s">
        <v>49</v>
      </c>
      <c r="F34" s="86">
        <f>ינואר!E34+פברואר!E34+מרץ!E34+אפריל!E34+מאי!E34+יוני!E34+יולי!F34+אוגוסט!F34+ספטמבר!F34+אוקטובר!F34+נובמבר!F34</f>
        <v>35826.780000000006</v>
      </c>
      <c r="G34" s="86">
        <f>ינואר!F34+פברואר!F34+מרץ!F34+אפריל!F34+מאי!F34+יוני!F34+יולי!G34+אוגוסט!G34+ספטמבר!G34+אוקטובר!G34+נובמבר!G34</f>
        <v>39713.57</v>
      </c>
      <c r="H34" s="86">
        <f>ינואר!G34+פברואר!G34+מרץ!G34+אפריל!G34+מאי!G34+יוני!G34+יולי!H34+אוגוסט!H34+ספטמבר!H34+אוקטובר!H34+נובמבר!H34</f>
        <v>37142.71</v>
      </c>
      <c r="I34" s="172">
        <f t="shared" si="2"/>
        <v>-6.4735051520173115E-2</v>
      </c>
      <c r="J34" s="86">
        <f t="shared" si="7"/>
        <v>-2570.8600000000006</v>
      </c>
      <c r="L34" s="86">
        <f>ינואר!J34+פברואר!J34+מרץ!J34+אפריל!J34+מאי!J34+יוני!J34+יולי!M34+אוגוסט!M34+ספטמבר!M34+אוקטובר!M34+נובמבר!M34</f>
        <v>40000</v>
      </c>
      <c r="M34" s="172">
        <f t="shared" si="3"/>
        <v>-7.1432249999999975E-2</v>
      </c>
      <c r="N34" s="86">
        <f t="shared" si="8"/>
        <v>-2857.2900000000009</v>
      </c>
      <c r="P34" s="89">
        <f>_xlfn.XLOOKUP($A34,'תקציב  '!A:A,'תקציב  '!AV:AV)</f>
        <v>38792.660000000003</v>
      </c>
      <c r="Q34" s="172">
        <f t="shared" si="4"/>
        <v>0.95746746936147187</v>
      </c>
      <c r="R34" s="89">
        <f t="shared" si="5"/>
        <v>-1649.9500000000044</v>
      </c>
    </row>
    <row r="35" spans="1:18" ht="13.5" customHeight="1" x14ac:dyDescent="0.2">
      <c r="A35" s="135">
        <v>33</v>
      </c>
      <c r="B35" s="89" t="s">
        <v>105</v>
      </c>
      <c r="C35" s="89" t="s">
        <v>83</v>
      </c>
      <c r="D35" s="89" t="s">
        <v>84</v>
      </c>
      <c r="E35" s="89" t="s">
        <v>48</v>
      </c>
      <c r="F35" s="86">
        <f>ינואר!E35+פברואר!E35+מרץ!E35+אפריל!E35+מאי!E35+יוני!E35+יולי!F35+אוגוסט!F35+ספטמבר!F35+אוקטובר!F35+נובמבר!F35</f>
        <v>59175.03</v>
      </c>
      <c r="G35" s="86">
        <f>ינואר!F35+פברואר!F35+מרץ!F35+אפריל!F35+מאי!F35+יוני!F35+יולי!G35+אוגוסט!G35+ספטמבר!G35+אוקטובר!G35+נובמבר!G35</f>
        <v>53863.18</v>
      </c>
      <c r="H35" s="86">
        <f>ינואר!G35+פברואר!G35+מרץ!G35+אפריל!G35+מאי!G35+יוני!G35+יולי!H35+אוגוסט!H35+ספטמבר!H35+אוקטובר!H35+נובמבר!H35</f>
        <v>26105.72</v>
      </c>
      <c r="I35" s="172">
        <f t="shared" si="2"/>
        <v>-0.51533273750268727</v>
      </c>
      <c r="J35" s="86">
        <f t="shared" si="7"/>
        <v>-27757.46</v>
      </c>
      <c r="L35" s="86">
        <f>ינואר!J35+פברואר!J35+מרץ!J35+אפריל!J35+מאי!J35+יוני!J35+יולי!M35+אוגוסט!M35+ספטמבר!M35+אוקטובר!M35+נובמבר!M35</f>
        <v>80000</v>
      </c>
      <c r="M35" s="172">
        <f t="shared" si="3"/>
        <v>-0.67367849999999996</v>
      </c>
      <c r="N35" s="86">
        <f t="shared" si="8"/>
        <v>-53894.28</v>
      </c>
      <c r="P35" s="89">
        <f>_xlfn.XLOOKUP($A35,'תקציב  '!A:A,'תקציב  '!AV:AV)</f>
        <v>0</v>
      </c>
      <c r="Q35" s="172" t="str">
        <f t="shared" si="4"/>
        <v>-</v>
      </c>
      <c r="R35" s="89">
        <f t="shared" si="5"/>
        <v>26105.72</v>
      </c>
    </row>
    <row r="36" spans="1:18" x14ac:dyDescent="0.2">
      <c r="A36" s="135"/>
      <c r="B36" s="89" t="s">
        <v>107</v>
      </c>
      <c r="C36" s="89" t="s">
        <v>107</v>
      </c>
      <c r="D36" s="89" t="s">
        <v>37</v>
      </c>
      <c r="E36" s="89" t="s">
        <v>17</v>
      </c>
      <c r="F36" s="86">
        <f>ינואר!E36+פברואר!E36+מרץ!E36+אפריל!E36+מאי!E36+יוני!E36+יולי!F36+אוגוסט!F36+ספטמבר!F36+אוקטובר!F36+נובמבר!F36</f>
        <v>41531.96</v>
      </c>
      <c r="G36" s="86">
        <f>ינואר!F36+פברואר!F36+מרץ!F36+אפריל!F36+מאי!F36+יוני!F36+יולי!G36+אוגוסט!G36+ספטמבר!G36+אוקטובר!G36+נובמבר!G36</f>
        <v>0</v>
      </c>
      <c r="H36" s="86">
        <f>ינואר!G36+פברואר!G36+מרץ!G36+אפריל!G36+מאי!G36+יוני!G36+יולי!H36+אוגוסט!H36+ספטמבר!H36+אוקטובר!H36+נובמבר!H36</f>
        <v>0</v>
      </c>
      <c r="I36" s="172" t="str">
        <f t="shared" si="2"/>
        <v/>
      </c>
      <c r="J36" s="86">
        <f t="shared" si="7"/>
        <v>0</v>
      </c>
      <c r="L36" s="86">
        <f>ינואר!J36+פברואר!J36+מרץ!J36+אפריל!J36+מאי!J36+יוני!J36+יולי!M36+אוגוסט!M36+ספטמבר!M36+אוקטובר!M36+נובמבר!M36</f>
        <v>0</v>
      </c>
      <c r="M36" s="172" t="str">
        <f t="shared" si="3"/>
        <v/>
      </c>
      <c r="N36" s="86">
        <f t="shared" si="8"/>
        <v>0</v>
      </c>
      <c r="P36" s="89">
        <f>_xlfn.XLOOKUP($A36,'תקציב  '!A:A,'תקציב  '!AV:AV)</f>
        <v>0</v>
      </c>
      <c r="Q36" s="172" t="str">
        <f t="shared" si="4"/>
        <v>-</v>
      </c>
      <c r="R36" s="89">
        <f t="shared" si="5"/>
        <v>0</v>
      </c>
    </row>
    <row r="37" spans="1:18" x14ac:dyDescent="0.2">
      <c r="A37" s="135">
        <v>34</v>
      </c>
      <c r="B37" s="89" t="s">
        <v>108</v>
      </c>
      <c r="C37" s="89" t="s">
        <v>108</v>
      </c>
      <c r="D37" s="89" t="s">
        <v>35</v>
      </c>
      <c r="E37" s="89" t="s">
        <v>36</v>
      </c>
      <c r="F37" s="86">
        <f>ינואר!E37+פברואר!E37+מרץ!E37+אפריל!E37+מאי!E37+יוני!E37+יולי!F37+אוגוסט!F37+ספטמבר!F37+אוקטובר!F37+נובמבר!F37</f>
        <v>22310.959999999999</v>
      </c>
      <c r="G37" s="86">
        <f>ינואר!F37+פברואר!F37+מרץ!F37+אפריל!F37+מאי!F37+יוני!F37+יולי!G37+אוגוסט!G37+ספטמבר!G37+אוקטובר!G37+נובמבר!G37</f>
        <v>0</v>
      </c>
      <c r="H37" s="86">
        <f>ינואר!G37+פברואר!G37+מרץ!G37+אפריל!G37+מאי!G37+יוני!G37+יולי!H37+אוגוסט!H37+ספטמבר!H37+אוקטובר!H37+נובמבר!H37</f>
        <v>0</v>
      </c>
      <c r="I37" s="172" t="str">
        <f t="shared" si="2"/>
        <v/>
      </c>
      <c r="J37" s="86">
        <f t="shared" si="7"/>
        <v>0</v>
      </c>
      <c r="L37" s="86">
        <f>ינואר!J37+פברואר!J37+מרץ!J37+אפריל!J37+מאי!J37+יוני!J37+יולי!M37+אוגוסט!M37+ספטמבר!M37+אוקטובר!M37+נובמבר!M37</f>
        <v>0</v>
      </c>
      <c r="M37" s="172" t="str">
        <f t="shared" si="3"/>
        <v/>
      </c>
      <c r="N37" s="86">
        <f t="shared" si="8"/>
        <v>0</v>
      </c>
      <c r="P37" s="89">
        <f>_xlfn.XLOOKUP($A37,'תקציב  '!A:A,'תקציב  '!AV:AV)</f>
        <v>0</v>
      </c>
      <c r="Q37" s="172" t="str">
        <f t="shared" si="4"/>
        <v>-</v>
      </c>
      <c r="R37" s="89">
        <f t="shared" si="5"/>
        <v>0</v>
      </c>
    </row>
    <row r="38" spans="1:18" ht="13.5" customHeight="1" x14ac:dyDescent="0.2">
      <c r="A38" s="135">
        <v>35</v>
      </c>
      <c r="B38" s="89" t="s">
        <v>109</v>
      </c>
      <c r="C38" s="89" t="s">
        <v>109</v>
      </c>
      <c r="D38" s="89" t="s">
        <v>70</v>
      </c>
      <c r="E38" s="89" t="s">
        <v>38</v>
      </c>
      <c r="F38" s="86">
        <f>ינואר!E38+פברואר!E38+מרץ!E38+אפריל!E38+מאי!E38+יוני!E38+יולי!F38+אוגוסט!F38+ספטמבר!F38+אוקטובר!F38+נובמבר!F38</f>
        <v>-1.37</v>
      </c>
      <c r="G38" s="86">
        <f>ינואר!F38+פברואר!F38+מרץ!F38+אפריל!F38+מאי!F38+יוני!F38+יולי!G38+אוגוסט!G38+ספטמבר!G38+אוקטובר!G38+נובמבר!G38</f>
        <v>248.59</v>
      </c>
      <c r="H38" s="86">
        <f>ינואר!G38+פברואר!G38+מרץ!G38+אפריל!G38+מאי!G38+יוני!G38+יולי!H38+אוגוסט!H38+ספטמבר!H38+אוקטובר!H38+נובמבר!H38</f>
        <v>0</v>
      </c>
      <c r="I38" s="172">
        <f t="shared" si="2"/>
        <v>-1</v>
      </c>
      <c r="J38" s="86">
        <f t="shared" si="7"/>
        <v>-248.59</v>
      </c>
      <c r="L38" s="86">
        <f>ינואר!J38+פברואר!J38+מרץ!J38+אפריל!J38+מאי!J38+יוני!J38+יולי!M38+אוגוסט!M38+ספטמבר!M38+אוקטובר!M38+נובמבר!M38</f>
        <v>600000</v>
      </c>
      <c r="M38" s="172">
        <f t="shared" si="3"/>
        <v>-1</v>
      </c>
      <c r="N38" s="86">
        <f t="shared" si="8"/>
        <v>-600000</v>
      </c>
      <c r="P38" s="89">
        <f>_xlfn.XLOOKUP($A38,'תקציב  '!A:A,'תקציב  '!AV:AV)</f>
        <v>0</v>
      </c>
      <c r="Q38" s="172" t="str">
        <f t="shared" si="4"/>
        <v>-</v>
      </c>
      <c r="R38" s="89">
        <f t="shared" si="5"/>
        <v>0</v>
      </c>
    </row>
    <row r="39" spans="1:18" ht="13.5" customHeight="1" x14ac:dyDescent="0.2">
      <c r="A39" s="135">
        <v>36</v>
      </c>
      <c r="B39" s="89"/>
      <c r="C39" s="89" t="s">
        <v>91</v>
      </c>
      <c r="D39" s="89" t="s">
        <v>91</v>
      </c>
      <c r="E39" s="89"/>
      <c r="F39" s="86">
        <f>ינואר!E39+פברואר!E39+מרץ!E39+אפריל!E39+מאי!E39+יוני!E39+יולי!F39+אוגוסט!F39+ספטמבר!F39+אוקטובר!F39+נובמבר!F39</f>
        <v>0</v>
      </c>
      <c r="G39" s="86">
        <f>ינואר!F39+פברואר!F39+מרץ!F39+אפריל!F39+מאי!F39+יוני!F39+יולי!G39+אוגוסט!G39+ספטמבר!G39+אוקטובר!G39+נובמבר!G39</f>
        <v>0</v>
      </c>
      <c r="H39" s="86">
        <f>ינואר!G39+פברואר!G39+מרץ!G39+אפריל!G39+מאי!G39+יוני!G39+יולי!H39+אוגוסט!H39+ספטמבר!H39+אוקטובר!H39+נובמבר!H39</f>
        <v>0</v>
      </c>
      <c r="I39" s="172" t="str">
        <f t="shared" si="2"/>
        <v/>
      </c>
      <c r="J39" s="86">
        <f t="shared" si="7"/>
        <v>0</v>
      </c>
      <c r="L39" s="86">
        <f>ינואר!J39+פברואר!J39+מרץ!J39+אפריל!J39+מאי!J39+יוני!J39+יולי!M39+אוגוסט!M39+ספטמבר!M39+אוקטובר!M39+נובמבר!M39</f>
        <v>400000</v>
      </c>
      <c r="M39" s="172">
        <f t="shared" si="3"/>
        <v>-1</v>
      </c>
      <c r="N39" s="86">
        <f t="shared" si="8"/>
        <v>-400000</v>
      </c>
      <c r="P39" s="89">
        <f>_xlfn.XLOOKUP($A39,'תקציב  '!A:A,'תקציב  '!AV:AV)</f>
        <v>100000</v>
      </c>
      <c r="Q39" s="172">
        <f t="shared" si="4"/>
        <v>0</v>
      </c>
      <c r="R39" s="89">
        <f t="shared" si="5"/>
        <v>-100000</v>
      </c>
    </row>
    <row r="40" spans="1:18" ht="15" x14ac:dyDescent="0.25">
      <c r="A40" s="135"/>
      <c r="B40" s="157"/>
      <c r="C40" s="157" t="s">
        <v>42</v>
      </c>
      <c r="D40" s="157" t="s">
        <v>42</v>
      </c>
      <c r="E40" s="157"/>
      <c r="F40" s="157">
        <f>SUM(F20:F39)</f>
        <v>6771115.5000000009</v>
      </c>
      <c r="G40" s="157">
        <f>SUM(G20:G39)</f>
        <v>5458199.9800000004</v>
      </c>
      <c r="H40" s="157">
        <f>SUM(H20:H39)</f>
        <v>4050561.8299999991</v>
      </c>
      <c r="I40" s="97">
        <f t="shared" si="2"/>
        <v>-0.25789420599426283</v>
      </c>
      <c r="J40" s="157">
        <f>SUM(J20:J39)</f>
        <v>-1407638.1500000001</v>
      </c>
      <c r="L40" s="157">
        <f>SUM(L20:L39)</f>
        <v>9187450.9106749985</v>
      </c>
      <c r="M40" s="97">
        <f t="shared" si="3"/>
        <v>-0.5591201662592169</v>
      </c>
      <c r="N40" s="157">
        <f>SUM(N20:N39)</f>
        <v>-5136889.0806750003</v>
      </c>
      <c r="P40" s="157">
        <f>SUM(P20:P39)</f>
        <v>6284819.9399999995</v>
      </c>
      <c r="Q40" s="97">
        <f t="shared" si="4"/>
        <v>0.6444992646837866</v>
      </c>
      <c r="R40" s="157">
        <f t="shared" si="6"/>
        <v>-6284819.9399999995</v>
      </c>
    </row>
    <row r="41" spans="1:18" ht="15" x14ac:dyDescent="0.25">
      <c r="A41" s="135"/>
      <c r="B41" s="159"/>
      <c r="C41" s="159" t="s">
        <v>69</v>
      </c>
      <c r="D41" s="159" t="s">
        <v>69</v>
      </c>
      <c r="E41" s="159"/>
      <c r="F41" s="159">
        <f>F40+F19</f>
        <v>22478196.468000002</v>
      </c>
      <c r="G41" s="159">
        <f>G40+G19</f>
        <v>22117357.472000033</v>
      </c>
      <c r="H41" s="159">
        <f>H40+H19</f>
        <v>19243216.60100003</v>
      </c>
      <c r="I41" s="50">
        <f t="shared" si="2"/>
        <v>-0.12994955996160873</v>
      </c>
      <c r="J41" s="159">
        <f>J40+J19</f>
        <v>-2874140.8710000082</v>
      </c>
      <c r="L41" s="159">
        <f>L40+L19</f>
        <v>37378774.824789874</v>
      </c>
      <c r="M41" s="50">
        <f t="shared" si="3"/>
        <v>-0.48518332419398114</v>
      </c>
      <c r="N41" s="159">
        <f>N40+N19</f>
        <v>-18135558.223789852</v>
      </c>
      <c r="P41" s="159">
        <f>P40+P19</f>
        <v>28486371.834118679</v>
      </c>
      <c r="Q41" s="50">
        <f t="shared" si="4"/>
        <v>0.67552360521925281</v>
      </c>
      <c r="R41" s="159">
        <f t="shared" si="6"/>
        <v>-28486371.834118679</v>
      </c>
    </row>
    <row r="42" spans="1:18" ht="15" x14ac:dyDescent="0.25">
      <c r="B42" s="177"/>
      <c r="C42" s="177" t="s">
        <v>43</v>
      </c>
      <c r="D42" s="177" t="s">
        <v>43</v>
      </c>
      <c r="E42" s="177"/>
      <c r="F42" s="179">
        <f>F40/F41</f>
        <v>0.3012303727142599</v>
      </c>
      <c r="G42" s="179">
        <f>G40/G41</f>
        <v>0.24678354938694336</v>
      </c>
      <c r="H42" s="179">
        <f>H40/H41</f>
        <v>0.2104929707951996</v>
      </c>
      <c r="I42" s="179">
        <f t="shared" si="2"/>
        <v>-0.14705428575728152</v>
      </c>
      <c r="J42" s="179"/>
      <c r="L42" s="179">
        <f>L40-ינואר!J40-פברואר!J40-מרץ!J40-אפריל!J40-מאי!J40-יוני!J40-יולי!M40-אוגוסט!M40-ספטמבר!M40-אוקטובר!M40-נובמבר!M40</f>
        <v>-1.862645149230957E-9</v>
      </c>
      <c r="M42" s="179"/>
      <c r="N42" s="179"/>
      <c r="P42" s="192"/>
      <c r="Q42" s="179" t="str">
        <f t="shared" si="4"/>
        <v>-</v>
      </c>
      <c r="R42" s="192"/>
    </row>
    <row r="43" spans="1:18" x14ac:dyDescent="0.2">
      <c r="F43">
        <f>F41-ינואר!E41-פברואר!E41-מרץ!E41-אפריל!E41-מאי!E41-יוני!E41-יולי!F41-אוגוסט!F41-ספטמבר!F41-אוקטובר!F41-נובמבר!F41</f>
        <v>3.7252902984619141E-9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E2DE-6455-4753-90BC-6F7EBFA76987}">
  <dimension ref="A1:X43"/>
  <sheetViews>
    <sheetView showGridLines="0" rightToLeft="1" zoomScale="70" zoomScaleNormal="70" workbookViewId="0">
      <pane xSplit="5" ySplit="2" topLeftCell="F3" activePane="bottomRight" state="frozen"/>
      <selection activeCell="E13" sqref="E13"/>
      <selection pane="topRight" activeCell="E13" sqref="E13"/>
      <selection pane="bottomLeft" activeCell="E13" sqref="E13"/>
      <selection pane="bottomRight" activeCell="M47" sqref="M47"/>
    </sheetView>
  </sheetViews>
  <sheetFormatPr defaultRowHeight="14.25" x14ac:dyDescent="0.2"/>
  <cols>
    <col min="1" max="1" width="2.875" bestFit="1" customWidth="1"/>
    <col min="2" max="3" width="26" style="100" hidden="1" customWidth="1"/>
    <col min="4" max="4" width="26" style="100" customWidth="1"/>
    <col min="5" max="5" width="12.25" style="100" bestFit="1" customWidth="1"/>
    <col min="6" max="8" width="9.875" bestFit="1" customWidth="1"/>
    <col min="9" max="9" width="6.875" bestFit="1" customWidth="1"/>
    <col min="10" max="11" width="11.875" bestFit="1" customWidth="1"/>
    <col min="13" max="13" width="10.875" bestFit="1" customWidth="1"/>
    <col min="14" max="14" width="11.875" bestFit="1" customWidth="1"/>
    <col min="15" max="15" width="11.375" bestFit="1" customWidth="1"/>
    <col min="17" max="17" width="10.875" bestFit="1" customWidth="1"/>
    <col min="18" max="20" width="11.875" bestFit="1" customWidth="1"/>
    <col min="22" max="22" width="9.875" bestFit="1" customWidth="1"/>
    <col min="23" max="23" width="10.5" bestFit="1" customWidth="1"/>
    <col min="24" max="24" width="9" style="102"/>
  </cols>
  <sheetData>
    <row r="1" spans="1:24" ht="15.75" x14ac:dyDescent="0.25">
      <c r="B1" s="160"/>
      <c r="C1" s="160" t="s">
        <v>167</v>
      </c>
      <c r="D1" s="160" t="s">
        <v>167</v>
      </c>
      <c r="E1" s="160"/>
      <c r="F1" s="34"/>
      <c r="G1" s="34"/>
      <c r="H1" s="34"/>
      <c r="I1" s="34"/>
      <c r="J1" s="34"/>
      <c r="K1" s="34"/>
      <c r="M1" s="34"/>
      <c r="N1" s="34"/>
      <c r="O1" s="34"/>
      <c r="Q1" s="34"/>
      <c r="R1" s="34"/>
      <c r="S1" s="34"/>
      <c r="T1" s="34"/>
      <c r="V1" s="34"/>
    </row>
    <row r="2" spans="1:24" ht="15" x14ac:dyDescent="0.25">
      <c r="A2" s="133" t="s">
        <v>228</v>
      </c>
      <c r="B2" s="14"/>
      <c r="C2" s="14"/>
      <c r="D2" s="14"/>
      <c r="E2" s="14" t="s">
        <v>10</v>
      </c>
      <c r="F2" s="146">
        <v>12.202400000000001</v>
      </c>
      <c r="G2" s="146">
        <v>12.202500000000001</v>
      </c>
      <c r="H2" s="146">
        <v>12.2026</v>
      </c>
      <c r="I2" s="147" t="s">
        <v>225</v>
      </c>
      <c r="J2" s="147" t="s">
        <v>191</v>
      </c>
      <c r="K2" s="146" t="s">
        <v>192</v>
      </c>
      <c r="M2" s="146" t="s">
        <v>67</v>
      </c>
      <c r="N2" s="147" t="s">
        <v>68</v>
      </c>
      <c r="O2" s="146" t="s">
        <v>71</v>
      </c>
      <c r="Q2" s="148" t="s">
        <v>229</v>
      </c>
      <c r="R2" s="147" t="s">
        <v>231</v>
      </c>
      <c r="S2" s="147" t="s">
        <v>223</v>
      </c>
      <c r="T2" s="146" t="s">
        <v>232</v>
      </c>
      <c r="U2" s="90"/>
      <c r="V2" s="149">
        <v>12.2026</v>
      </c>
      <c r="W2" s="90"/>
    </row>
    <row r="3" spans="1:24" x14ac:dyDescent="0.2">
      <c r="A3" s="140">
        <v>5</v>
      </c>
      <c r="B3" s="142" t="s">
        <v>115</v>
      </c>
      <c r="C3" s="142" t="s">
        <v>1</v>
      </c>
      <c r="D3" s="142" t="s">
        <v>1</v>
      </c>
      <c r="E3" s="142" t="s">
        <v>40</v>
      </c>
      <c r="F3" s="86">
        <f>VLOOKUP(B3,'2024'!$A:$O,13,0)</f>
        <v>318421.59999999998</v>
      </c>
      <c r="G3" s="86">
        <f>VLOOKUP($B3,'2025'!$A:$O,13,0)</f>
        <v>97619.06</v>
      </c>
      <c r="H3" s="86"/>
      <c r="I3" s="125" t="str">
        <f>IFERROR(H3/$H$19,"")</f>
        <v/>
      </c>
      <c r="J3" s="125">
        <f>IFERROR(H3/G3-1,"")</f>
        <v>-1</v>
      </c>
      <c r="K3" s="86">
        <f t="shared" ref="K3:K15" si="0">H3-G3</f>
        <v>-97619.06</v>
      </c>
      <c r="M3" s="86">
        <f>VLOOKUP(C3,'תקציב  '!$B:$S,15,0)*1</f>
        <v>243492.06349206349</v>
      </c>
      <c r="N3" s="125">
        <f>IFERROR(H3/M3-1,"")</f>
        <v>-1</v>
      </c>
      <c r="O3" s="86">
        <f t="shared" ref="O3:O15" si="1">H3-M3</f>
        <v>-243492.06349206349</v>
      </c>
      <c r="Q3" s="89">
        <f>_xlfn.XLOOKUP(A3,'תקציב  '!A:A,'תקציב  '!AN:AN)</f>
        <v>200000</v>
      </c>
      <c r="R3" s="125">
        <f>IFERROR(H3/Q3-1,"-")</f>
        <v>-1</v>
      </c>
      <c r="S3" s="125">
        <f>IFERROR(H3/Q3,"-")</f>
        <v>0</v>
      </c>
      <c r="T3" s="86">
        <f>H3-Q3</f>
        <v>-200000</v>
      </c>
      <c r="V3" s="86"/>
      <c r="W3" s="7">
        <f>H3-V3</f>
        <v>0</v>
      </c>
      <c r="X3" s="101" t="str">
        <f t="shared" ref="X3:X41" si="2">IFERROR((G3/V3)-1,"-")</f>
        <v>-</v>
      </c>
    </row>
    <row r="4" spans="1:24" x14ac:dyDescent="0.2">
      <c r="A4" s="134">
        <v>1</v>
      </c>
      <c r="B4" s="142" t="s">
        <v>0</v>
      </c>
      <c r="C4" s="142" t="s">
        <v>0</v>
      </c>
      <c r="D4" s="142" t="s">
        <v>0</v>
      </c>
      <c r="E4" s="142" t="s">
        <v>40</v>
      </c>
      <c r="F4" s="86">
        <f>VLOOKUP(C4,'2024'!$A:$O,13,0)</f>
        <v>453775.68599999999</v>
      </c>
      <c r="G4" s="86">
        <f>VLOOKUP($B4,'2025'!$A:$O,13,0)</f>
        <v>453051.69</v>
      </c>
      <c r="H4" s="86"/>
      <c r="I4" s="125" t="str">
        <f t="shared" ref="I4:I42" si="3">IFERROR(H4/$H$19,"")</f>
        <v/>
      </c>
      <c r="J4" s="125">
        <f t="shared" ref="J4:J41" si="4">IFERROR(H4/G4-1,"")</f>
        <v>-1</v>
      </c>
      <c r="K4" s="86">
        <f t="shared" si="0"/>
        <v>-453051.69</v>
      </c>
      <c r="M4" s="86">
        <f>VLOOKUP(C4,'תקציב  '!$B:$S,15,0)*1</f>
        <v>598730.1587301587</v>
      </c>
      <c r="N4" s="125">
        <f t="shared" ref="N4:N42" si="5">IFERROR(H4/M4-1,"")</f>
        <v>-1</v>
      </c>
      <c r="O4" s="86">
        <f t="shared" si="1"/>
        <v>-598730.1587301587</v>
      </c>
      <c r="Q4" s="89">
        <f>_xlfn.XLOOKUP(A4,'תקציב  '!A:A,'תקציב  '!AN:AN)</f>
        <v>550000</v>
      </c>
      <c r="R4" s="125">
        <f t="shared" ref="R4:R41" si="6">IFERROR(H4/Q4-1,"-")</f>
        <v>-1</v>
      </c>
      <c r="S4" s="125">
        <f t="shared" ref="S4:S41" si="7">IFERROR(H4/Q4,"-")</f>
        <v>0</v>
      </c>
      <c r="T4" s="86">
        <f t="shared" ref="T4:T41" si="8">H4-Q4</f>
        <v>-550000</v>
      </c>
      <c r="V4" s="86"/>
      <c r="W4" s="7">
        <f t="shared" ref="W4:W42" si="9">H4-V4</f>
        <v>0</v>
      </c>
      <c r="X4" s="101" t="str">
        <f t="shared" si="2"/>
        <v>-</v>
      </c>
    </row>
    <row r="5" spans="1:24" x14ac:dyDescent="0.2">
      <c r="A5" s="134">
        <v>7</v>
      </c>
      <c r="B5" s="142" t="s">
        <v>44</v>
      </c>
      <c r="C5" s="142" t="s">
        <v>44</v>
      </c>
      <c r="D5" s="142" t="s">
        <v>44</v>
      </c>
      <c r="E5" s="142" t="s">
        <v>40</v>
      </c>
      <c r="F5" s="86">
        <f>VLOOKUP(C5,'2024'!$A:$O,13,0)</f>
        <v>89875.877000000008</v>
      </c>
      <c r="G5" s="86">
        <f>VLOOKUP($B5,'2025'!$A:$O,13,0)</f>
        <v>61250.28</v>
      </c>
      <c r="H5" s="86"/>
      <c r="I5" s="125" t="str">
        <f t="shared" si="3"/>
        <v/>
      </c>
      <c r="J5" s="125">
        <f t="shared" si="4"/>
        <v>-1</v>
      </c>
      <c r="K5" s="86">
        <f t="shared" si="0"/>
        <v>-61250.28</v>
      </c>
      <c r="M5" s="86">
        <f>VLOOKUP(C5,'תקציב  '!$B:$S,15,0)*1</f>
        <v>82142.857142857145</v>
      </c>
      <c r="N5" s="125">
        <f t="shared" si="5"/>
        <v>-1</v>
      </c>
      <c r="O5" s="86">
        <f t="shared" si="1"/>
        <v>-82142.857142857145</v>
      </c>
      <c r="Q5" s="89">
        <f>_xlfn.XLOOKUP(A5,'תקציב  '!A:A,'תקציב  '!AN:AN)</f>
        <v>100000</v>
      </c>
      <c r="R5" s="125">
        <f t="shared" si="6"/>
        <v>-1</v>
      </c>
      <c r="S5" s="125">
        <f t="shared" si="7"/>
        <v>0</v>
      </c>
      <c r="T5" s="86">
        <f t="shared" si="8"/>
        <v>-100000</v>
      </c>
      <c r="V5" s="86"/>
      <c r="W5" s="7">
        <f t="shared" si="9"/>
        <v>0</v>
      </c>
      <c r="X5" s="101" t="str">
        <f t="shared" si="2"/>
        <v>-</v>
      </c>
    </row>
    <row r="6" spans="1:24" x14ac:dyDescent="0.2">
      <c r="A6" s="134">
        <v>4</v>
      </c>
      <c r="B6" s="142" t="s">
        <v>3</v>
      </c>
      <c r="C6" s="142" t="s">
        <v>3</v>
      </c>
      <c r="D6" s="142" t="s">
        <v>3</v>
      </c>
      <c r="E6" s="142" t="s">
        <v>40</v>
      </c>
      <c r="F6" s="86">
        <f>VLOOKUP(C6,'2024'!$A:$O,13,0)</f>
        <v>149421.21300000002</v>
      </c>
      <c r="G6" s="86">
        <f>VLOOKUP($B6,'2025'!$A:$O,13,0)</f>
        <v>144058.52000000005</v>
      </c>
      <c r="H6" s="86"/>
      <c r="I6" s="125" t="str">
        <f t="shared" si="3"/>
        <v/>
      </c>
      <c r="J6" s="125">
        <f t="shared" si="4"/>
        <v>-1</v>
      </c>
      <c r="K6" s="86">
        <f t="shared" si="0"/>
        <v>-144058.52000000005</v>
      </c>
      <c r="M6" s="86">
        <f>VLOOKUP(B6,'תקציב  '!$B:$S,15,0)*1</f>
        <v>173412.6984126984</v>
      </c>
      <c r="N6" s="125">
        <f t="shared" si="5"/>
        <v>-1</v>
      </c>
      <c r="O6" s="86">
        <f t="shared" si="1"/>
        <v>-173412.6984126984</v>
      </c>
      <c r="Q6" s="89">
        <f>_xlfn.XLOOKUP(A6,'תקציב  '!A:A,'תקציב  '!AN:AN)</f>
        <v>200000</v>
      </c>
      <c r="R6" s="125">
        <f t="shared" si="6"/>
        <v>-1</v>
      </c>
      <c r="S6" s="125">
        <f t="shared" si="7"/>
        <v>0</v>
      </c>
      <c r="T6" s="86">
        <f t="shared" si="8"/>
        <v>-200000</v>
      </c>
      <c r="V6" s="86"/>
      <c r="W6" s="7">
        <f t="shared" si="9"/>
        <v>0</v>
      </c>
      <c r="X6" s="101" t="str">
        <f t="shared" si="2"/>
        <v>-</v>
      </c>
    </row>
    <row r="7" spans="1:24" x14ac:dyDescent="0.2">
      <c r="A7" s="134">
        <v>3</v>
      </c>
      <c r="B7" s="142" t="s">
        <v>112</v>
      </c>
      <c r="C7" s="142" t="s">
        <v>2</v>
      </c>
      <c r="D7" s="142" t="s">
        <v>2</v>
      </c>
      <c r="E7" s="142" t="s">
        <v>40</v>
      </c>
      <c r="F7" s="86">
        <f>VLOOKUP(B7,'2024'!$A:$O,13,0)</f>
        <v>378149.8</v>
      </c>
      <c r="G7" s="86">
        <f>VLOOKUP($B7,'2025'!$A:$O,13,0)</f>
        <v>367699.50000000006</v>
      </c>
      <c r="H7" s="86"/>
      <c r="I7" s="125" t="str">
        <f t="shared" si="3"/>
        <v/>
      </c>
      <c r="J7" s="125">
        <f t="shared" si="4"/>
        <v>-1</v>
      </c>
      <c r="K7" s="86">
        <f t="shared" si="0"/>
        <v>-367699.50000000006</v>
      </c>
      <c r="M7" s="86">
        <f>VLOOKUP(C7,'תקציב  '!$B:$S,15,0)*1</f>
        <v>366000</v>
      </c>
      <c r="N7" s="125">
        <f t="shared" si="5"/>
        <v>-1</v>
      </c>
      <c r="O7" s="86">
        <f t="shared" si="1"/>
        <v>-366000</v>
      </c>
      <c r="Q7" s="89">
        <f>_xlfn.XLOOKUP(A7,'תקציב  '!A:A,'תקציב  '!AN:AN)</f>
        <v>330000</v>
      </c>
      <c r="R7" s="125">
        <f t="shared" si="6"/>
        <v>-1</v>
      </c>
      <c r="S7" s="125">
        <f t="shared" si="7"/>
        <v>0</v>
      </c>
      <c r="T7" s="86">
        <f t="shared" si="8"/>
        <v>-330000</v>
      </c>
      <c r="V7" s="86"/>
      <c r="W7" s="7">
        <f t="shared" si="9"/>
        <v>0</v>
      </c>
      <c r="X7" s="101" t="str">
        <f t="shared" si="2"/>
        <v>-</v>
      </c>
    </row>
    <row r="8" spans="1:24" x14ac:dyDescent="0.2">
      <c r="A8" s="134">
        <v>8</v>
      </c>
      <c r="B8" s="142" t="s">
        <v>113</v>
      </c>
      <c r="C8" s="142" t="s">
        <v>5</v>
      </c>
      <c r="D8" s="142" t="s">
        <v>5</v>
      </c>
      <c r="E8" s="142" t="s">
        <v>40</v>
      </c>
      <c r="F8" s="86">
        <f>VLOOKUP(B8,'2024'!$A:$O,13,0)</f>
        <v>68517.249999999985</v>
      </c>
      <c r="G8" s="86">
        <f>VLOOKUP($B8,'2025'!$A:$O,13,0)</f>
        <v>60034.249999999978</v>
      </c>
      <c r="H8" s="86"/>
      <c r="I8" s="125" t="str">
        <f t="shared" si="3"/>
        <v/>
      </c>
      <c r="J8" s="125">
        <f t="shared" si="4"/>
        <v>-1</v>
      </c>
      <c r="K8" s="86">
        <f t="shared" si="0"/>
        <v>-60034.249999999978</v>
      </c>
      <c r="M8" s="86">
        <f>VLOOKUP(C8,'תקציב  '!$B:$S,15,0)*1</f>
        <v>91269.841269841272</v>
      </c>
      <c r="N8" s="125">
        <f t="shared" si="5"/>
        <v>-1</v>
      </c>
      <c r="O8" s="86">
        <f t="shared" si="1"/>
        <v>-91269.841269841272</v>
      </c>
      <c r="Q8" s="89">
        <f>_xlfn.XLOOKUP(A8,'תקציב  '!A:A,'תקציב  '!AN:AN)</f>
        <v>100000</v>
      </c>
      <c r="R8" s="125">
        <f t="shared" si="6"/>
        <v>-1</v>
      </c>
      <c r="S8" s="125">
        <f t="shared" si="7"/>
        <v>0</v>
      </c>
      <c r="T8" s="86">
        <f t="shared" si="8"/>
        <v>-100000</v>
      </c>
      <c r="V8" s="86"/>
      <c r="W8" s="7">
        <f t="shared" si="9"/>
        <v>0</v>
      </c>
      <c r="X8" s="101" t="str">
        <f t="shared" si="2"/>
        <v>-</v>
      </c>
    </row>
    <row r="9" spans="1:24" x14ac:dyDescent="0.2">
      <c r="A9" s="134">
        <v>6</v>
      </c>
      <c r="B9" s="142" t="s">
        <v>121</v>
      </c>
      <c r="C9" s="142" t="s">
        <v>4</v>
      </c>
      <c r="D9" s="142" t="s">
        <v>4</v>
      </c>
      <c r="E9" s="142" t="s">
        <v>40</v>
      </c>
      <c r="F9" s="86">
        <f>VLOOKUP(B9,'2024'!$A:$O,13,0)</f>
        <v>65670.460000000006</v>
      </c>
      <c r="G9" s="86">
        <f>VLOOKUP($B9,'2025'!$A:$O,13,0)</f>
        <v>69362.570000000022</v>
      </c>
      <c r="H9" s="86"/>
      <c r="I9" s="125" t="str">
        <f t="shared" si="3"/>
        <v/>
      </c>
      <c r="J9" s="125">
        <f t="shared" si="4"/>
        <v>-1</v>
      </c>
      <c r="K9" s="86">
        <f t="shared" si="0"/>
        <v>-69362.570000000022</v>
      </c>
      <c r="M9" s="86">
        <f>VLOOKUP(C9,'תקציב  '!$B:$S,15,0)*1</f>
        <v>177591.26984126982</v>
      </c>
      <c r="N9" s="125">
        <f t="shared" si="5"/>
        <v>-1</v>
      </c>
      <c r="O9" s="86">
        <f t="shared" si="1"/>
        <v>-177591.26984126982</v>
      </c>
      <c r="Q9" s="89">
        <f>_xlfn.XLOOKUP(A9,'תקציב  '!A:A,'תקציב  '!AN:AN)</f>
        <v>100000</v>
      </c>
      <c r="R9" s="125">
        <f t="shared" si="6"/>
        <v>-1</v>
      </c>
      <c r="S9" s="125">
        <f t="shared" si="7"/>
        <v>0</v>
      </c>
      <c r="T9" s="86">
        <f t="shared" si="8"/>
        <v>-100000</v>
      </c>
      <c r="V9" s="86"/>
      <c r="W9" s="7">
        <f t="shared" si="9"/>
        <v>0</v>
      </c>
      <c r="X9" s="101" t="str">
        <f t="shared" si="2"/>
        <v>-</v>
      </c>
    </row>
    <row r="10" spans="1:24" x14ac:dyDescent="0.2">
      <c r="A10" s="135">
        <v>10</v>
      </c>
      <c r="B10" s="132" t="s">
        <v>120</v>
      </c>
      <c r="C10" s="132" t="s">
        <v>6</v>
      </c>
      <c r="D10" s="132" t="s">
        <v>6</v>
      </c>
      <c r="E10" s="132" t="s">
        <v>40</v>
      </c>
      <c r="F10" s="86">
        <f>VLOOKUP(B10,'2024'!$A:$O,13,0)</f>
        <v>16400.060000000001</v>
      </c>
      <c r="G10" s="86">
        <f>VLOOKUP($B10,'2025'!$A:$O,13,0)</f>
        <v>11214.500000000002</v>
      </c>
      <c r="H10" s="86"/>
      <c r="I10" s="125" t="str">
        <f t="shared" si="3"/>
        <v/>
      </c>
      <c r="J10" s="125">
        <f t="shared" si="4"/>
        <v>-1</v>
      </c>
      <c r="K10" s="86">
        <f t="shared" si="0"/>
        <v>-11214.500000000002</v>
      </c>
      <c r="M10" s="86">
        <f>VLOOKUP(C10,'תקציב  '!$B:$S,15,0)*1</f>
        <v>17341.269841269841</v>
      </c>
      <c r="N10" s="125">
        <f t="shared" si="5"/>
        <v>-1</v>
      </c>
      <c r="O10" s="86">
        <f t="shared" si="1"/>
        <v>-17341.269841269841</v>
      </c>
      <c r="Q10" s="89">
        <f>_xlfn.XLOOKUP(A10,'תקציב  '!A:A,'תקציב  '!AN:AN)</f>
        <v>15000</v>
      </c>
      <c r="R10" s="125">
        <f t="shared" si="6"/>
        <v>-1</v>
      </c>
      <c r="S10" s="125">
        <f t="shared" si="7"/>
        <v>0</v>
      </c>
      <c r="T10" s="86">
        <f t="shared" si="8"/>
        <v>-15000</v>
      </c>
      <c r="V10" s="86"/>
      <c r="W10" s="7">
        <f t="shared" si="9"/>
        <v>0</v>
      </c>
      <c r="X10" s="101" t="str">
        <f t="shared" si="2"/>
        <v>-</v>
      </c>
    </row>
    <row r="11" spans="1:24" x14ac:dyDescent="0.2">
      <c r="A11" s="134">
        <v>11</v>
      </c>
      <c r="B11" s="142" t="s">
        <v>117</v>
      </c>
      <c r="C11" s="142" t="s">
        <v>66</v>
      </c>
      <c r="D11" s="142" t="s">
        <v>66</v>
      </c>
      <c r="E11" s="142" t="s">
        <v>40</v>
      </c>
      <c r="F11" s="86">
        <f>VLOOKUP(B11,'2024'!$A:$O,13,0)</f>
        <v>10713.92</v>
      </c>
      <c r="G11" s="86">
        <f>VLOOKUP($B11,'2025'!$A:$O,13,0)</f>
        <v>5866.579999999999</v>
      </c>
      <c r="H11" s="86"/>
      <c r="I11" s="125" t="str">
        <f t="shared" si="3"/>
        <v/>
      </c>
      <c r="J11" s="125">
        <f t="shared" si="4"/>
        <v>-1</v>
      </c>
      <c r="K11" s="86">
        <f t="shared" si="0"/>
        <v>-5866.579999999999</v>
      </c>
      <c r="M11" s="86">
        <f>VLOOKUP(C11,'תקציב  '!$B:$S,15,0)*1</f>
        <v>9126.9841269841272</v>
      </c>
      <c r="N11" s="125">
        <f t="shared" si="5"/>
        <v>-1</v>
      </c>
      <c r="O11" s="86">
        <f t="shared" si="1"/>
        <v>-9126.9841269841272</v>
      </c>
      <c r="Q11" s="89">
        <f>_xlfn.XLOOKUP(A11,'תקציב  '!A:A,'תקציב  '!AN:AN)</f>
        <v>10000</v>
      </c>
      <c r="R11" s="125">
        <f t="shared" si="6"/>
        <v>-1</v>
      </c>
      <c r="S11" s="125">
        <f t="shared" si="7"/>
        <v>0</v>
      </c>
      <c r="T11" s="86">
        <f t="shared" si="8"/>
        <v>-10000</v>
      </c>
      <c r="V11" s="86"/>
      <c r="W11" s="7">
        <f t="shared" si="9"/>
        <v>0</v>
      </c>
      <c r="X11" s="101" t="str">
        <f t="shared" si="2"/>
        <v>-</v>
      </c>
    </row>
    <row r="12" spans="1:24" x14ac:dyDescent="0.2">
      <c r="A12" s="134">
        <v>14</v>
      </c>
      <c r="B12" s="142" t="s">
        <v>116</v>
      </c>
      <c r="C12" s="142" t="s">
        <v>8</v>
      </c>
      <c r="D12" s="142" t="s">
        <v>8</v>
      </c>
      <c r="E12" s="142" t="s">
        <v>40</v>
      </c>
      <c r="F12" s="86">
        <f>VLOOKUP(B12,'2024'!$A:$O,13,0)</f>
        <v>850.4</v>
      </c>
      <c r="G12" s="86">
        <f>VLOOKUP($B12,'2025'!$A:$O,13,0)</f>
        <v>0</v>
      </c>
      <c r="H12" s="86"/>
      <c r="I12" s="125" t="str">
        <f t="shared" si="3"/>
        <v/>
      </c>
      <c r="J12" s="125" t="str">
        <f t="shared" si="4"/>
        <v/>
      </c>
      <c r="K12" s="86">
        <f t="shared" si="0"/>
        <v>0</v>
      </c>
      <c r="M12" s="86">
        <f>VLOOKUP(C12,'תקציב  '!$B:$S,15,0)*1</f>
        <v>0</v>
      </c>
      <c r="N12" s="125" t="str">
        <f t="shared" si="5"/>
        <v/>
      </c>
      <c r="O12" s="86">
        <f t="shared" si="1"/>
        <v>0</v>
      </c>
      <c r="Q12" s="89">
        <f>_xlfn.XLOOKUP(A12,'תקציב  '!A:A,'תקציב  '!AN:AN)</f>
        <v>5000</v>
      </c>
      <c r="R12" s="125">
        <f t="shared" si="6"/>
        <v>-1</v>
      </c>
      <c r="S12" s="125">
        <f t="shared" si="7"/>
        <v>0</v>
      </c>
      <c r="T12" s="86">
        <f t="shared" si="8"/>
        <v>-5000</v>
      </c>
      <c r="V12" s="86"/>
      <c r="W12" s="7">
        <f t="shared" si="9"/>
        <v>0</v>
      </c>
      <c r="X12" s="101" t="str">
        <f t="shared" si="2"/>
        <v>-</v>
      </c>
    </row>
    <row r="13" spans="1:24" x14ac:dyDescent="0.2">
      <c r="A13" s="134">
        <v>15</v>
      </c>
      <c r="B13" s="142" t="s">
        <v>119</v>
      </c>
      <c r="C13" s="142" t="s">
        <v>151</v>
      </c>
      <c r="D13" s="142" t="s">
        <v>151</v>
      </c>
      <c r="E13" s="142" t="s">
        <v>40</v>
      </c>
      <c r="F13" s="86">
        <f>VLOOKUP(B13,'2024'!$A:$O,13,0)</f>
        <v>-14.280000000000001</v>
      </c>
      <c r="G13" s="86">
        <f>VLOOKUP($B13,'2025'!$A:$O,13,0)</f>
        <v>0</v>
      </c>
      <c r="H13" s="86"/>
      <c r="I13" s="125" t="str">
        <f t="shared" si="3"/>
        <v/>
      </c>
      <c r="J13" s="125" t="str">
        <f t="shared" si="4"/>
        <v/>
      </c>
      <c r="K13" s="86">
        <f t="shared" si="0"/>
        <v>0</v>
      </c>
      <c r="M13" s="86">
        <f>VLOOKUP(C13,'תקציב  '!$B:$S,15,0)*1</f>
        <v>0</v>
      </c>
      <c r="N13" s="125" t="str">
        <f t="shared" si="5"/>
        <v/>
      </c>
      <c r="O13" s="86">
        <f t="shared" si="1"/>
        <v>0</v>
      </c>
      <c r="Q13" s="89">
        <f>_xlfn.XLOOKUP(A13,'תקציב  '!A:A,'תקציב  '!AN:AN)</f>
        <v>5000</v>
      </c>
      <c r="R13" s="125">
        <f t="shared" si="6"/>
        <v>-1</v>
      </c>
      <c r="S13" s="125">
        <f t="shared" si="7"/>
        <v>0</v>
      </c>
      <c r="T13" s="86">
        <f t="shared" si="8"/>
        <v>-5000</v>
      </c>
      <c r="V13" s="86"/>
      <c r="W13" s="7">
        <f t="shared" si="9"/>
        <v>0</v>
      </c>
      <c r="X13" s="101" t="str">
        <f t="shared" si="2"/>
        <v>-</v>
      </c>
    </row>
    <row r="14" spans="1:24" x14ac:dyDescent="0.2">
      <c r="A14" s="134">
        <v>13</v>
      </c>
      <c r="B14" s="142" t="s">
        <v>114</v>
      </c>
      <c r="C14" s="142" t="s">
        <v>45</v>
      </c>
      <c r="D14" s="142" t="s">
        <v>45</v>
      </c>
      <c r="E14" s="142" t="s">
        <v>40</v>
      </c>
      <c r="F14" s="86">
        <f>VLOOKUP(B14,'2024'!$A:$O,13,0)</f>
        <v>2520</v>
      </c>
      <c r="G14" s="86">
        <f>VLOOKUP($B14,'2025'!$A:$O,13,0)</f>
        <v>1813.57</v>
      </c>
      <c r="H14" s="86"/>
      <c r="I14" s="125" t="str">
        <f t="shared" si="3"/>
        <v/>
      </c>
      <c r="J14" s="125">
        <f t="shared" si="4"/>
        <v>-1</v>
      </c>
      <c r="K14" s="86">
        <f t="shared" si="0"/>
        <v>-1813.57</v>
      </c>
      <c r="M14" s="86">
        <f>VLOOKUP(C14,'תקציב  '!$B:$S,15,0)*1</f>
        <v>0</v>
      </c>
      <c r="N14" s="125" t="str">
        <f t="shared" si="5"/>
        <v/>
      </c>
      <c r="O14" s="86">
        <f t="shared" si="1"/>
        <v>0</v>
      </c>
      <c r="Q14" s="89">
        <f>_xlfn.XLOOKUP(A14,'תקציב  '!A:A,'תקציב  '!AN:AN)</f>
        <v>5000</v>
      </c>
      <c r="R14" s="125">
        <f t="shared" si="6"/>
        <v>-1</v>
      </c>
      <c r="S14" s="125">
        <f t="shared" si="7"/>
        <v>0</v>
      </c>
      <c r="T14" s="86">
        <f t="shared" si="8"/>
        <v>-5000</v>
      </c>
      <c r="V14" s="86"/>
      <c r="W14" s="7">
        <f t="shared" si="9"/>
        <v>0</v>
      </c>
      <c r="X14" s="101" t="str">
        <f t="shared" si="2"/>
        <v>-</v>
      </c>
    </row>
    <row r="15" spans="1:24" x14ac:dyDescent="0.2">
      <c r="A15" s="134">
        <v>9</v>
      </c>
      <c r="B15" s="142" t="s">
        <v>118</v>
      </c>
      <c r="C15" s="142" t="s">
        <v>73</v>
      </c>
      <c r="D15" s="142" t="s">
        <v>73</v>
      </c>
      <c r="E15" s="142" t="s">
        <v>40</v>
      </c>
      <c r="F15" s="86">
        <f>VLOOKUP(B15,'2024'!$A:$O,13,0)</f>
        <v>4549.8999999999996</v>
      </c>
      <c r="G15" s="86">
        <f>VLOOKUP($B15,'2025'!$A:$O,13,0)</f>
        <v>361.5</v>
      </c>
      <c r="H15" s="86"/>
      <c r="I15" s="125" t="str">
        <f t="shared" si="3"/>
        <v/>
      </c>
      <c r="J15" s="125">
        <f t="shared" si="4"/>
        <v>-1</v>
      </c>
      <c r="K15" s="86">
        <f t="shared" si="0"/>
        <v>-361.5</v>
      </c>
      <c r="M15" s="86">
        <f>VLOOKUP(C15,'תקציב  '!$B:$S,15,0)*1</f>
        <v>18253.968253968254</v>
      </c>
      <c r="N15" s="125">
        <f t="shared" si="5"/>
        <v>-1</v>
      </c>
      <c r="O15" s="86">
        <f t="shared" si="1"/>
        <v>-18253.968253968254</v>
      </c>
      <c r="Q15" s="89">
        <f>_xlfn.XLOOKUP(A15,'תקציב  '!A:A,'תקציב  '!AN:AN)</f>
        <v>25000</v>
      </c>
      <c r="R15" s="125">
        <f t="shared" si="6"/>
        <v>-1</v>
      </c>
      <c r="S15" s="125">
        <f t="shared" si="7"/>
        <v>0</v>
      </c>
      <c r="T15" s="86">
        <f t="shared" si="8"/>
        <v>-25000</v>
      </c>
      <c r="V15" s="86"/>
      <c r="W15" s="7">
        <f t="shared" si="9"/>
        <v>0</v>
      </c>
      <c r="X15" s="101" t="str">
        <f t="shared" si="2"/>
        <v>-</v>
      </c>
    </row>
    <row r="16" spans="1:24" ht="15" x14ac:dyDescent="0.25">
      <c r="A16" s="136"/>
      <c r="B16" s="150"/>
      <c r="C16" s="150" t="s">
        <v>221</v>
      </c>
      <c r="D16" s="150" t="s">
        <v>221</v>
      </c>
      <c r="E16" s="150"/>
      <c r="F16" s="152">
        <f>SUM(F3:F15)</f>
        <v>1558851.8859999997</v>
      </c>
      <c r="G16" s="152">
        <f>SUM(G3:G15)</f>
        <v>1272332.0200000003</v>
      </c>
      <c r="H16" s="152">
        <f>SUM(H3:H15)</f>
        <v>0</v>
      </c>
      <c r="I16" s="153" t="str">
        <f t="shared" si="3"/>
        <v/>
      </c>
      <c r="J16" s="153">
        <f t="shared" si="4"/>
        <v>-1</v>
      </c>
      <c r="K16" s="152">
        <f>SUM(K3:K15)</f>
        <v>-1272332.0200000003</v>
      </c>
      <c r="M16" s="152">
        <f>SUM(M3:M15)</f>
        <v>1777361.111111111</v>
      </c>
      <c r="N16" s="153">
        <f t="shared" si="5"/>
        <v>-1</v>
      </c>
      <c r="O16" s="152">
        <f>SUM(O3:O15)</f>
        <v>-1777361.111111111</v>
      </c>
      <c r="Q16" s="152">
        <f>SUM(Q3:Q15)</f>
        <v>1645000</v>
      </c>
      <c r="R16" s="153">
        <f t="shared" si="6"/>
        <v>-1</v>
      </c>
      <c r="S16" s="153">
        <f t="shared" si="7"/>
        <v>0</v>
      </c>
      <c r="T16" s="152">
        <f t="shared" si="8"/>
        <v>-1645000</v>
      </c>
      <c r="U16" s="143"/>
      <c r="V16" s="152"/>
      <c r="W16" s="144">
        <f t="shared" si="9"/>
        <v>0</v>
      </c>
      <c r="X16" s="145" t="str">
        <f t="shared" si="2"/>
        <v>-</v>
      </c>
    </row>
    <row r="17" spans="1:24" x14ac:dyDescent="0.2">
      <c r="A17" s="134">
        <v>2</v>
      </c>
      <c r="B17" s="142" t="s">
        <v>111</v>
      </c>
      <c r="C17" s="142" t="s">
        <v>7</v>
      </c>
      <c r="D17" s="142" t="s">
        <v>7</v>
      </c>
      <c r="E17" s="142" t="s">
        <v>40</v>
      </c>
      <c r="F17" s="86">
        <f>VLOOKUP(B17,'2024'!$A:$O,13,0)</f>
        <v>95223.269999999538</v>
      </c>
      <c r="G17" s="86">
        <f>VLOOKUP($B17,'2025'!$A:$O,13,0)</f>
        <v>213224.45999999787</v>
      </c>
      <c r="H17" s="86"/>
      <c r="I17" s="125" t="str">
        <f t="shared" si="3"/>
        <v/>
      </c>
      <c r="J17" s="125">
        <f t="shared" si="4"/>
        <v>-1</v>
      </c>
      <c r="K17" s="86">
        <f>H17-G17</f>
        <v>-213224.45999999787</v>
      </c>
      <c r="M17" s="86">
        <f>VLOOKUP(C17,'תקציב  '!$B:$S,15,0)*1</f>
        <v>1488884.7457627119</v>
      </c>
      <c r="N17" s="125">
        <f t="shared" si="5"/>
        <v>-1</v>
      </c>
      <c r="O17" s="86">
        <f>H17-M17</f>
        <v>-1488884.7457627119</v>
      </c>
      <c r="Q17" s="89">
        <f>_xlfn.XLOOKUP(A17,'תקציב  '!A:A,'תקציב  '!AN:AN)</f>
        <v>1300521.1864406781</v>
      </c>
      <c r="R17" s="125">
        <f t="shared" si="6"/>
        <v>-1</v>
      </c>
      <c r="S17" s="125">
        <f t="shared" si="7"/>
        <v>0</v>
      </c>
      <c r="T17" s="86">
        <f t="shared" si="8"/>
        <v>-1300521.1864406781</v>
      </c>
      <c r="V17" s="86"/>
      <c r="W17" s="7">
        <f t="shared" si="9"/>
        <v>0</v>
      </c>
      <c r="X17" s="101" t="str">
        <f t="shared" si="2"/>
        <v>-</v>
      </c>
    </row>
    <row r="18" spans="1:24" x14ac:dyDescent="0.2">
      <c r="A18" s="134">
        <v>12</v>
      </c>
      <c r="B18" s="142" t="s">
        <v>110</v>
      </c>
      <c r="C18" s="142" t="s">
        <v>65</v>
      </c>
      <c r="D18" s="142" t="s">
        <v>65</v>
      </c>
      <c r="E18" s="142" t="s">
        <v>40</v>
      </c>
      <c r="F18" s="86">
        <f>VLOOKUP(B18,'2024'!$A:$O,13,0)</f>
        <v>3126.19</v>
      </c>
      <c r="G18" s="86">
        <f>VLOOKUP($B18,'2025'!$A:$O,13,0)</f>
        <v>1561.4600000000005</v>
      </c>
      <c r="H18" s="86"/>
      <c r="I18" s="125" t="str">
        <f t="shared" si="3"/>
        <v/>
      </c>
      <c r="J18" s="125">
        <f t="shared" si="4"/>
        <v>-1</v>
      </c>
      <c r="K18" s="86">
        <f>H18-G18</f>
        <v>-1561.4600000000005</v>
      </c>
      <c r="M18" s="86">
        <f>VLOOKUP(C18,'תקציב  '!$B:$S,15,0)*1</f>
        <v>2536.9283333333324</v>
      </c>
      <c r="N18" s="125">
        <f t="shared" si="5"/>
        <v>-1</v>
      </c>
      <c r="O18" s="86">
        <f>H18-M18</f>
        <v>-2536.9283333333324</v>
      </c>
      <c r="Q18" s="89">
        <f>_xlfn.XLOOKUP(A18,'תקציב  '!A:A,'תקציב  '!AN:AN)</f>
        <v>5000</v>
      </c>
      <c r="R18" s="125">
        <f t="shared" si="6"/>
        <v>-1</v>
      </c>
      <c r="S18" s="125">
        <f t="shared" si="7"/>
        <v>0</v>
      </c>
      <c r="T18" s="86">
        <f t="shared" si="8"/>
        <v>-5000</v>
      </c>
      <c r="V18" s="86"/>
      <c r="W18" s="7">
        <f t="shared" si="9"/>
        <v>0</v>
      </c>
      <c r="X18" s="101" t="str">
        <f t="shared" si="2"/>
        <v>-</v>
      </c>
    </row>
    <row r="19" spans="1:24" ht="15" x14ac:dyDescent="0.25">
      <c r="A19" s="135"/>
      <c r="B19" s="154"/>
      <c r="C19" s="154" t="s">
        <v>41</v>
      </c>
      <c r="D19" s="154" t="s">
        <v>41</v>
      </c>
      <c r="E19" s="154"/>
      <c r="F19" s="152">
        <f>F16+F17+F18</f>
        <v>1657201.3459999992</v>
      </c>
      <c r="G19" s="152">
        <f>G16+G17+G18</f>
        <v>1487117.9399999981</v>
      </c>
      <c r="H19" s="152">
        <f>H16+H17+H18</f>
        <v>0</v>
      </c>
      <c r="I19" s="153" t="str">
        <f t="shared" si="3"/>
        <v/>
      </c>
      <c r="J19" s="153">
        <f t="shared" si="4"/>
        <v>-1</v>
      </c>
      <c r="K19" s="152">
        <f>K16+K17+K18</f>
        <v>-1487117.9399999981</v>
      </c>
      <c r="M19" s="152">
        <f>M16+M17+M18</f>
        <v>3268782.7852071561</v>
      </c>
      <c r="N19" s="153">
        <f t="shared" si="5"/>
        <v>-1</v>
      </c>
      <c r="O19" s="152">
        <f>O16+O17+O18</f>
        <v>-3268782.7852071561</v>
      </c>
      <c r="Q19" s="152">
        <f>Q16+Q17+Q18</f>
        <v>2950521.1864406783</v>
      </c>
      <c r="R19" s="153">
        <f t="shared" si="6"/>
        <v>-1</v>
      </c>
      <c r="S19" s="153">
        <f t="shared" si="7"/>
        <v>0</v>
      </c>
      <c r="T19" s="152">
        <f t="shared" si="8"/>
        <v>-2950521.1864406783</v>
      </c>
      <c r="U19" s="143"/>
      <c r="V19" s="152"/>
      <c r="W19" s="144">
        <f t="shared" si="9"/>
        <v>0</v>
      </c>
      <c r="X19" s="145" t="str">
        <f t="shared" si="2"/>
        <v>-</v>
      </c>
    </row>
    <row r="20" spans="1:24" x14ac:dyDescent="0.2">
      <c r="A20" s="135">
        <v>50</v>
      </c>
      <c r="B20" s="132" t="s">
        <v>92</v>
      </c>
      <c r="C20" s="132" t="s">
        <v>74</v>
      </c>
      <c r="D20" s="132" t="s">
        <v>47</v>
      </c>
      <c r="E20" s="132" t="s">
        <v>38</v>
      </c>
      <c r="F20" s="86">
        <f>VLOOKUP(B20,'2024'!$A:$O,13,0)</f>
        <v>190607.48</v>
      </c>
      <c r="G20" s="86">
        <f>VLOOKUP($B20,'2025'!$A:$O,13,0)</f>
        <v>182118.44</v>
      </c>
      <c r="H20" s="86"/>
      <c r="I20" s="125" t="str">
        <f t="shared" si="3"/>
        <v/>
      </c>
      <c r="J20" s="125">
        <f t="shared" si="4"/>
        <v>-1</v>
      </c>
      <c r="K20" s="86">
        <f t="shared" ref="K20:K39" si="10">H20-G20</f>
        <v>-182118.44</v>
      </c>
      <c r="M20" s="86">
        <f>VLOOKUP(C20,'תקציב  '!$B:$S,15,0)*1</f>
        <v>402156.52661249996</v>
      </c>
      <c r="N20" s="125">
        <f t="shared" si="5"/>
        <v>-1</v>
      </c>
      <c r="O20" s="86">
        <f t="shared" ref="O20:O39" si="11">H20-M20</f>
        <v>-402156.52661249996</v>
      </c>
      <c r="Q20" s="89">
        <f>_xlfn.XLOOKUP(A20,'תקציב  '!A:A,'תקציב  '!AN:AN)</f>
        <v>297561</v>
      </c>
      <c r="R20" s="125">
        <f t="shared" si="6"/>
        <v>-1</v>
      </c>
      <c r="S20" s="125">
        <f t="shared" si="7"/>
        <v>0</v>
      </c>
      <c r="T20" s="86">
        <f t="shared" si="8"/>
        <v>-297561</v>
      </c>
      <c r="V20" s="86"/>
      <c r="W20" s="7">
        <f t="shared" si="9"/>
        <v>0</v>
      </c>
      <c r="X20" s="101" t="str">
        <f t="shared" si="2"/>
        <v>-</v>
      </c>
    </row>
    <row r="21" spans="1:24" x14ac:dyDescent="0.2">
      <c r="A21" s="135">
        <v>20</v>
      </c>
      <c r="B21" s="132" t="s">
        <v>93</v>
      </c>
      <c r="C21" s="132" t="s">
        <v>75</v>
      </c>
      <c r="D21" s="132" t="s">
        <v>13</v>
      </c>
      <c r="E21" s="132" t="s">
        <v>39</v>
      </c>
      <c r="F21" s="86">
        <f>VLOOKUP(B21,'2024'!$A:$O,13,0)</f>
        <v>137974.18</v>
      </c>
      <c r="G21" s="86">
        <f>VLOOKUP($B21,'2025'!$A:$O,13,0)</f>
        <v>144741.73000000001</v>
      </c>
      <c r="H21" s="86"/>
      <c r="I21" s="125" t="str">
        <f t="shared" si="3"/>
        <v/>
      </c>
      <c r="J21" s="125">
        <f t="shared" si="4"/>
        <v>-1</v>
      </c>
      <c r="K21" s="86">
        <f t="shared" si="10"/>
        <v>-144741.73000000001</v>
      </c>
      <c r="M21" s="86">
        <f>VLOOKUP(C21,'תקציב  '!$B:$S,15,0)*1</f>
        <v>147000</v>
      </c>
      <c r="N21" s="125">
        <f t="shared" si="5"/>
        <v>-1</v>
      </c>
      <c r="O21" s="86">
        <f t="shared" si="11"/>
        <v>-147000</v>
      </c>
      <c r="Q21" s="89">
        <f>_xlfn.XLOOKUP(A21,'תקציב  '!A:A,'תקציב  '!AN:AN)</f>
        <v>150000</v>
      </c>
      <c r="R21" s="125">
        <f t="shared" si="6"/>
        <v>-1</v>
      </c>
      <c r="S21" s="125">
        <f t="shared" si="7"/>
        <v>0</v>
      </c>
      <c r="T21" s="86">
        <f t="shared" si="8"/>
        <v>-150000</v>
      </c>
      <c r="V21" s="86"/>
      <c r="W21" s="7">
        <f t="shared" si="9"/>
        <v>0</v>
      </c>
      <c r="X21" s="101" t="str">
        <f t="shared" si="2"/>
        <v>-</v>
      </c>
    </row>
    <row r="22" spans="1:24" x14ac:dyDescent="0.2">
      <c r="A22" s="135">
        <v>21</v>
      </c>
      <c r="B22" s="132" t="s">
        <v>94</v>
      </c>
      <c r="C22" s="132" t="s">
        <v>80</v>
      </c>
      <c r="D22" s="132" t="s">
        <v>18</v>
      </c>
      <c r="E22" s="132" t="s">
        <v>19</v>
      </c>
      <c r="F22" s="86">
        <f>VLOOKUP(B22,'2024'!$A:$O,13,0)</f>
        <v>1400.99</v>
      </c>
      <c r="G22" s="86">
        <f>VLOOKUP($B22,'2025'!$A:$O,13,0)</f>
        <v>121.12</v>
      </c>
      <c r="H22" s="86"/>
      <c r="I22" s="125" t="str">
        <f t="shared" si="3"/>
        <v/>
      </c>
      <c r="J22" s="125">
        <f t="shared" si="4"/>
        <v>-1</v>
      </c>
      <c r="K22" s="86">
        <f t="shared" si="10"/>
        <v>-121.12</v>
      </c>
      <c r="M22" s="86">
        <f>VLOOKUP(C22,'תקציב  '!$B:$S,15,0)*1</f>
        <v>0</v>
      </c>
      <c r="N22" s="125" t="str">
        <f t="shared" si="5"/>
        <v/>
      </c>
      <c r="O22" s="86">
        <f t="shared" si="11"/>
        <v>0</v>
      </c>
      <c r="Q22" s="89">
        <f>_xlfn.XLOOKUP(A22,'תקציב  '!A:A,'תקציב  '!AN:AN)</f>
        <v>0</v>
      </c>
      <c r="R22" s="125" t="str">
        <f t="shared" si="6"/>
        <v>-</v>
      </c>
      <c r="S22" s="125" t="str">
        <f t="shared" si="7"/>
        <v>-</v>
      </c>
      <c r="T22" s="86">
        <f t="shared" si="8"/>
        <v>0</v>
      </c>
      <c r="V22" s="86"/>
      <c r="W22" s="7">
        <f t="shared" si="9"/>
        <v>0</v>
      </c>
      <c r="X22" s="101" t="str">
        <f t="shared" si="2"/>
        <v>-</v>
      </c>
    </row>
    <row r="23" spans="1:24" x14ac:dyDescent="0.2">
      <c r="A23" s="135">
        <v>22</v>
      </c>
      <c r="B23" s="132" t="s">
        <v>95</v>
      </c>
      <c r="C23" s="132" t="s">
        <v>82</v>
      </c>
      <c r="D23" s="132" t="s">
        <v>14</v>
      </c>
      <c r="E23" s="132" t="s">
        <v>15</v>
      </c>
      <c r="F23" s="86">
        <f>VLOOKUP(B23,'2024'!$A:$O,13,0)</f>
        <v>80366.28</v>
      </c>
      <c r="G23" s="86">
        <f>VLOOKUP($B23,'2025'!$A:$O,13,0)</f>
        <v>0</v>
      </c>
      <c r="H23" s="86"/>
      <c r="I23" s="125" t="str">
        <f t="shared" si="3"/>
        <v/>
      </c>
      <c r="J23" s="125" t="str">
        <f t="shared" si="4"/>
        <v/>
      </c>
      <c r="K23" s="86">
        <f t="shared" si="10"/>
        <v>0</v>
      </c>
      <c r="M23" s="86">
        <f>VLOOKUP(C23,'תקציב  '!$B:$S,15,0)*1</f>
        <v>0</v>
      </c>
      <c r="N23" s="125" t="str">
        <f t="shared" si="5"/>
        <v/>
      </c>
      <c r="O23" s="86">
        <f t="shared" si="11"/>
        <v>0</v>
      </c>
      <c r="Q23" s="89">
        <f>_xlfn.XLOOKUP(A23,'תקציב  '!A:A,'תקציב  '!AN:AN)</f>
        <v>0</v>
      </c>
      <c r="R23" s="125" t="str">
        <f t="shared" si="6"/>
        <v>-</v>
      </c>
      <c r="S23" s="125" t="str">
        <f t="shared" si="7"/>
        <v>-</v>
      </c>
      <c r="T23" s="86">
        <f t="shared" si="8"/>
        <v>0</v>
      </c>
      <c r="V23" s="86"/>
      <c r="W23" s="7">
        <f t="shared" si="9"/>
        <v>0</v>
      </c>
      <c r="X23" s="101" t="str">
        <f t="shared" si="2"/>
        <v>-</v>
      </c>
    </row>
    <row r="24" spans="1:24" x14ac:dyDescent="0.2">
      <c r="A24" s="135">
        <v>23</v>
      </c>
      <c r="B24" s="132" t="s">
        <v>96</v>
      </c>
      <c r="C24" s="132" t="s">
        <v>78</v>
      </c>
      <c r="D24" s="132" t="s">
        <v>24</v>
      </c>
      <c r="E24" s="132" t="s">
        <v>25</v>
      </c>
      <c r="F24" s="86">
        <f>VLOOKUP(B24,'2024'!$A:$O,13,0)</f>
        <v>0</v>
      </c>
      <c r="G24" s="86">
        <f>VLOOKUP($B24,'2025'!$A:$O,13,0)</f>
        <v>0</v>
      </c>
      <c r="H24" s="86"/>
      <c r="I24" s="125" t="str">
        <f t="shared" si="3"/>
        <v/>
      </c>
      <c r="J24" s="125" t="str">
        <f t="shared" si="4"/>
        <v/>
      </c>
      <c r="K24" s="86">
        <f t="shared" si="10"/>
        <v>0</v>
      </c>
      <c r="M24" s="86">
        <f>VLOOKUP(C24,'תקציב  '!$B:$S,15,0)*1</f>
        <v>0</v>
      </c>
      <c r="N24" s="125" t="str">
        <f t="shared" si="5"/>
        <v/>
      </c>
      <c r="O24" s="86">
        <f t="shared" si="11"/>
        <v>0</v>
      </c>
      <c r="Q24" s="89">
        <f>_xlfn.XLOOKUP(A24,'תקציב  '!A:A,'תקציב  '!AN:AN)</f>
        <v>0</v>
      </c>
      <c r="R24" s="125" t="str">
        <f t="shared" si="6"/>
        <v>-</v>
      </c>
      <c r="S24" s="125" t="str">
        <f t="shared" si="7"/>
        <v>-</v>
      </c>
      <c r="T24" s="86">
        <f t="shared" si="8"/>
        <v>0</v>
      </c>
      <c r="V24" s="86"/>
      <c r="W24" s="7">
        <f t="shared" si="9"/>
        <v>0</v>
      </c>
      <c r="X24" s="101" t="str">
        <f t="shared" si="2"/>
        <v>-</v>
      </c>
    </row>
    <row r="25" spans="1:24" x14ac:dyDescent="0.2">
      <c r="A25" s="135">
        <v>24</v>
      </c>
      <c r="B25" s="132" t="s">
        <v>97</v>
      </c>
      <c r="C25" s="132" t="s">
        <v>79</v>
      </c>
      <c r="D25" s="132" t="s">
        <v>27</v>
      </c>
      <c r="E25" s="132" t="s">
        <v>46</v>
      </c>
      <c r="F25" s="86">
        <f>VLOOKUP(B25,'2024'!$A:$O,13,0)</f>
        <v>0</v>
      </c>
      <c r="G25" s="86">
        <f>VLOOKUP($B25,'2025'!$A:$O,13,0)</f>
        <v>0</v>
      </c>
      <c r="H25" s="86"/>
      <c r="I25" s="125" t="str">
        <f t="shared" si="3"/>
        <v/>
      </c>
      <c r="J25" s="125" t="str">
        <f t="shared" si="4"/>
        <v/>
      </c>
      <c r="K25" s="86">
        <f t="shared" si="10"/>
        <v>0</v>
      </c>
      <c r="M25" s="86">
        <f>VLOOKUP(C25,'תקציב  '!$B:$S,15,0)*1</f>
        <v>5000</v>
      </c>
      <c r="N25" s="125">
        <f t="shared" si="5"/>
        <v>-1</v>
      </c>
      <c r="O25" s="86">
        <f t="shared" si="11"/>
        <v>-5000</v>
      </c>
      <c r="Q25" s="89">
        <f>_xlfn.XLOOKUP(A25,'תקציב  '!A:A,'תקציב  '!AN:AN)</f>
        <v>0</v>
      </c>
      <c r="R25" s="125" t="str">
        <f t="shared" si="6"/>
        <v>-</v>
      </c>
      <c r="S25" s="125" t="str">
        <f t="shared" si="7"/>
        <v>-</v>
      </c>
      <c r="T25" s="86">
        <f t="shared" si="8"/>
        <v>0</v>
      </c>
      <c r="V25" s="86"/>
      <c r="W25" s="7">
        <f t="shared" si="9"/>
        <v>0</v>
      </c>
      <c r="X25" s="101" t="str">
        <f t="shared" si="2"/>
        <v>-</v>
      </c>
    </row>
    <row r="26" spans="1:24" ht="13.5" customHeight="1" x14ac:dyDescent="0.2">
      <c r="A26" s="135">
        <v>25</v>
      </c>
      <c r="B26" s="132" t="s">
        <v>98</v>
      </c>
      <c r="C26" s="132" t="s">
        <v>87</v>
      </c>
      <c r="D26" s="132" t="s">
        <v>20</v>
      </c>
      <c r="E26" s="132" t="s">
        <v>21</v>
      </c>
      <c r="F26" s="86">
        <f>VLOOKUP(B26,'2024'!$A:$O,13,0)</f>
        <v>222074.04</v>
      </c>
      <c r="G26" s="86">
        <f>VLOOKUP($B26,'2025'!$A:$O,13,0)</f>
        <v>146752.62</v>
      </c>
      <c r="H26" s="86"/>
      <c r="I26" s="125" t="str">
        <f t="shared" si="3"/>
        <v/>
      </c>
      <c r="J26" s="125">
        <f t="shared" si="4"/>
        <v>-1</v>
      </c>
      <c r="K26" s="86">
        <f t="shared" si="10"/>
        <v>-146752.62</v>
      </c>
      <c r="M26" s="86">
        <f>VLOOKUP(C26,'תקציב  '!$B:$S,15,0)*1</f>
        <v>0</v>
      </c>
      <c r="N26" s="125" t="str">
        <f t="shared" si="5"/>
        <v/>
      </c>
      <c r="O26" s="86">
        <f t="shared" si="11"/>
        <v>0</v>
      </c>
      <c r="Q26" s="89">
        <f>_xlfn.XLOOKUP(A26,'תקציב  '!A:A,'תקציב  '!AN:AN)</f>
        <v>0</v>
      </c>
      <c r="R26" s="125" t="str">
        <f t="shared" si="6"/>
        <v>-</v>
      </c>
      <c r="S26" s="125" t="str">
        <f t="shared" si="7"/>
        <v>-</v>
      </c>
      <c r="T26" s="86">
        <f t="shared" si="8"/>
        <v>0</v>
      </c>
      <c r="V26" s="86"/>
      <c r="W26" s="7">
        <f t="shared" si="9"/>
        <v>0</v>
      </c>
      <c r="X26" s="101" t="str">
        <f t="shared" si="2"/>
        <v>-</v>
      </c>
    </row>
    <row r="27" spans="1:24" x14ac:dyDescent="0.2">
      <c r="A27" s="135">
        <v>26</v>
      </c>
      <c r="B27" s="132" t="s">
        <v>99</v>
      </c>
      <c r="C27" s="132" t="s">
        <v>77</v>
      </c>
      <c r="D27" s="132" t="s">
        <v>26</v>
      </c>
      <c r="E27" s="132" t="s">
        <v>28</v>
      </c>
      <c r="F27" s="86">
        <f>VLOOKUP(B27,'2024'!$A:$O,13,0)</f>
        <v>0</v>
      </c>
      <c r="G27" s="86">
        <f>VLOOKUP($B27,'2025'!$A:$O,13,0)</f>
        <v>0</v>
      </c>
      <c r="H27" s="86"/>
      <c r="I27" s="125" t="str">
        <f t="shared" si="3"/>
        <v/>
      </c>
      <c r="J27" s="125" t="str">
        <f t="shared" si="4"/>
        <v/>
      </c>
      <c r="K27" s="86">
        <f t="shared" si="10"/>
        <v>0</v>
      </c>
      <c r="M27" s="86">
        <f>VLOOKUP(C27,'תקציב  '!$B:$S,15,0)*1</f>
        <v>0</v>
      </c>
      <c r="N27" s="125" t="str">
        <f t="shared" si="5"/>
        <v/>
      </c>
      <c r="O27" s="86">
        <f t="shared" si="11"/>
        <v>0</v>
      </c>
      <c r="Q27" s="89">
        <f>_xlfn.XLOOKUP(A27,'תקציב  '!A:A,'תקציב  '!AN:AN)</f>
        <v>0</v>
      </c>
      <c r="R27" s="125" t="str">
        <f t="shared" si="6"/>
        <v>-</v>
      </c>
      <c r="S27" s="125" t="str">
        <f t="shared" si="7"/>
        <v>-</v>
      </c>
      <c r="T27" s="86">
        <f t="shared" si="8"/>
        <v>0</v>
      </c>
      <c r="V27" s="86"/>
      <c r="W27" s="7">
        <f t="shared" si="9"/>
        <v>0</v>
      </c>
      <c r="X27" s="101" t="str">
        <f t="shared" si="2"/>
        <v>-</v>
      </c>
    </row>
    <row r="28" spans="1:24" ht="13.5" customHeight="1" x14ac:dyDescent="0.2">
      <c r="A28" s="135">
        <v>27</v>
      </c>
      <c r="B28" s="132" t="s">
        <v>100</v>
      </c>
      <c r="C28" s="132" t="s">
        <v>88</v>
      </c>
      <c r="D28" s="132" t="s">
        <v>22</v>
      </c>
      <c r="E28" s="132" t="s">
        <v>23</v>
      </c>
      <c r="F28" s="86">
        <f>VLOOKUP(B28,'2024'!$A:$O,13,0)</f>
        <v>83394.960000000006</v>
      </c>
      <c r="G28" s="86">
        <f>VLOOKUP($B28,'2025'!$A:$O,13,0)</f>
        <v>0</v>
      </c>
      <c r="H28" s="86"/>
      <c r="I28" s="125" t="str">
        <f t="shared" si="3"/>
        <v/>
      </c>
      <c r="J28" s="125" t="str">
        <f t="shared" si="4"/>
        <v/>
      </c>
      <c r="K28" s="86">
        <f t="shared" si="10"/>
        <v>0</v>
      </c>
      <c r="M28" s="86">
        <f>VLOOKUP(C28,'תקציב  '!$B:$S,15,0)*1</f>
        <v>0</v>
      </c>
      <c r="N28" s="125" t="str">
        <f t="shared" si="5"/>
        <v/>
      </c>
      <c r="O28" s="86">
        <f t="shared" si="11"/>
        <v>0</v>
      </c>
      <c r="Q28" s="89">
        <f>_xlfn.XLOOKUP(A28,'תקציב  '!A:A,'תקציב  '!AN:AN)</f>
        <v>0</v>
      </c>
      <c r="R28" s="125" t="str">
        <f t="shared" si="6"/>
        <v>-</v>
      </c>
      <c r="S28" s="125" t="str">
        <f t="shared" si="7"/>
        <v>-</v>
      </c>
      <c r="T28" s="86">
        <f t="shared" si="8"/>
        <v>0</v>
      </c>
      <c r="V28" s="86"/>
      <c r="W28" s="7">
        <f t="shared" si="9"/>
        <v>0</v>
      </c>
      <c r="X28" s="101" t="str">
        <f t="shared" si="2"/>
        <v>-</v>
      </c>
    </row>
    <row r="29" spans="1:24" ht="13.5" customHeight="1" x14ac:dyDescent="0.2">
      <c r="A29" s="135">
        <v>28</v>
      </c>
      <c r="B29" s="132" t="s">
        <v>101</v>
      </c>
      <c r="C29" s="132" t="s">
        <v>89</v>
      </c>
      <c r="D29" s="132" t="s">
        <v>16</v>
      </c>
      <c r="E29" s="132" t="s">
        <v>17</v>
      </c>
      <c r="F29" s="86">
        <f>VLOOKUP(B29,'2024'!$A:$O,13,0)</f>
        <v>0</v>
      </c>
      <c r="G29" s="86">
        <f>VLOOKUP($B29,'2025'!$A:$O,13,0)</f>
        <v>41441.910000000003</v>
      </c>
      <c r="H29" s="86"/>
      <c r="I29" s="125" t="str">
        <f t="shared" si="3"/>
        <v/>
      </c>
      <c r="J29" s="125">
        <f t="shared" si="4"/>
        <v>-1</v>
      </c>
      <c r="K29" s="86">
        <f t="shared" si="10"/>
        <v>-41441.910000000003</v>
      </c>
      <c r="M29" s="86">
        <f>VLOOKUP(C29,'תקציב  '!$B:$S,15,0)*1</f>
        <v>39765.076000000001</v>
      </c>
      <c r="N29" s="125">
        <f t="shared" si="5"/>
        <v>-1</v>
      </c>
      <c r="O29" s="86">
        <f t="shared" si="11"/>
        <v>-39765.076000000001</v>
      </c>
      <c r="Q29" s="89">
        <f>_xlfn.XLOOKUP(A29,'תקציב  '!A:A,'תקציב  '!AN:AN)</f>
        <v>15000</v>
      </c>
      <c r="R29" s="125">
        <f t="shared" si="6"/>
        <v>-1</v>
      </c>
      <c r="S29" s="125">
        <f t="shared" si="7"/>
        <v>0</v>
      </c>
      <c r="T29" s="86">
        <f t="shared" si="8"/>
        <v>-15000</v>
      </c>
      <c r="V29" s="86"/>
      <c r="W29" s="7">
        <f t="shared" si="9"/>
        <v>0</v>
      </c>
      <c r="X29" s="101" t="str">
        <f t="shared" si="2"/>
        <v>-</v>
      </c>
    </row>
    <row r="30" spans="1:24" x14ac:dyDescent="0.2">
      <c r="A30" s="135">
        <v>29</v>
      </c>
      <c r="B30" s="132" t="s">
        <v>102</v>
      </c>
      <c r="C30" s="132" t="s">
        <v>81</v>
      </c>
      <c r="D30" s="132" t="s">
        <v>29</v>
      </c>
      <c r="E30" s="132" t="s">
        <v>30</v>
      </c>
      <c r="F30" s="86">
        <f>VLOOKUP(B30,'2024'!$A:$O,13,0)</f>
        <v>0</v>
      </c>
      <c r="G30" s="86">
        <f>VLOOKUP($B30,'2025'!$A:$O,13,0)</f>
        <v>0</v>
      </c>
      <c r="H30" s="86"/>
      <c r="I30" s="125" t="str">
        <f t="shared" si="3"/>
        <v/>
      </c>
      <c r="J30" s="125" t="str">
        <f t="shared" si="4"/>
        <v/>
      </c>
      <c r="K30" s="86">
        <f t="shared" si="10"/>
        <v>0</v>
      </c>
      <c r="M30" s="86">
        <f>VLOOKUP(C30,'תקציב  '!$B:$S,15,0)*1</f>
        <v>0</v>
      </c>
      <c r="N30" s="125" t="str">
        <f t="shared" si="5"/>
        <v/>
      </c>
      <c r="O30" s="86">
        <f t="shared" si="11"/>
        <v>0</v>
      </c>
      <c r="Q30" s="89">
        <f>_xlfn.XLOOKUP(A30,'תקציב  '!A:A,'תקציב  '!AN:AN)</f>
        <v>0</v>
      </c>
      <c r="R30" s="125" t="str">
        <f t="shared" si="6"/>
        <v>-</v>
      </c>
      <c r="S30" s="125" t="str">
        <f t="shared" si="7"/>
        <v>-</v>
      </c>
      <c r="T30" s="86">
        <f t="shared" si="8"/>
        <v>0</v>
      </c>
      <c r="V30" s="86"/>
      <c r="W30" s="7">
        <f t="shared" si="9"/>
        <v>0</v>
      </c>
      <c r="X30" s="101" t="str">
        <f t="shared" si="2"/>
        <v>-</v>
      </c>
    </row>
    <row r="31" spans="1:24" x14ac:dyDescent="0.2">
      <c r="A31" s="135">
        <v>30</v>
      </c>
      <c r="B31" s="132" t="s">
        <v>103</v>
      </c>
      <c r="C31" s="132" t="s">
        <v>76</v>
      </c>
      <c r="D31" s="132" t="s">
        <v>34</v>
      </c>
      <c r="E31" s="132" t="s">
        <v>30</v>
      </c>
      <c r="F31" s="86">
        <f>VLOOKUP(B31,'2024'!$A:$O,13,0)</f>
        <v>0</v>
      </c>
      <c r="G31" s="86">
        <f>VLOOKUP($B31,'2025'!$A:$O,13,0)</f>
        <v>0</v>
      </c>
      <c r="H31" s="86"/>
      <c r="I31" s="125" t="str">
        <f t="shared" si="3"/>
        <v/>
      </c>
      <c r="J31" s="125" t="str">
        <f t="shared" si="4"/>
        <v/>
      </c>
      <c r="K31" s="86">
        <f t="shared" si="10"/>
        <v>0</v>
      </c>
      <c r="M31" s="86">
        <f>VLOOKUP(C31,'תקציב  '!$B:$S,15,0)*1</f>
        <v>0</v>
      </c>
      <c r="N31" s="125" t="str">
        <f t="shared" si="5"/>
        <v/>
      </c>
      <c r="O31" s="86">
        <f t="shared" si="11"/>
        <v>0</v>
      </c>
      <c r="Q31" s="89">
        <f>_xlfn.XLOOKUP(A31,'תקציב  '!A:A,'תקציב  '!AN:AN)</f>
        <v>0</v>
      </c>
      <c r="R31" s="125" t="str">
        <f t="shared" si="6"/>
        <v>-</v>
      </c>
      <c r="S31" s="125" t="str">
        <f t="shared" si="7"/>
        <v>-</v>
      </c>
      <c r="T31" s="86">
        <f t="shared" si="8"/>
        <v>0</v>
      </c>
      <c r="V31" s="86"/>
      <c r="W31" s="7">
        <f t="shared" si="9"/>
        <v>0</v>
      </c>
      <c r="X31" s="101" t="str">
        <f t="shared" si="2"/>
        <v>-</v>
      </c>
    </row>
    <row r="32" spans="1:24" ht="13.5" customHeight="1" x14ac:dyDescent="0.2">
      <c r="A32" s="135">
        <v>31</v>
      </c>
      <c r="B32" s="132" t="s">
        <v>85</v>
      </c>
      <c r="C32" s="132" t="s">
        <v>85</v>
      </c>
      <c r="D32" s="132" t="s">
        <v>32</v>
      </c>
      <c r="E32" s="132" t="s">
        <v>33</v>
      </c>
      <c r="F32" s="86">
        <f>VLOOKUP(B32,'2024'!$A:$O,13,0)</f>
        <v>0</v>
      </c>
      <c r="G32" s="86">
        <f>VLOOKUP($B32,'2025'!$A:$O,13,0)</f>
        <v>0</v>
      </c>
      <c r="H32" s="86"/>
      <c r="I32" s="125" t="str">
        <f t="shared" si="3"/>
        <v/>
      </c>
      <c r="J32" s="125" t="str">
        <f t="shared" si="4"/>
        <v/>
      </c>
      <c r="K32" s="86">
        <f t="shared" si="10"/>
        <v>0</v>
      </c>
      <c r="M32" s="86">
        <f>VLOOKUP(C32,'תקציב  '!$B:$S,15,0)*1</f>
        <v>0</v>
      </c>
      <c r="N32" s="125" t="str">
        <f t="shared" si="5"/>
        <v/>
      </c>
      <c r="O32" s="86">
        <f t="shared" si="11"/>
        <v>0</v>
      </c>
      <c r="Q32" s="89">
        <f>_xlfn.XLOOKUP(A32,'תקציב  '!A:A,'תקציב  '!AN:AN)</f>
        <v>0</v>
      </c>
      <c r="R32" s="125" t="str">
        <f t="shared" si="6"/>
        <v>-</v>
      </c>
      <c r="S32" s="125" t="str">
        <f t="shared" si="7"/>
        <v>-</v>
      </c>
      <c r="T32" s="86">
        <f t="shared" si="8"/>
        <v>0</v>
      </c>
      <c r="V32" s="86"/>
      <c r="W32" s="7">
        <f t="shared" si="9"/>
        <v>0</v>
      </c>
      <c r="X32" s="101" t="str">
        <f t="shared" si="2"/>
        <v>-</v>
      </c>
    </row>
    <row r="33" spans="1:24" ht="13.5" customHeight="1" x14ac:dyDescent="0.2">
      <c r="A33" s="135"/>
      <c r="B33" s="132"/>
      <c r="C33" s="132"/>
      <c r="D33" s="132" t="s">
        <v>11</v>
      </c>
      <c r="E33" s="132" t="s">
        <v>12</v>
      </c>
      <c r="F33" s="86"/>
      <c r="G33" s="86"/>
      <c r="H33" s="86"/>
      <c r="I33" s="125" t="str">
        <f t="shared" si="3"/>
        <v/>
      </c>
      <c r="J33" s="125" t="str">
        <f t="shared" si="4"/>
        <v/>
      </c>
      <c r="K33" s="86">
        <f t="shared" si="10"/>
        <v>0</v>
      </c>
      <c r="M33" s="86"/>
      <c r="N33" s="125" t="str">
        <f t="shared" si="5"/>
        <v/>
      </c>
      <c r="O33" s="86">
        <f t="shared" si="11"/>
        <v>0</v>
      </c>
      <c r="Q33" s="89">
        <f>_xlfn.XLOOKUP(A33,'תקציב  '!A:A,'תקציב  '!AN:AN)</f>
        <v>0</v>
      </c>
      <c r="R33" s="125" t="str">
        <f t="shared" si="6"/>
        <v>-</v>
      </c>
      <c r="S33" s="125" t="str">
        <f t="shared" si="7"/>
        <v>-</v>
      </c>
      <c r="T33" s="86">
        <f t="shared" si="8"/>
        <v>0</v>
      </c>
      <c r="V33" s="86"/>
      <c r="W33" s="7">
        <f t="shared" si="9"/>
        <v>0</v>
      </c>
      <c r="X33" s="101" t="str">
        <f t="shared" si="2"/>
        <v>-</v>
      </c>
    </row>
    <row r="34" spans="1:24" ht="13.5" customHeight="1" x14ac:dyDescent="0.2">
      <c r="A34" s="135">
        <v>32</v>
      </c>
      <c r="B34" s="132" t="s">
        <v>104</v>
      </c>
      <c r="C34" s="132" t="s">
        <v>86</v>
      </c>
      <c r="D34" s="132" t="s">
        <v>31</v>
      </c>
      <c r="E34" s="132" t="s">
        <v>49</v>
      </c>
      <c r="F34" s="86">
        <f>VLOOKUP(B34,'2024'!$A:$O,13,0)</f>
        <v>0</v>
      </c>
      <c r="G34" s="86">
        <f>VLOOKUP($B34,'2025'!$A:$O,13,0)</f>
        <v>0</v>
      </c>
      <c r="H34" s="86"/>
      <c r="I34" s="125" t="str">
        <f t="shared" si="3"/>
        <v/>
      </c>
      <c r="J34" s="125" t="str">
        <f t="shared" si="4"/>
        <v/>
      </c>
      <c r="K34" s="86">
        <f t="shared" si="10"/>
        <v>0</v>
      </c>
      <c r="M34" s="86">
        <f>VLOOKUP(C34,'תקציב  '!$B:$S,15,0)*1</f>
        <v>0</v>
      </c>
      <c r="N34" s="125" t="str">
        <f t="shared" si="5"/>
        <v/>
      </c>
      <c r="O34" s="86">
        <f t="shared" si="11"/>
        <v>0</v>
      </c>
      <c r="Q34" s="89">
        <f>_xlfn.XLOOKUP(A34,'תקציב  '!A:A,'תקציב  '!AN:AN)</f>
        <v>0</v>
      </c>
      <c r="R34" s="125" t="str">
        <f t="shared" si="6"/>
        <v>-</v>
      </c>
      <c r="S34" s="125" t="str">
        <f t="shared" si="7"/>
        <v>-</v>
      </c>
      <c r="T34" s="86">
        <f t="shared" si="8"/>
        <v>0</v>
      </c>
      <c r="V34" s="86"/>
      <c r="W34" s="7">
        <f t="shared" si="9"/>
        <v>0</v>
      </c>
      <c r="X34" s="101" t="str">
        <f t="shared" si="2"/>
        <v>-</v>
      </c>
    </row>
    <row r="35" spans="1:24" ht="13.5" customHeight="1" x14ac:dyDescent="0.2">
      <c r="A35" s="135">
        <v>33</v>
      </c>
      <c r="B35" s="132" t="s">
        <v>105</v>
      </c>
      <c r="C35" s="132" t="s">
        <v>83</v>
      </c>
      <c r="D35" s="132" t="s">
        <v>84</v>
      </c>
      <c r="E35" s="132" t="s">
        <v>48</v>
      </c>
      <c r="F35" s="86">
        <f>VLOOKUP(B35,'2024'!$A:$O,13,0)</f>
        <v>0</v>
      </c>
      <c r="G35" s="86">
        <f>VLOOKUP($B35,'2025'!$A:$O,13,0)</f>
        <v>0</v>
      </c>
      <c r="H35" s="86"/>
      <c r="I35" s="125" t="str">
        <f t="shared" si="3"/>
        <v/>
      </c>
      <c r="J35" s="125" t="str">
        <f t="shared" si="4"/>
        <v/>
      </c>
      <c r="K35" s="86">
        <f t="shared" si="10"/>
        <v>0</v>
      </c>
      <c r="M35" s="86">
        <f>VLOOKUP(C35,'תקציב  '!$B:$S,15,0)*1</f>
        <v>0</v>
      </c>
      <c r="N35" s="125" t="str">
        <f t="shared" si="5"/>
        <v/>
      </c>
      <c r="O35" s="86">
        <f t="shared" si="11"/>
        <v>0</v>
      </c>
      <c r="Q35" s="89">
        <f>_xlfn.XLOOKUP(A35,'תקציב  '!A:A,'תקציב  '!AN:AN)</f>
        <v>25000</v>
      </c>
      <c r="R35" s="125">
        <f t="shared" si="6"/>
        <v>-1</v>
      </c>
      <c r="S35" s="125">
        <f t="shared" si="7"/>
        <v>0</v>
      </c>
      <c r="T35" s="86">
        <f t="shared" si="8"/>
        <v>-25000</v>
      </c>
      <c r="V35" s="86"/>
      <c r="W35" s="7">
        <f t="shared" si="9"/>
        <v>0</v>
      </c>
      <c r="X35" s="101" t="str">
        <f t="shared" si="2"/>
        <v>-</v>
      </c>
    </row>
    <row r="36" spans="1:24" x14ac:dyDescent="0.2">
      <c r="A36" s="135"/>
      <c r="B36" s="132" t="s">
        <v>107</v>
      </c>
      <c r="C36" s="132" t="s">
        <v>107</v>
      </c>
      <c r="D36" s="132" t="s">
        <v>37</v>
      </c>
      <c r="E36" s="132" t="s">
        <v>17</v>
      </c>
      <c r="F36" s="86">
        <f>VLOOKUP(B36,'2024'!$A:$O,13,0)</f>
        <v>0</v>
      </c>
      <c r="G36" s="86">
        <f>VLOOKUP($B36,'2025'!$A:$O,13,0)</f>
        <v>0</v>
      </c>
      <c r="H36" s="86"/>
      <c r="I36" s="125" t="str">
        <f t="shared" si="3"/>
        <v/>
      </c>
      <c r="J36" s="125" t="str">
        <f t="shared" si="4"/>
        <v/>
      </c>
      <c r="K36" s="86">
        <f t="shared" si="10"/>
        <v>0</v>
      </c>
      <c r="M36" s="86"/>
      <c r="N36" s="125" t="str">
        <f t="shared" si="5"/>
        <v/>
      </c>
      <c r="O36" s="86">
        <f t="shared" si="11"/>
        <v>0</v>
      </c>
      <c r="Q36" s="89">
        <f>_xlfn.XLOOKUP(A36,'תקציב  '!A:A,'תקציב  '!AN:AN)</f>
        <v>0</v>
      </c>
      <c r="R36" s="125" t="str">
        <f t="shared" si="6"/>
        <v>-</v>
      </c>
      <c r="S36" s="125" t="str">
        <f t="shared" si="7"/>
        <v>-</v>
      </c>
      <c r="T36" s="86">
        <f t="shared" si="8"/>
        <v>0</v>
      </c>
      <c r="V36" s="86"/>
      <c r="W36" s="7">
        <f t="shared" si="9"/>
        <v>0</v>
      </c>
      <c r="X36" s="101" t="str">
        <f t="shared" si="2"/>
        <v>-</v>
      </c>
    </row>
    <row r="37" spans="1:24" x14ac:dyDescent="0.2">
      <c r="A37" s="135">
        <v>34</v>
      </c>
      <c r="B37" s="132" t="s">
        <v>108</v>
      </c>
      <c r="C37" s="132" t="s">
        <v>108</v>
      </c>
      <c r="D37" s="132" t="s">
        <v>35</v>
      </c>
      <c r="E37" s="132" t="s">
        <v>36</v>
      </c>
      <c r="F37" s="86">
        <f>VLOOKUP(B37,'2024'!$A:$O,13,0)</f>
        <v>0</v>
      </c>
      <c r="G37" s="86">
        <f>VLOOKUP($B37,'2025'!$A:$O,13,0)</f>
        <v>0</v>
      </c>
      <c r="H37" s="86"/>
      <c r="I37" s="125" t="str">
        <f t="shared" si="3"/>
        <v/>
      </c>
      <c r="J37" s="125" t="str">
        <f t="shared" si="4"/>
        <v/>
      </c>
      <c r="K37" s="86">
        <f t="shared" si="10"/>
        <v>0</v>
      </c>
      <c r="M37" s="86"/>
      <c r="N37" s="125" t="str">
        <f t="shared" si="5"/>
        <v/>
      </c>
      <c r="O37" s="86">
        <f t="shared" si="11"/>
        <v>0</v>
      </c>
      <c r="Q37" s="89">
        <f>_xlfn.XLOOKUP(A37,'תקציב  '!A:A,'תקציב  '!AN:AN)</f>
        <v>0</v>
      </c>
      <c r="R37" s="125" t="str">
        <f t="shared" si="6"/>
        <v>-</v>
      </c>
      <c r="S37" s="125" t="str">
        <f t="shared" si="7"/>
        <v>-</v>
      </c>
      <c r="T37" s="86">
        <f t="shared" si="8"/>
        <v>0</v>
      </c>
      <c r="V37" s="86"/>
      <c r="W37" s="7">
        <f t="shared" si="9"/>
        <v>0</v>
      </c>
      <c r="X37" s="101" t="str">
        <f t="shared" si="2"/>
        <v>-</v>
      </c>
    </row>
    <row r="38" spans="1:24" ht="13.5" customHeight="1" x14ac:dyDescent="0.2">
      <c r="A38" s="135">
        <v>35</v>
      </c>
      <c r="B38" s="132" t="s">
        <v>109</v>
      </c>
      <c r="C38" s="132" t="s">
        <v>109</v>
      </c>
      <c r="D38" s="132" t="s">
        <v>70</v>
      </c>
      <c r="E38" s="132" t="s">
        <v>38</v>
      </c>
      <c r="F38" s="86">
        <f>VLOOKUP(B38,'2024'!$A:$O,13,0)</f>
        <v>161576.19</v>
      </c>
      <c r="G38" s="86">
        <f>VLOOKUP($B38,'2025'!$A:$O,13,0)</f>
        <v>0</v>
      </c>
      <c r="H38" s="86"/>
      <c r="I38" s="125" t="str">
        <f t="shared" si="3"/>
        <v/>
      </c>
      <c r="J38" s="125" t="str">
        <f t="shared" si="4"/>
        <v/>
      </c>
      <c r="K38" s="86">
        <f t="shared" si="10"/>
        <v>0</v>
      </c>
      <c r="M38" s="86">
        <f>VLOOKUP(C38,'תקציב  '!$B:$S,15,0)*1</f>
        <v>0</v>
      </c>
      <c r="N38" s="125" t="str">
        <f t="shared" si="5"/>
        <v/>
      </c>
      <c r="O38" s="86">
        <f t="shared" si="11"/>
        <v>0</v>
      </c>
      <c r="Q38" s="89">
        <f>_xlfn.XLOOKUP(A38,'תקציב  '!A:A,'תקציב  '!AN:AN)</f>
        <v>0</v>
      </c>
      <c r="R38" s="125" t="str">
        <f t="shared" si="6"/>
        <v>-</v>
      </c>
      <c r="S38" s="125" t="str">
        <f t="shared" si="7"/>
        <v>-</v>
      </c>
      <c r="T38" s="86">
        <f t="shared" si="8"/>
        <v>0</v>
      </c>
      <c r="V38" s="86"/>
      <c r="W38" s="7">
        <f t="shared" si="9"/>
        <v>0</v>
      </c>
      <c r="X38" s="101" t="str">
        <f t="shared" si="2"/>
        <v>-</v>
      </c>
    </row>
    <row r="39" spans="1:24" ht="13.5" customHeight="1" x14ac:dyDescent="0.2">
      <c r="A39" s="188">
        <v>36</v>
      </c>
      <c r="B39" s="189"/>
      <c r="C39" s="189" t="s">
        <v>91</v>
      </c>
      <c r="D39" s="189" t="s">
        <v>91</v>
      </c>
      <c r="E39" s="189"/>
      <c r="F39" s="86"/>
      <c r="G39" s="86"/>
      <c r="H39" s="86"/>
      <c r="I39" s="191" t="str">
        <f t="shared" si="3"/>
        <v/>
      </c>
      <c r="J39" s="191" t="str">
        <f t="shared" si="4"/>
        <v/>
      </c>
      <c r="K39" s="86">
        <f t="shared" si="10"/>
        <v>0</v>
      </c>
      <c r="M39" s="86">
        <f>VLOOKUP(C39,'תקציב  '!$B:$S,15,0)*1</f>
        <v>0</v>
      </c>
      <c r="N39" s="191" t="str">
        <f t="shared" si="5"/>
        <v/>
      </c>
      <c r="O39" s="86">
        <f t="shared" si="11"/>
        <v>0</v>
      </c>
      <c r="Q39" s="89">
        <f>_xlfn.XLOOKUP(A39,'תקציב  '!A:A,'תקציב  '!AN:AN)</f>
        <v>0</v>
      </c>
      <c r="R39" s="191" t="str">
        <f t="shared" si="6"/>
        <v>-</v>
      </c>
      <c r="S39" s="191" t="str">
        <f t="shared" si="7"/>
        <v>-</v>
      </c>
      <c r="T39" s="86">
        <f t="shared" si="8"/>
        <v>0</v>
      </c>
      <c r="V39" s="86"/>
      <c r="W39" s="7">
        <f t="shared" si="9"/>
        <v>0</v>
      </c>
      <c r="X39" s="101" t="str">
        <f t="shared" si="2"/>
        <v>-</v>
      </c>
    </row>
    <row r="40" spans="1:24" ht="15" x14ac:dyDescent="0.25">
      <c r="A40" s="135"/>
      <c r="B40" s="156"/>
      <c r="C40" s="156" t="s">
        <v>42</v>
      </c>
      <c r="D40" s="156" t="s">
        <v>42</v>
      </c>
      <c r="E40" s="156"/>
      <c r="F40" s="157">
        <f>SUM(F20:F39)</f>
        <v>877394.12000000011</v>
      </c>
      <c r="G40" s="157">
        <f>SUM(G20:G39)</f>
        <v>515175.82000000007</v>
      </c>
      <c r="H40" s="157">
        <f>SUM(H20:H39)</f>
        <v>0</v>
      </c>
      <c r="I40" s="97" t="str">
        <f t="shared" si="3"/>
        <v/>
      </c>
      <c r="J40" s="97">
        <f t="shared" si="4"/>
        <v>-1</v>
      </c>
      <c r="K40" s="157">
        <f>SUM(K20:K39)</f>
        <v>-515175.82000000007</v>
      </c>
      <c r="M40" s="157">
        <f>SUM(M20:M39)</f>
        <v>593921.60261249996</v>
      </c>
      <c r="N40" s="97">
        <f t="shared" si="5"/>
        <v>-1</v>
      </c>
      <c r="O40" s="157">
        <f>SUM(O20:O39)</f>
        <v>-593921.60261249996</v>
      </c>
      <c r="Q40" s="157">
        <f>SUM(Q20:Q39)</f>
        <v>487561</v>
      </c>
      <c r="R40" s="97">
        <f t="shared" si="6"/>
        <v>-1</v>
      </c>
      <c r="S40" s="97">
        <f t="shared" si="7"/>
        <v>0</v>
      </c>
      <c r="T40" s="157">
        <f t="shared" si="8"/>
        <v>-487561</v>
      </c>
      <c r="U40" s="143"/>
      <c r="V40" s="157"/>
      <c r="W40" s="7">
        <f t="shared" si="9"/>
        <v>0</v>
      </c>
      <c r="X40" s="145" t="str">
        <f t="shared" si="2"/>
        <v>-</v>
      </c>
    </row>
    <row r="41" spans="1:24" ht="15" x14ac:dyDescent="0.25">
      <c r="A41" s="135"/>
      <c r="B41" s="158"/>
      <c r="C41" s="158" t="s">
        <v>69</v>
      </c>
      <c r="D41" s="158" t="s">
        <v>69</v>
      </c>
      <c r="E41" s="158"/>
      <c r="F41" s="159">
        <f>F40+F19</f>
        <v>2534595.4659999991</v>
      </c>
      <c r="G41" s="159">
        <f>G40+G19</f>
        <v>2002293.7599999981</v>
      </c>
      <c r="H41" s="159">
        <f>H40+H19</f>
        <v>0</v>
      </c>
      <c r="I41" s="50" t="str">
        <f t="shared" si="3"/>
        <v/>
      </c>
      <c r="J41" s="50">
        <f t="shared" si="4"/>
        <v>-1</v>
      </c>
      <c r="K41" s="159">
        <f>K40+K19</f>
        <v>-2002293.7599999981</v>
      </c>
      <c r="M41" s="159">
        <f>M40+M19</f>
        <v>3862704.3878196562</v>
      </c>
      <c r="N41" s="50">
        <f t="shared" si="5"/>
        <v>-1</v>
      </c>
      <c r="O41" s="159">
        <f>O40+O19</f>
        <v>-3862704.3878196562</v>
      </c>
      <c r="Q41" s="159">
        <f>Q40+Q19</f>
        <v>3438082.1864406783</v>
      </c>
      <c r="R41" s="50">
        <f t="shared" si="6"/>
        <v>-1</v>
      </c>
      <c r="S41" s="50">
        <f t="shared" si="7"/>
        <v>0</v>
      </c>
      <c r="T41" s="159">
        <f t="shared" si="8"/>
        <v>-3438082.1864406783</v>
      </c>
      <c r="U41" s="143"/>
      <c r="V41" s="159"/>
      <c r="W41" s="144">
        <f t="shared" si="9"/>
        <v>0</v>
      </c>
      <c r="X41" s="145" t="str">
        <f t="shared" si="2"/>
        <v>-</v>
      </c>
    </row>
    <row r="42" spans="1:24" ht="15" x14ac:dyDescent="0.25">
      <c r="A42" s="96"/>
      <c r="B42" s="178"/>
      <c r="C42" s="178" t="s">
        <v>43</v>
      </c>
      <c r="D42" s="178" t="s">
        <v>43</v>
      </c>
      <c r="E42" s="178"/>
      <c r="F42" s="176">
        <f>F40/F41</f>
        <v>0.34616732009888335</v>
      </c>
      <c r="G42" s="176">
        <f>G40/G41</f>
        <v>0.25729282600371312</v>
      </c>
      <c r="H42" s="176"/>
      <c r="I42" s="180" t="str">
        <f t="shared" si="3"/>
        <v/>
      </c>
      <c r="J42" s="180"/>
      <c r="K42" s="176"/>
      <c r="M42" s="176">
        <f>M41-'תקציב  '!P41*1</f>
        <v>0</v>
      </c>
      <c r="N42" s="180" t="str">
        <f t="shared" si="5"/>
        <v/>
      </c>
      <c r="O42" s="176"/>
      <c r="Q42" s="180"/>
      <c r="R42" s="180"/>
      <c r="S42" s="180"/>
      <c r="T42" s="176"/>
      <c r="V42" s="180" t="str">
        <f>IFERROR(V40/V41,"")</f>
        <v/>
      </c>
      <c r="W42" s="7" t="e">
        <f t="shared" si="9"/>
        <v>#VALUE!</v>
      </c>
    </row>
    <row r="43" spans="1:24" x14ac:dyDescent="0.2">
      <c r="F43">
        <f>F41-'2024'!M38</f>
        <v>0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150B-C734-426B-9931-BB4BE918E7D5}">
  <dimension ref="A1:W55"/>
  <sheetViews>
    <sheetView showGridLines="0" rightToLeft="1" zoomScale="85" zoomScaleNormal="85" workbookViewId="0">
      <pane xSplit="5" ySplit="2" topLeftCell="F12" activePane="bottomRight" state="frozen"/>
      <selection activeCell="J13" sqref="J13"/>
      <selection pane="topRight" activeCell="J13" sqref="J13"/>
      <selection pane="bottomLeft" activeCell="J13" sqref="J13"/>
      <selection pane="bottomRight" activeCell="J30" sqref="J30"/>
    </sheetView>
  </sheetViews>
  <sheetFormatPr defaultRowHeight="14.25" x14ac:dyDescent="0.2"/>
  <cols>
    <col min="1" max="1" width="2.875" bestFit="1" customWidth="1"/>
    <col min="2" max="3" width="28" hidden="1" customWidth="1"/>
    <col min="4" max="4" width="28" bestFit="1" customWidth="1"/>
    <col min="5" max="5" width="13.375" bestFit="1" customWidth="1"/>
    <col min="6" max="8" width="12.25" bestFit="1" customWidth="1"/>
    <col min="9" max="9" width="10.75" style="51" bestFit="1" customWidth="1"/>
    <col min="10" max="10" width="12.25" bestFit="1" customWidth="1"/>
    <col min="11" max="11" width="9.75" style="6" bestFit="1" customWidth="1"/>
    <col min="12" max="12" width="12.25" bestFit="1" customWidth="1"/>
    <col min="13" max="13" width="9.75" style="51" bestFit="1" customWidth="1"/>
    <col min="14" max="14" width="12.25" bestFit="1" customWidth="1"/>
    <col min="15" max="15" width="10.5" style="6" bestFit="1" customWidth="1"/>
    <col min="16" max="16" width="11.875" bestFit="1" customWidth="1"/>
    <col min="17" max="17" width="6.75" style="51" bestFit="1" customWidth="1"/>
    <col min="18" max="18" width="13" bestFit="1" customWidth="1"/>
    <col min="20" max="21" width="13" hidden="1" customWidth="1"/>
    <col min="22" max="22" width="11.875" hidden="1" customWidth="1"/>
    <col min="23" max="23" width="13.625" bestFit="1" customWidth="1"/>
  </cols>
  <sheetData>
    <row r="1" spans="1:22" ht="15.75" x14ac:dyDescent="0.25">
      <c r="B1" s="34"/>
      <c r="C1" s="34" t="s">
        <v>166</v>
      </c>
      <c r="D1" s="34" t="s">
        <v>166</v>
      </c>
      <c r="E1" s="34"/>
      <c r="F1" s="174"/>
      <c r="G1" s="174"/>
      <c r="H1" s="174"/>
      <c r="I1" s="175"/>
      <c r="J1" s="174"/>
      <c r="L1" s="174"/>
      <c r="M1" s="175"/>
      <c r="N1" s="174"/>
      <c r="P1" s="34"/>
      <c r="Q1" s="175"/>
      <c r="R1" s="34"/>
      <c r="T1" s="34"/>
      <c r="U1" s="34"/>
    </row>
    <row r="2" spans="1:22" ht="15" x14ac:dyDescent="0.25">
      <c r="A2" s="133" t="s">
        <v>228</v>
      </c>
      <c r="B2" s="149"/>
      <c r="C2" s="149"/>
      <c r="D2" s="149"/>
      <c r="E2" s="149" t="s">
        <v>10</v>
      </c>
      <c r="F2" s="146" t="s">
        <v>147</v>
      </c>
      <c r="G2" s="146" t="s">
        <v>194</v>
      </c>
      <c r="H2" s="146" t="s">
        <v>208</v>
      </c>
      <c r="I2" s="171" t="s">
        <v>191</v>
      </c>
      <c r="J2" s="146" t="s">
        <v>192</v>
      </c>
      <c r="L2" s="146" t="s">
        <v>67</v>
      </c>
      <c r="M2" s="171" t="s">
        <v>68</v>
      </c>
      <c r="N2" s="146" t="s">
        <v>71</v>
      </c>
      <c r="P2" s="148" t="s">
        <v>229</v>
      </c>
      <c r="Q2" s="171" t="s">
        <v>223</v>
      </c>
      <c r="R2" s="149" t="s">
        <v>232</v>
      </c>
      <c r="T2" s="149" t="s">
        <v>240</v>
      </c>
      <c r="U2" s="149" t="s">
        <v>241</v>
      </c>
      <c r="V2" s="149" t="s">
        <v>243</v>
      </c>
    </row>
    <row r="3" spans="1:22" x14ac:dyDescent="0.2">
      <c r="A3" s="140">
        <v>5</v>
      </c>
      <c r="B3" s="89" t="s">
        <v>115</v>
      </c>
      <c r="C3" s="89" t="s">
        <v>1</v>
      </c>
      <c r="D3" s="89" t="s">
        <v>1</v>
      </c>
      <c r="E3" s="89" t="s">
        <v>40</v>
      </c>
      <c r="F3" s="86">
        <f>ינואר!E3+פברואר!E3+מרץ!E3+אפריל!E3+מאי!E3+יוני!E3+יולי!F3+אוגוסט!F3+ספטמבר!F3+אוקטובר!F3+נובמבר!F3+דצמבר!F3</f>
        <v>2052731.7999999998</v>
      </c>
      <c r="G3" s="86">
        <f>ינואר!F3+פברואר!F3+מרץ!F3+אפריל!F3+מאי!F3+יוני!F3+יולי!G3+אוגוסט!G3+ספטמבר!G3+אוקטובר!G3+נובמבר!G3+דצמבר!G3</f>
        <v>1708656.85</v>
      </c>
      <c r="H3" s="86">
        <f>ינואר!G3+פברואר!G3+מרץ!G3+אפריל!G3+מאי!G3+יוני!G3+יולי!H3+אוגוסט!H3+ספטמבר!H3+אוקטובר!H3+נובמבר!H3+דצמבר!H3</f>
        <v>1328770.5499999998</v>
      </c>
      <c r="I3" s="172">
        <f>IFERROR(H3/G3-1,"")</f>
        <v>-0.22233036434436804</v>
      </c>
      <c r="J3" s="86">
        <f t="shared" ref="J3:J15" si="0">H3-G3</f>
        <v>-379886.30000000028</v>
      </c>
      <c r="L3" s="86">
        <f>ינואר!J3+פברואר!J3+מרץ!J3+אפריל!J3+מאי!J3+יוני!J3+יולי!M3+אוגוסט!M3+ספטמבר!M3+אוקטובר!M3+נובמבר!M3+דצמבר!M3</f>
        <v>2520000</v>
      </c>
      <c r="M3" s="172">
        <f>IFERROR(H3/L3-1,"")</f>
        <v>-0.47271009920634932</v>
      </c>
      <c r="N3" s="86">
        <f t="shared" ref="N3:N15" si="1">H3-L3</f>
        <v>-1191229.4500000002</v>
      </c>
      <c r="P3" s="89">
        <f>_xlfn.XLOOKUP($A3,'תקציב  '!A:A,'תקציב  '!AW:AW)</f>
        <v>1940443.2999999998</v>
      </c>
      <c r="Q3" s="172">
        <f>IFERROR(H3/P3,"-")</f>
        <v>0.68477679816771764</v>
      </c>
      <c r="R3" s="89">
        <f>H3-P3</f>
        <v>-611672.75</v>
      </c>
      <c r="T3" s="89">
        <f>'מצטבר יוני'!H3</f>
        <v>740443.29999999993</v>
      </c>
      <c r="U3" s="89">
        <f>_xlfn.XLOOKUP(A3,'תקציב  '!A:A,'תקציב  '!AO:AO)</f>
        <v>1200000</v>
      </c>
      <c r="V3" s="89">
        <f>U3+T3</f>
        <v>1940443.2999999998</v>
      </c>
    </row>
    <row r="4" spans="1:22" x14ac:dyDescent="0.2">
      <c r="A4" s="134">
        <v>1</v>
      </c>
      <c r="B4" s="89" t="s">
        <v>0</v>
      </c>
      <c r="C4" s="89" t="s">
        <v>0</v>
      </c>
      <c r="D4" s="89" t="s">
        <v>0</v>
      </c>
      <c r="E4" s="89" t="s">
        <v>40</v>
      </c>
      <c r="F4" s="86">
        <f>ינואר!E4+פברואר!E4+מרץ!E4+אפריל!E4+מאי!E4+יוני!E4+יולי!F4+אוגוסט!F4+ספטמבר!F4+אוקטובר!F4+נובמבר!F4+דצמבר!F4</f>
        <v>5482291.1780000003</v>
      </c>
      <c r="G4" s="86">
        <f>ינואר!F4+פברואר!F4+מרץ!F4+אפריל!F4+מאי!F4+יוני!F4+יולי!G4+אוגוסט!G4+ספטמבר!G4+אוקטובר!G4+נובמבר!G4+דצמבר!G4</f>
        <v>6071777.6226000376</v>
      </c>
      <c r="H4" s="86">
        <f>ינואר!G4+פברואר!G4+מרץ!G4+אפריל!G4+מאי!G4+יוני!G4+יולי!H4+אוגוסט!H4+ספטמבר!H4+אוקטובר!H4+נובמבר!H4+דצמבר!H4</f>
        <v>4231396.2600000007</v>
      </c>
      <c r="I4" s="172">
        <f t="shared" ref="I4:I42" si="2">IFERROR(H4/G4-1,"")</f>
        <v>-0.30310421049510616</v>
      </c>
      <c r="J4" s="86">
        <f t="shared" si="0"/>
        <v>-1840381.3626000369</v>
      </c>
      <c r="L4" s="86">
        <f>ינואר!J4+פברואר!J4+מרץ!J4+אפריל!J4+מאי!J4+יוני!J4+יולי!M4+אוגוסט!M4+ספטמבר!M4+אוקטובר!M4+נובמבר!M4+דצמבר!M4</f>
        <v>6778999.9999999991</v>
      </c>
      <c r="M4" s="172">
        <f t="shared" ref="M4:M42" si="3">IFERROR(H4/L4-1,"")</f>
        <v>-0.37580819294881229</v>
      </c>
      <c r="N4" s="86">
        <f t="shared" si="1"/>
        <v>-2547603.7399999984</v>
      </c>
      <c r="P4" s="89">
        <f>_xlfn.XLOOKUP($A4,'תקציב  '!A:A,'תקציב  '!AW:AW)</f>
        <v>6074937.8930000011</v>
      </c>
      <c r="Q4" s="172">
        <f t="shared" ref="Q4:Q42" si="4">IFERROR(H4/P4,"-")</f>
        <v>0.69653325425363322</v>
      </c>
      <c r="R4" s="89">
        <f t="shared" ref="R4:R39" si="5">H4-P4</f>
        <v>-1843541.6330000004</v>
      </c>
      <c r="T4" s="89">
        <f>'מצטבר יוני'!H4</f>
        <v>2774937.8930000006</v>
      </c>
      <c r="U4" s="89">
        <f>_xlfn.XLOOKUP(A4,'תקציב  '!A:A,'תקציב  '!AO:AO)</f>
        <v>3300000</v>
      </c>
      <c r="V4" s="89">
        <f t="shared" ref="V4:V39" si="6">U4+T4</f>
        <v>6074937.8930000011</v>
      </c>
    </row>
    <row r="5" spans="1:22" x14ac:dyDescent="0.2">
      <c r="A5" s="134">
        <v>7</v>
      </c>
      <c r="B5" s="89" t="s">
        <v>44</v>
      </c>
      <c r="C5" s="89" t="s">
        <v>44</v>
      </c>
      <c r="D5" s="89" t="s">
        <v>44</v>
      </c>
      <c r="E5" s="89" t="s">
        <v>40</v>
      </c>
      <c r="F5" s="86">
        <f>ינואר!E5+פברואר!E5+מרץ!E5+אפריל!E5+מאי!E5+יוני!E5+יולי!F5+אוגוסט!F5+ספטמבר!F5+אוקטובר!F5+נובמבר!F5+דצמבר!F5</f>
        <v>1089803.8060000001</v>
      </c>
      <c r="G5" s="86">
        <f>ינואר!F5+פברואר!F5+מרץ!F5+אפריל!F5+מאי!F5+יוני!F5+יולי!G5+אוגוסט!G5+ספטמבר!G5+אוקטובר!G5+נובמבר!G5+דצמבר!G5</f>
        <v>828689.8600000001</v>
      </c>
      <c r="H5" s="86">
        <f>ינואר!G5+פברואר!G5+מרץ!G5+אפריל!G5+מאי!G5+יוני!G5+יולי!H5+אוגוסט!H5+ספטמבר!H5+אוקטובר!H5+נובמבר!H5+דצמבר!H5</f>
        <v>651059.04500000004</v>
      </c>
      <c r="I5" s="172">
        <f t="shared" si="2"/>
        <v>-0.21435137989983377</v>
      </c>
      <c r="J5" s="86">
        <f t="shared" si="0"/>
        <v>-177630.81500000006</v>
      </c>
      <c r="L5" s="86">
        <f>ינואר!J5+פברואר!J5+מרץ!J5+אפריל!J5+מאי!J5+יוני!J5+יולי!M5+אוגוסט!M5+ספטמבר!M5+אוקטובר!M5+נובמבר!M5+דצמבר!M5</f>
        <v>900000</v>
      </c>
      <c r="M5" s="172">
        <f t="shared" si="3"/>
        <v>-0.27660106111111105</v>
      </c>
      <c r="N5" s="86">
        <f t="shared" si="1"/>
        <v>-248940.95499999996</v>
      </c>
      <c r="P5" s="89">
        <f>_xlfn.XLOOKUP($A5,'תקציב  '!A:A,'תקציב  '!AW:AW)</f>
        <v>1037274.5649999999</v>
      </c>
      <c r="Q5" s="172">
        <f t="shared" si="4"/>
        <v>0.62766317325056564</v>
      </c>
      <c r="R5" s="89">
        <f t="shared" si="5"/>
        <v>-386215.5199999999</v>
      </c>
      <c r="T5" s="89">
        <f>'מצטבר יוני'!H5</f>
        <v>437274.565</v>
      </c>
      <c r="U5" s="89">
        <f>_xlfn.XLOOKUP(A5,'תקציב  '!A:A,'תקציב  '!AO:AO)</f>
        <v>600000</v>
      </c>
      <c r="V5" s="89">
        <f t="shared" si="6"/>
        <v>1037274.5649999999</v>
      </c>
    </row>
    <row r="6" spans="1:22" x14ac:dyDescent="0.2">
      <c r="A6" s="134">
        <v>4</v>
      </c>
      <c r="B6" s="89" t="s">
        <v>3</v>
      </c>
      <c r="C6" s="89" t="s">
        <v>3</v>
      </c>
      <c r="D6" s="89" t="s">
        <v>3</v>
      </c>
      <c r="E6" s="89" t="s">
        <v>40</v>
      </c>
      <c r="F6" s="86">
        <f>ינואר!E6+פברואר!E6+מרץ!E6+אפריל!E6+מאי!E6+יוני!E6+יולי!F6+אוגוסט!F6+ספטמבר!F6+אוקטובר!F6+נובמבר!F6+דצמבר!F6</f>
        <v>1835959.5299999998</v>
      </c>
      <c r="G6" s="86">
        <f>ינואר!F6+פברואר!F6+מרץ!F6+אפריל!F6+מאי!F6+יוני!F6+יולי!G6+אוגוסט!G6+ספטמבר!G6+אוקטובר!G6+נובמבר!G6+דצמבר!G6</f>
        <v>1941001.5794000016</v>
      </c>
      <c r="H6" s="86">
        <f>ינואר!G6+פברואר!G6+מרץ!G6+אפריל!G6+מאי!G6+יוני!G6+יולי!H6+אוגוסט!H6+ספטמבר!H6+אוקטובר!H6+נובמבר!H6+דצמבר!H6</f>
        <v>1409547.8450000002</v>
      </c>
      <c r="I6" s="172">
        <f t="shared" si="2"/>
        <v>-0.27380386499442377</v>
      </c>
      <c r="J6" s="86">
        <f t="shared" si="0"/>
        <v>-531453.73440000135</v>
      </c>
      <c r="L6" s="86">
        <f>ינואר!J6+פברואר!J6+מרץ!J6+אפריל!J6+מאי!J6+יוני!J6+יולי!M6+אוגוסט!M6+ספטמבר!M6+אוקטובר!M6+נובמבר!M6+דצמבר!M6</f>
        <v>1947000</v>
      </c>
      <c r="M6" s="172">
        <f t="shared" si="3"/>
        <v>-0.27604116846430393</v>
      </c>
      <c r="N6" s="86">
        <f t="shared" si="1"/>
        <v>-537452.1549999998</v>
      </c>
      <c r="P6" s="89">
        <f>_xlfn.XLOOKUP($A6,'תקציב  '!A:A,'תקציב  '!AW:AW)</f>
        <v>2118523.9780000001</v>
      </c>
      <c r="Q6" s="172">
        <f t="shared" si="4"/>
        <v>0.66534429614088608</v>
      </c>
      <c r="R6" s="89">
        <f t="shared" si="5"/>
        <v>-708976.13299999991</v>
      </c>
      <c r="T6" s="89">
        <f>'מצטבר יוני'!H6</f>
        <v>918523.97800000012</v>
      </c>
      <c r="U6" s="89">
        <f>_xlfn.XLOOKUP(A6,'תקציב  '!A:A,'תקציב  '!AO:AO)</f>
        <v>1200000</v>
      </c>
      <c r="V6" s="89">
        <f t="shared" si="6"/>
        <v>2118523.9780000001</v>
      </c>
    </row>
    <row r="7" spans="1:22" x14ac:dyDescent="0.2">
      <c r="A7" s="134">
        <v>3</v>
      </c>
      <c r="B7" s="89" t="s">
        <v>112</v>
      </c>
      <c r="C7" s="89" t="s">
        <v>2</v>
      </c>
      <c r="D7" s="89" t="s">
        <v>2</v>
      </c>
      <c r="E7" s="89" t="s">
        <v>40</v>
      </c>
      <c r="F7" s="86">
        <f>ינואר!E7+פברואר!E7+מרץ!E7+אפריל!E7+מאי!E7+יוני!E7+יולי!F7+אוגוסט!F7+ספטמבר!F7+אוקטובר!F7+נובמבר!F7+דצמבר!F7</f>
        <v>4118466.0999999996</v>
      </c>
      <c r="G7" s="86">
        <f>ינואר!F7+פברואר!F7+מרץ!F7+אפריל!F7+מאי!F7+יוני!F7+יולי!G7+אוגוסט!G7+ספטמבר!G7+אוקטובר!G7+נובמבר!G7+דצמבר!G7</f>
        <v>3809616.42</v>
      </c>
      <c r="H7" s="86">
        <f>ינואר!G7+פברואר!G7+מרץ!G7+אפריל!G7+מאי!G7+יוני!G7+יולי!H7+אוגוסט!H7+ספטמבר!H7+אוקטובר!H7+נובמבר!H7+דצמבר!H7</f>
        <v>2727663.25</v>
      </c>
      <c r="I7" s="172">
        <f t="shared" si="2"/>
        <v>-0.28400580287293065</v>
      </c>
      <c r="J7" s="86">
        <f t="shared" si="0"/>
        <v>-1081953.17</v>
      </c>
      <c r="L7" s="86">
        <f>ינואר!J7+פברואר!J7+מרץ!J7+אפריל!J7+מאי!J7+יוני!J7+יולי!M7+אוגוסט!M7+ספטמבר!M7+אוקטובר!M7+נובמבר!M7+דצמבר!M7</f>
        <v>4381000</v>
      </c>
      <c r="M7" s="172">
        <f t="shared" si="3"/>
        <v>-0.37738798219584568</v>
      </c>
      <c r="N7" s="86">
        <f t="shared" si="1"/>
        <v>-1653336.75</v>
      </c>
      <c r="P7" s="89">
        <f>_xlfn.XLOOKUP($A7,'תקציב  '!A:A,'תקציב  '!AW:AW)</f>
        <v>3722410.85</v>
      </c>
      <c r="Q7" s="172">
        <f t="shared" si="4"/>
        <v>0.73276791840427824</v>
      </c>
      <c r="R7" s="89">
        <f t="shared" si="5"/>
        <v>-994747.60000000009</v>
      </c>
      <c r="T7" s="89">
        <f>'מצטבר יוני'!H7</f>
        <v>1742410.85</v>
      </c>
      <c r="U7" s="89">
        <f>_xlfn.XLOOKUP(A7,'תקציב  '!A:A,'תקציב  '!AO:AO)</f>
        <v>1980000</v>
      </c>
      <c r="V7" s="89">
        <f t="shared" si="6"/>
        <v>3722410.85</v>
      </c>
    </row>
    <row r="8" spans="1:22" x14ac:dyDescent="0.2">
      <c r="A8" s="134">
        <v>8</v>
      </c>
      <c r="B8" s="89" t="s">
        <v>113</v>
      </c>
      <c r="C8" s="89" t="s">
        <v>5</v>
      </c>
      <c r="D8" s="89" t="s">
        <v>5</v>
      </c>
      <c r="E8" s="89" t="s">
        <v>40</v>
      </c>
      <c r="F8" s="86">
        <f>ינואר!E8+פברואר!E8+מרץ!E8+אפריל!E8+מאי!E8+יוני!E8+יולי!F8+אוגוסט!F8+ספטמבר!F8+אוקטובר!F8+נובמבר!F8+דצמבר!F8</f>
        <v>797978.25</v>
      </c>
      <c r="G8" s="86">
        <f>ינואר!F8+פברואר!F8+מרץ!F8+אפריל!F8+מאי!F8+יוני!F8+יולי!G8+אוגוסט!G8+ספטמבר!G8+אוקטובר!G8+נובמבר!G8+דצמבר!G8</f>
        <v>892626.19</v>
      </c>
      <c r="H8" s="86">
        <f>ינואר!G8+פברואר!G8+מרץ!G8+אפריל!G8+מאי!G8+יוני!G8+יולי!H8+אוגוסט!H8+ספטמבר!H8+אוקטובר!H8+נובמבר!H8+דצמבר!H8</f>
        <v>520254.74100000004</v>
      </c>
      <c r="I8" s="172">
        <f t="shared" si="2"/>
        <v>-0.41716392950558612</v>
      </c>
      <c r="J8" s="86">
        <f t="shared" si="0"/>
        <v>-372371.44899999991</v>
      </c>
      <c r="L8" s="86">
        <f>ינואר!J8+פברואר!J8+מרץ!J8+אפריל!J8+מאי!J8+יוני!J8+יולי!M8+אוגוסט!M8+ספטמבר!M8+אוקטובר!M8+נובמבר!M8+דצמבר!M8</f>
        <v>1220000</v>
      </c>
      <c r="M8" s="172">
        <f t="shared" si="3"/>
        <v>-0.573561687704918</v>
      </c>
      <c r="N8" s="86">
        <f t="shared" si="1"/>
        <v>-699745.25899999996</v>
      </c>
      <c r="P8" s="89">
        <f>_xlfn.XLOOKUP($A8,'תקציב  '!A:A,'תקציב  '!AW:AW)</f>
        <v>943097.61100000003</v>
      </c>
      <c r="Q8" s="172">
        <f t="shared" si="4"/>
        <v>0.55164463882837678</v>
      </c>
      <c r="R8" s="89">
        <f t="shared" si="5"/>
        <v>-422842.87</v>
      </c>
      <c r="T8" s="89">
        <f>'מצטבר יוני'!H8</f>
        <v>343097.61100000003</v>
      </c>
      <c r="U8" s="89">
        <f>_xlfn.XLOOKUP(A8,'תקציב  '!A:A,'תקציב  '!AO:AO)</f>
        <v>600000</v>
      </c>
      <c r="V8" s="89">
        <f t="shared" si="6"/>
        <v>943097.61100000003</v>
      </c>
    </row>
    <row r="9" spans="1:22" x14ac:dyDescent="0.2">
      <c r="A9" s="134">
        <v>6</v>
      </c>
      <c r="B9" s="89" t="s">
        <v>121</v>
      </c>
      <c r="C9" s="89" t="s">
        <v>4</v>
      </c>
      <c r="D9" s="89" t="s">
        <v>4</v>
      </c>
      <c r="E9" s="89" t="s">
        <v>40</v>
      </c>
      <c r="F9" s="86">
        <f>ינואר!E9+פברואר!E9+מרץ!E9+אפריל!E9+מאי!E9+יוני!E9+יולי!F9+אוגוסט!F9+ספטמבר!F9+אוקטובר!F9+נובמבר!F9+דצמבר!F9</f>
        <v>901019.24999999988</v>
      </c>
      <c r="G9" s="86">
        <f>ינואר!F9+פברואר!F9+מרץ!F9+אפריל!F9+מאי!F9+יוני!F9+יולי!G9+אוגוסט!G9+ספטמבר!G9+אוקטובר!G9+נובמבר!G9+דצמבר!G9</f>
        <v>854818.94000000018</v>
      </c>
      <c r="H9" s="86">
        <f>ינואר!G9+פברואר!G9+מרץ!G9+אפריל!G9+מאי!G9+יוני!G9+יולי!H9+אוגוסט!H9+ספטמבר!H9+אוקטובר!H9+נובמבר!H9+דצמבר!H9</f>
        <v>678114.16</v>
      </c>
      <c r="I9" s="172">
        <f t="shared" si="2"/>
        <v>-0.20671603275425798</v>
      </c>
      <c r="J9" s="86">
        <f t="shared" si="0"/>
        <v>-176704.78000000014</v>
      </c>
      <c r="L9" s="86">
        <f>ינואר!J9+פברואר!J9+מרץ!J9+אפריל!J9+מאי!J9+יוני!J9+יולי!M9+אוגוסט!M9+ספטמבר!M9+אוקטובר!M9+נובמבר!M9+דצמבר!M9</f>
        <v>1978999.9999999998</v>
      </c>
      <c r="M9" s="172">
        <f t="shared" si="3"/>
        <v>-0.65734504295098528</v>
      </c>
      <c r="N9" s="86">
        <f t="shared" si="1"/>
        <v>-1300885.8399999999</v>
      </c>
      <c r="P9" s="89">
        <f>_xlfn.XLOOKUP($A9,'תקציב  '!A:A,'תקציב  '!AW:AW)</f>
        <v>1075277.5699999998</v>
      </c>
      <c r="Q9" s="172">
        <f t="shared" si="4"/>
        <v>0.63064103531890858</v>
      </c>
      <c r="R9" s="89">
        <f t="shared" si="5"/>
        <v>-397163.4099999998</v>
      </c>
      <c r="T9" s="89">
        <f>'מצטבר יוני'!H9</f>
        <v>475277.56999999995</v>
      </c>
      <c r="U9" s="89">
        <f>_xlfn.XLOOKUP(A9,'תקציב  '!A:A,'תקציב  '!AO:AO)</f>
        <v>600000</v>
      </c>
      <c r="V9" s="89">
        <f t="shared" si="6"/>
        <v>1075277.5699999998</v>
      </c>
    </row>
    <row r="10" spans="1:22" x14ac:dyDescent="0.2">
      <c r="A10" s="135">
        <v>10</v>
      </c>
      <c r="B10" s="89" t="s">
        <v>120</v>
      </c>
      <c r="C10" s="89" t="s">
        <v>6</v>
      </c>
      <c r="D10" s="89" t="s">
        <v>6</v>
      </c>
      <c r="E10" s="89" t="s">
        <v>40</v>
      </c>
      <c r="F10" s="86">
        <f>ינואר!E10+פברואר!E10+מרץ!E10+אפריל!E10+מאי!E10+יוני!E10+יולי!F10+אוגוסט!F10+ספטמבר!F10+אוקטובר!F10+נובמבר!F10+דצמבר!F10</f>
        <v>187203.67</v>
      </c>
      <c r="G10" s="86">
        <f>ינואר!F10+פברואר!F10+מרץ!F10+אפריל!F10+מאי!F10+יוני!F10+יולי!G10+אוגוסט!G10+ספטמבר!G10+אוקטובר!G10+נובמבר!G10+דצמבר!G10</f>
        <v>185250.51</v>
      </c>
      <c r="H10" s="86">
        <f>ינואר!G10+פברואר!G10+מרץ!G10+אפריל!G10+מאי!G10+יוני!G10+יולי!H10+אוגוסט!H10+ספטמבר!H10+אוקטובר!H10+נובמבר!H10+דצמבר!H10</f>
        <v>79418.590000000011</v>
      </c>
      <c r="I10" s="172">
        <f t="shared" si="2"/>
        <v>-0.57129084287001419</v>
      </c>
      <c r="J10" s="86">
        <f t="shared" si="0"/>
        <v>-105831.92</v>
      </c>
      <c r="L10" s="86">
        <f>ינואר!J10+פברואר!J10+מרץ!J10+אפריל!J10+מאי!J10+יוני!J10+יולי!M10+אוגוסט!M10+ספטמבר!M10+אוקטובר!M10+נובמבר!M10+דצמבר!M10</f>
        <v>190000.00000000003</v>
      </c>
      <c r="M10" s="172">
        <f t="shared" si="3"/>
        <v>-0.58200742105263159</v>
      </c>
      <c r="N10" s="86">
        <f t="shared" si="1"/>
        <v>-110581.41000000002</v>
      </c>
      <c r="P10" s="89">
        <f>_xlfn.XLOOKUP($A10,'תקציב  '!A:A,'תקציב  '!AW:AW)</f>
        <v>151235.08000000002</v>
      </c>
      <c r="Q10" s="172">
        <f t="shared" si="4"/>
        <v>0.52513338836465717</v>
      </c>
      <c r="R10" s="89">
        <f t="shared" si="5"/>
        <v>-71816.490000000005</v>
      </c>
      <c r="T10" s="89">
        <f>'מצטבר יוני'!H10</f>
        <v>61235.08</v>
      </c>
      <c r="U10" s="89">
        <f>_xlfn.XLOOKUP(A10,'תקציב  '!A:A,'תקציב  '!AO:AO)</f>
        <v>90000</v>
      </c>
      <c r="V10" s="89">
        <f t="shared" si="6"/>
        <v>151235.08000000002</v>
      </c>
    </row>
    <row r="11" spans="1:22" x14ac:dyDescent="0.2">
      <c r="A11" s="134">
        <v>11</v>
      </c>
      <c r="B11" s="89" t="s">
        <v>117</v>
      </c>
      <c r="C11" s="89" t="s">
        <v>66</v>
      </c>
      <c r="D11" s="89" t="s">
        <v>66</v>
      </c>
      <c r="E11" s="89" t="s">
        <v>40</v>
      </c>
      <c r="F11" s="86">
        <f>ינואר!E11+פברואר!E11+מרץ!E11+אפריל!E11+מאי!E11+יוני!E11+יולי!F11+אוגוסט!F11+ספטמבר!F11+אוקטובר!F11+נובמבר!F11+דצמבר!F11</f>
        <v>92204.349999999991</v>
      </c>
      <c r="G11" s="86">
        <f>ינואר!F11+פברואר!F11+מרץ!F11+אפריל!F11+מאי!F11+יוני!F11+יולי!G11+אוגוסט!G11+ספטמבר!G11+אוקטובר!G11+נובמבר!G11+דצמבר!G11</f>
        <v>57359.720000000008</v>
      </c>
      <c r="H11" s="86">
        <f>ינואר!G11+פברואר!G11+מרץ!G11+אפריל!G11+מאי!G11+יוני!G11+יולי!H11+אוגוסט!H11+ספטמבר!H11+אוקטובר!H11+נובמבר!H11+דצמבר!H11</f>
        <v>45013.96</v>
      </c>
      <c r="I11" s="172">
        <f t="shared" si="2"/>
        <v>-0.21523396557723795</v>
      </c>
      <c r="J11" s="86">
        <f t="shared" si="0"/>
        <v>-12345.760000000009</v>
      </c>
      <c r="L11" s="86">
        <f>ינואר!J11+פברואר!J11+מרץ!J11+אפריל!J11+מאי!J11+יוני!J11+יולי!M11+אוגוסט!M11+ספטמבר!M11+אוקטובר!M11+נובמבר!M11+דצמבר!M11</f>
        <v>99999.999999999985</v>
      </c>
      <c r="M11" s="172">
        <f t="shared" si="3"/>
        <v>-0.54986039999999992</v>
      </c>
      <c r="N11" s="86">
        <f t="shared" si="1"/>
        <v>-54986.039999999986</v>
      </c>
      <c r="P11" s="89">
        <f>_xlfn.XLOOKUP($A11,'תקציב  '!A:A,'תקציב  '!AW:AW)</f>
        <v>94015.41</v>
      </c>
      <c r="Q11" s="172">
        <f t="shared" si="4"/>
        <v>0.47879342333347263</v>
      </c>
      <c r="R11" s="89">
        <f t="shared" si="5"/>
        <v>-49001.450000000004</v>
      </c>
      <c r="T11" s="89">
        <f>'מצטבר יוני'!H11</f>
        <v>34015.410000000003</v>
      </c>
      <c r="U11" s="89">
        <f>_xlfn.XLOOKUP(A11,'תקציב  '!A:A,'תקציב  '!AO:AO)</f>
        <v>60000</v>
      </c>
      <c r="V11" s="89">
        <f t="shared" si="6"/>
        <v>94015.41</v>
      </c>
    </row>
    <row r="12" spans="1:22" x14ac:dyDescent="0.2">
      <c r="A12" s="134">
        <v>14</v>
      </c>
      <c r="B12" s="89" t="s">
        <v>116</v>
      </c>
      <c r="C12" s="89" t="s">
        <v>8</v>
      </c>
      <c r="D12" s="89" t="s">
        <v>8</v>
      </c>
      <c r="E12" s="89" t="s">
        <v>40</v>
      </c>
      <c r="F12" s="86">
        <f>ינואר!E12+פברואר!E12+מרץ!E12+אפריל!E12+מאי!E12+יוני!E12+יולי!F12+אוגוסט!F12+ספטמבר!F12+אוקטובר!F12+נובמבר!F12+דצמבר!F12</f>
        <v>3230.5</v>
      </c>
      <c r="G12" s="86">
        <f>ינואר!F12+פברואר!F12+מרץ!F12+אפריל!F12+מאי!F12+יוני!F12+יולי!G12+אוגוסט!G12+ספטמבר!G12+אוקטובר!G12+נובמבר!G12+דצמבר!G12</f>
        <v>4145.68</v>
      </c>
      <c r="H12" s="86">
        <f>ינואר!G12+פברואר!G12+מרץ!G12+אפריל!G12+מאי!G12+יוני!G12+יולי!H12+אוגוסט!H12+ספטמבר!H12+אוקטובר!H12+נובמבר!H12+דצמבר!H12</f>
        <v>4305.0200000000004</v>
      </c>
      <c r="I12" s="172">
        <f t="shared" si="2"/>
        <v>3.8435190366839622E-2</v>
      </c>
      <c r="J12" s="86">
        <f t="shared" si="0"/>
        <v>159.34000000000015</v>
      </c>
      <c r="L12" s="86">
        <f>ינואר!J12+פברואר!J12+מרץ!J12+אפריל!J12+מאי!J12+יוני!J12+יולי!M12+אוגוסט!M12+ספטמבר!M12+אוקטובר!M12+נובמבר!M12+דצמבר!M12</f>
        <v>0</v>
      </c>
      <c r="M12" s="172" t="str">
        <f t="shared" si="3"/>
        <v/>
      </c>
      <c r="N12" s="86">
        <f t="shared" si="1"/>
        <v>4305.0200000000004</v>
      </c>
      <c r="P12" s="89">
        <f>_xlfn.XLOOKUP($A12,'תקציב  '!A:A,'תקציב  '!AW:AW)</f>
        <v>33576.15</v>
      </c>
      <c r="Q12" s="172">
        <f t="shared" si="4"/>
        <v>0.12821660613262689</v>
      </c>
      <c r="R12" s="89">
        <f t="shared" si="5"/>
        <v>-29271.13</v>
      </c>
      <c r="T12" s="89">
        <f>'מצטבר יוני'!H12</f>
        <v>3576.15</v>
      </c>
      <c r="U12" s="89">
        <f>_xlfn.XLOOKUP(A12,'תקציב  '!A:A,'תקציב  '!AO:AO)</f>
        <v>30000</v>
      </c>
      <c r="V12" s="89">
        <f t="shared" si="6"/>
        <v>33576.15</v>
      </c>
    </row>
    <row r="13" spans="1:22" x14ac:dyDescent="0.2">
      <c r="A13" s="134">
        <v>15</v>
      </c>
      <c r="B13" s="89" t="s">
        <v>119</v>
      </c>
      <c r="C13" s="89" t="s">
        <v>151</v>
      </c>
      <c r="D13" s="89" t="s">
        <v>151</v>
      </c>
      <c r="E13" s="89" t="s">
        <v>40</v>
      </c>
      <c r="F13" s="86">
        <f>ינואר!E13+פברואר!E13+מרץ!E13+אפריל!E13+מאי!E13+יוני!E13+יולי!F13+אוגוסט!F13+ספטמבר!F13+אוקטובר!F13+נובמבר!F13+דצמבר!F13</f>
        <v>1583.18</v>
      </c>
      <c r="G13" s="86">
        <f>ינואר!F13+פברואר!F13+מרץ!F13+אפריל!F13+מאי!F13+יוני!F13+יולי!G13+אוגוסט!G13+ספטמבר!G13+אוקטובר!G13+נובמבר!G13+דצמבר!G13</f>
        <v>514.20000000000005</v>
      </c>
      <c r="H13" s="86">
        <f>ינואר!G13+פברואר!G13+מרץ!G13+אפריל!G13+מאי!G13+יוני!G13+יולי!H13+אוגוסט!H13+ספטמבר!H13+אוקטובר!H13+נובמבר!H13+דצמבר!H13</f>
        <v>1896.82</v>
      </c>
      <c r="I13" s="172">
        <f t="shared" si="2"/>
        <v>2.6888759237650715</v>
      </c>
      <c r="J13" s="86">
        <f t="shared" si="0"/>
        <v>1382.62</v>
      </c>
      <c r="L13" s="86">
        <f>ינואר!J13+פברואר!J13+מרץ!J13+אפריל!J13+מאי!J13+יוני!J13+יולי!M13+אוגוסט!M13+ספטמבר!M13+אוקטובר!M13+נובמבר!M13+דצמבר!M13</f>
        <v>25000</v>
      </c>
      <c r="M13" s="172">
        <f t="shared" si="3"/>
        <v>-0.92412720000000004</v>
      </c>
      <c r="N13" s="86">
        <f t="shared" si="1"/>
        <v>-23103.18</v>
      </c>
      <c r="P13" s="89">
        <f>_xlfn.XLOOKUP($A13,'תקציב  '!A:A,'תקציב  '!AW:AW)</f>
        <v>31896.82</v>
      </c>
      <c r="Q13" s="172">
        <f t="shared" si="4"/>
        <v>5.9467370101470927E-2</v>
      </c>
      <c r="R13" s="89">
        <f t="shared" si="5"/>
        <v>-30000</v>
      </c>
      <c r="T13" s="89">
        <f>'מצטבר יוני'!H13</f>
        <v>1896.82</v>
      </c>
      <c r="U13" s="89">
        <f>_xlfn.XLOOKUP(A13,'תקציב  '!A:A,'תקציב  '!AO:AO)</f>
        <v>30000</v>
      </c>
      <c r="V13" s="89">
        <f t="shared" si="6"/>
        <v>31896.82</v>
      </c>
    </row>
    <row r="14" spans="1:22" x14ac:dyDescent="0.2">
      <c r="A14" s="134">
        <v>13</v>
      </c>
      <c r="B14" s="89" t="s">
        <v>114</v>
      </c>
      <c r="C14" s="89" t="s">
        <v>45</v>
      </c>
      <c r="D14" s="89" t="s">
        <v>45</v>
      </c>
      <c r="E14" s="89" t="s">
        <v>40</v>
      </c>
      <c r="F14" s="86">
        <f>ינואר!E14+פברואר!E14+מרץ!E14+אפריל!E14+מאי!E14+יוני!E14+יולי!F14+אוגוסט!F14+ספטמבר!F14+אוקטובר!F14+נובמבר!F14+דצמבר!F14</f>
        <v>9577.5</v>
      </c>
      <c r="G14" s="86">
        <f>ינואר!F14+פברואר!F14+מרץ!F14+אפריל!F14+מאי!F14+יוני!F14+יולי!G14+אוגוסט!G14+ספטמבר!G14+אוקטובר!G14+נובמבר!G14+דצמבר!G14</f>
        <v>13532.23</v>
      </c>
      <c r="H14" s="86">
        <f>ינואר!G14+פברואר!G14+מרץ!G14+אפריל!G14+מאי!G14+יוני!G14+יולי!H14+אוגוסט!H14+ספטמבר!H14+אוקטובר!H14+נובמבר!H14+דצמבר!H14</f>
        <v>14953.48</v>
      </c>
      <c r="I14" s="172">
        <f t="shared" si="2"/>
        <v>0.10502703545535352</v>
      </c>
      <c r="J14" s="86">
        <f t="shared" si="0"/>
        <v>1421.25</v>
      </c>
      <c r="L14" s="86">
        <f>ינואר!J14+פברואר!J14+מרץ!J14+אפריל!J14+מאי!J14+יוני!J14+יולי!M14+אוגוסט!M14+ספטמבר!M14+אוקטובר!M14+נובמבר!M14+דצמבר!M14</f>
        <v>400000</v>
      </c>
      <c r="M14" s="172">
        <f t="shared" si="3"/>
        <v>-0.96261629999999998</v>
      </c>
      <c r="N14" s="86">
        <f t="shared" si="1"/>
        <v>-385046.52</v>
      </c>
      <c r="P14" s="89">
        <f>_xlfn.XLOOKUP($A14,'תקציב  '!A:A,'תקציב  '!AW:AW)</f>
        <v>37748.720000000001</v>
      </c>
      <c r="Q14" s="172">
        <f t="shared" si="4"/>
        <v>0.39613210726085546</v>
      </c>
      <c r="R14" s="89">
        <f t="shared" si="5"/>
        <v>-22795.24</v>
      </c>
      <c r="T14" s="89">
        <f>'מצטבר יוני'!H14</f>
        <v>7748.72</v>
      </c>
      <c r="U14" s="89">
        <f>_xlfn.XLOOKUP(A14,'תקציב  '!A:A,'תקציב  '!AO:AO)</f>
        <v>30000</v>
      </c>
      <c r="V14" s="89">
        <f t="shared" si="6"/>
        <v>37748.720000000001</v>
      </c>
    </row>
    <row r="15" spans="1:22" x14ac:dyDescent="0.2">
      <c r="A15" s="134">
        <v>9</v>
      </c>
      <c r="B15" s="89" t="s">
        <v>118</v>
      </c>
      <c r="C15" s="89" t="s">
        <v>73</v>
      </c>
      <c r="D15" s="89" t="s">
        <v>73</v>
      </c>
      <c r="E15" s="89" t="s">
        <v>40</v>
      </c>
      <c r="F15" s="86">
        <f>ינואר!E15+פברואר!E15+מרץ!E15+אפריל!E15+מאי!E15+יוני!E15+יולי!F15+אוגוסט!F15+ספטמבר!F15+אוקטובר!F15+נובמבר!F15+דצמבר!F15</f>
        <v>72915.81</v>
      </c>
      <c r="G15" s="86">
        <f>ינואר!F15+פברואר!F15+מרץ!F15+אפריל!F15+מאי!F15+יוני!F15+יולי!G15+אוגוסט!G15+ספטמבר!G15+אוקטובר!G15+נובמבר!G15+דצמבר!G15</f>
        <v>94701.6</v>
      </c>
      <c r="H15" s="86">
        <f>ינואר!G15+פברואר!G15+מרץ!G15+אפריל!G15+מאי!G15+יוני!G15+יולי!H15+אוגוסט!H15+ספטמבר!H15+אוקטובר!H15+נובמבר!H15+דצמבר!H15</f>
        <v>118677.26000000001</v>
      </c>
      <c r="I15" s="172">
        <f t="shared" si="2"/>
        <v>0.25317059057080349</v>
      </c>
      <c r="J15" s="86">
        <f t="shared" si="0"/>
        <v>23975.660000000003</v>
      </c>
      <c r="L15" s="86">
        <f>ינואר!J15+פברואר!J15+מרץ!J15+אפריל!J15+מאי!J15+יוני!J15+יולי!M15+אוגוסט!M15+ספטמבר!M15+אוקטובר!M15+נובמבר!M15+דצמבר!M15</f>
        <v>199999.99999999997</v>
      </c>
      <c r="M15" s="172">
        <f t="shared" si="3"/>
        <v>-0.40661369999999986</v>
      </c>
      <c r="N15" s="86">
        <f t="shared" si="1"/>
        <v>-81322.739999999962</v>
      </c>
      <c r="P15" s="89">
        <f>_xlfn.XLOOKUP($A15,'תקציב  '!A:A,'תקציב  '!AW:AW)</f>
        <v>239111.1</v>
      </c>
      <c r="Q15" s="172">
        <f t="shared" si="4"/>
        <v>0.49632685391853415</v>
      </c>
      <c r="R15" s="89">
        <f t="shared" si="5"/>
        <v>-120433.84</v>
      </c>
      <c r="T15" s="89">
        <f>'מצטבר יוני'!H15</f>
        <v>89111.1</v>
      </c>
      <c r="U15" s="89">
        <f>_xlfn.XLOOKUP(A15,'תקציב  '!A:A,'תקציב  '!AO:AO)</f>
        <v>150000</v>
      </c>
      <c r="V15" s="89">
        <f t="shared" si="6"/>
        <v>239111.1</v>
      </c>
    </row>
    <row r="16" spans="1:22" ht="15" x14ac:dyDescent="0.25">
      <c r="A16" s="136"/>
      <c r="B16" s="152"/>
      <c r="C16" s="152" t="s">
        <v>221</v>
      </c>
      <c r="D16" s="152" t="s">
        <v>221</v>
      </c>
      <c r="E16" s="152"/>
      <c r="F16" s="152">
        <f>SUM(F3:F15)</f>
        <v>16644964.923999999</v>
      </c>
      <c r="G16" s="152">
        <f>SUM(G3:G15)</f>
        <v>16462691.402000036</v>
      </c>
      <c r="H16" s="152">
        <f>SUM(H3:H15)</f>
        <v>11811070.981000002</v>
      </c>
      <c r="I16" s="173">
        <f t="shared" si="2"/>
        <v>-0.28255528257274587</v>
      </c>
      <c r="J16" s="152">
        <f>SUM(J3:J15)</f>
        <v>-4651620.4210000383</v>
      </c>
      <c r="L16" s="152">
        <f>SUM(L3:L15)</f>
        <v>20641000</v>
      </c>
      <c r="M16" s="173">
        <f t="shared" si="3"/>
        <v>-0.42778591245579178</v>
      </c>
      <c r="N16" s="152">
        <f>SUM(N3:N15)</f>
        <v>-8829929.0189999994</v>
      </c>
      <c r="P16" s="152">
        <f>SUM(P3:P15)</f>
        <v>17499549.046999998</v>
      </c>
      <c r="Q16" s="173">
        <f t="shared" si="4"/>
        <v>0.67493573401680373</v>
      </c>
      <c r="R16" s="152">
        <f>SUM(R3:R15)</f>
        <v>-5688478.0660000006</v>
      </c>
      <c r="T16" s="152">
        <f>SUM(T3:T15)</f>
        <v>7629549.0470000012</v>
      </c>
      <c r="U16" s="152">
        <f>SUM(U3:U15)</f>
        <v>9870000</v>
      </c>
      <c r="V16" s="152">
        <f>SUM(V3:V15)</f>
        <v>17499549.046999998</v>
      </c>
    </row>
    <row r="17" spans="1:22" x14ac:dyDescent="0.2">
      <c r="A17" s="134">
        <v>2</v>
      </c>
      <c r="B17" s="89" t="s">
        <v>111</v>
      </c>
      <c r="C17" s="89" t="s">
        <v>7</v>
      </c>
      <c r="D17" s="89" t="s">
        <v>7</v>
      </c>
      <c r="E17" s="89" t="s">
        <v>40</v>
      </c>
      <c r="F17" s="86">
        <f>ינואר!E17+פברואר!E17+מרץ!E17+אפריל!E17+מאי!E17+יוני!E17+יולי!F17+אוגוסט!F17+ספטמבר!F17+אוקטובר!F17+נובמבר!F17+דצמבר!F17</f>
        <v>683558.49999999953</v>
      </c>
      <c r="G17" s="86">
        <f>ינואר!F17+פברואר!F17+מרץ!F17+אפריל!F17+מאי!F17+יוני!F17+יולי!G17+אוגוסט!G17+ספטמבר!G17+אוקטובר!G17+נובמבר!G17+דצמבר!G17</f>
        <v>1656258.2899999951</v>
      </c>
      <c r="H17" s="86">
        <f>ינואר!G17+פברואר!G17+מרץ!G17+אפריל!G17+מאי!G17+יוני!G17+יולי!H17+אוגוסט!H17+ספטמבר!H17+אוקטובר!H17+נובמבר!H17+דצמבר!H17</f>
        <v>3368003.3100000275</v>
      </c>
      <c r="I17" s="172">
        <f t="shared" si="2"/>
        <v>1.0335012542035562</v>
      </c>
      <c r="J17" s="86">
        <f>H17-G17</f>
        <v>1711745.0200000324</v>
      </c>
      <c r="L17" s="86">
        <f>ינואר!J17+פברואר!J17+מרץ!J17+אפריל!J17+מאי!J17+יוני!J17+יולי!M17+אוגוסט!M17+ספטמבר!M17+אוקטובר!M17+נובמבר!M17+דצמבר!M17</f>
        <v>10788663.559322035</v>
      </c>
      <c r="M17" s="172">
        <f t="shared" si="3"/>
        <v>-0.68782015571429356</v>
      </c>
      <c r="N17" s="86">
        <f>H17-L17</f>
        <v>-7420660.2493220074</v>
      </c>
      <c r="P17" s="89">
        <f>_xlfn.XLOOKUP($A17,'תקציב  '!A:A,'תקציב  '!AW:AW)</f>
        <v>7612717.0135593535</v>
      </c>
      <c r="Q17" s="172">
        <f t="shared" si="4"/>
        <v>0.44241803603117325</v>
      </c>
      <c r="R17" s="89">
        <f t="shared" si="5"/>
        <v>-4244713.703559326</v>
      </c>
      <c r="T17" s="89">
        <f>'מצטבר יוני'!H17</f>
        <v>2231238.2000000309</v>
      </c>
      <c r="U17" s="89">
        <f>_xlfn.XLOOKUP(A17,'תקציב  '!A:A,'תקציב  '!AO:AO)</f>
        <v>5381478.8135593226</v>
      </c>
      <c r="V17" s="89">
        <f t="shared" si="6"/>
        <v>7612717.0135593535</v>
      </c>
    </row>
    <row r="18" spans="1:22" x14ac:dyDescent="0.2">
      <c r="A18" s="134">
        <v>12</v>
      </c>
      <c r="B18" s="89" t="s">
        <v>110</v>
      </c>
      <c r="C18" s="89" t="s">
        <v>65</v>
      </c>
      <c r="D18" s="89" t="s">
        <v>65</v>
      </c>
      <c r="E18" s="89" t="s">
        <v>40</v>
      </c>
      <c r="F18" s="86">
        <f>ינואר!E18+פברואר!E18+מרץ!E18+אפריל!E18+מאי!E18+יוני!E18+יולי!F18+אוגוסט!F18+ספטמבר!F18+אוקטובר!F18+נובמבר!F18+דצמבר!F18</f>
        <v>35758.890000000007</v>
      </c>
      <c r="G18" s="86">
        <f>ינואר!F18+פברואר!F18+מרץ!F18+אפריל!F18+מאי!F18+יוני!F18+יולי!G18+אוגוסט!G18+ספטמבר!G18+אוקטובר!G18+נובמבר!G18+דצמבר!G18</f>
        <v>27325.74</v>
      </c>
      <c r="H18" s="86">
        <f>ינואר!G18+פברואר!G18+מרץ!G18+אפריל!G18+מאי!G18+יוני!G18+יולי!H18+אוגוסט!H18+ספטמבר!H18+אוקטובר!H18+נובמבר!H18+דצמבר!H18</f>
        <v>13580.480000000003</v>
      </c>
      <c r="I18" s="172">
        <f t="shared" si="2"/>
        <v>-0.50301510590381082</v>
      </c>
      <c r="J18" s="86">
        <f>H18-G18</f>
        <v>-13745.259999999998</v>
      </c>
      <c r="L18" s="86">
        <f>ינואר!J18+פברואר!J18+מרץ!J18+אפריל!J18+מאי!J18+יוני!J18+יולי!M18+אוגוסט!M18+ספטמבר!M18+אוקטובר!M18+נובמבר!M18+דצמבר!M18</f>
        <v>30443.139999999996</v>
      </c>
      <c r="M18" s="172">
        <f t="shared" si="3"/>
        <v>-0.55390672578452804</v>
      </c>
      <c r="N18" s="86">
        <f>H18-L18</f>
        <v>-16862.659999999993</v>
      </c>
      <c r="P18" s="89">
        <f>_xlfn.XLOOKUP($A18,'תקציב  '!A:A,'תקציב  '!AW:AW)</f>
        <v>39807.020000000004</v>
      </c>
      <c r="Q18" s="172">
        <f t="shared" si="4"/>
        <v>0.34115791636751513</v>
      </c>
      <c r="R18" s="89">
        <f t="shared" si="5"/>
        <v>-26226.54</v>
      </c>
      <c r="T18" s="89">
        <f>'מצטבר יוני'!H18</f>
        <v>9807.0200000000023</v>
      </c>
      <c r="U18" s="89">
        <f>_xlfn.XLOOKUP(A18,'תקציב  '!A:A,'תקציב  '!AO:AO)</f>
        <v>30000</v>
      </c>
      <c r="V18" s="89">
        <f t="shared" si="6"/>
        <v>39807.020000000004</v>
      </c>
    </row>
    <row r="19" spans="1:22" ht="15" x14ac:dyDescent="0.25">
      <c r="A19" s="135"/>
      <c r="B19" s="152"/>
      <c r="C19" s="152" t="s">
        <v>41</v>
      </c>
      <c r="D19" s="152" t="s">
        <v>41</v>
      </c>
      <c r="E19" s="152"/>
      <c r="F19" s="152">
        <f>F16+F17+F18</f>
        <v>17364282.313999999</v>
      </c>
      <c r="G19" s="152">
        <f>G16+G17+G18</f>
        <v>18146275.43200003</v>
      </c>
      <c r="H19" s="152">
        <f>H16+H17+H18</f>
        <v>15192654.771000031</v>
      </c>
      <c r="I19" s="173">
        <f t="shared" si="2"/>
        <v>-0.16276732225674473</v>
      </c>
      <c r="J19" s="152">
        <f>J16+J17+J18</f>
        <v>-2953620.6610000059</v>
      </c>
      <c r="L19" s="152">
        <f>L16+L17+L18</f>
        <v>31460106.699322037</v>
      </c>
      <c r="M19" s="173">
        <f t="shared" si="3"/>
        <v>-0.51708190578617996</v>
      </c>
      <c r="N19" s="152">
        <f>N16+N17+N18</f>
        <v>-16267451.928322006</v>
      </c>
      <c r="P19" s="152">
        <f>P16+P17+P18</f>
        <v>25152073.080559351</v>
      </c>
      <c r="Q19" s="173">
        <f t="shared" si="4"/>
        <v>0.60403191110091059</v>
      </c>
      <c r="R19" s="152">
        <f>R16+R17+R18</f>
        <v>-9959418.3095593266</v>
      </c>
      <c r="T19" s="152">
        <f>SUM(T16:T18)</f>
        <v>9870594.2670000307</v>
      </c>
      <c r="U19" s="152">
        <f>SUM(U16:U18)</f>
        <v>15281478.813559324</v>
      </c>
      <c r="V19" s="152">
        <f>SUM(V16:V18)</f>
        <v>25152073.080559351</v>
      </c>
    </row>
    <row r="20" spans="1:22" x14ac:dyDescent="0.2">
      <c r="A20" s="135">
        <v>50</v>
      </c>
      <c r="B20" s="89" t="s">
        <v>92</v>
      </c>
      <c r="C20" s="89" t="s">
        <v>74</v>
      </c>
      <c r="D20" s="89" t="s">
        <v>47</v>
      </c>
      <c r="E20" s="89" t="s">
        <v>38</v>
      </c>
      <c r="F20" s="86">
        <f>ינואר!E20+פברואר!E20+מרץ!E20+אפריל!E20+מאי!E20+יוני!E20+יולי!F20+אוגוסט!F20+ספטמבר!F20+אוקטובר!F20+נובמבר!F20+דצמבר!F20</f>
        <v>3501494.53</v>
      </c>
      <c r="G20" s="86">
        <f>ינואר!F20+פברואר!F20+מרץ!F20+אפריל!F20+מאי!F20+יוני!F20+יולי!G20+אוגוסט!G20+ספטמבר!G20+אוקטובר!G20+נובמבר!G20+דצמבר!G20</f>
        <v>2705391.22</v>
      </c>
      <c r="H20" s="86">
        <f>ינואר!G20+פברואר!G20+מרץ!G20+אפריל!G20+מאי!G20+יוני!G20+יולי!H20+אוגוסט!H20+ספטמבר!H20+אוקטובר!H20+נובמבר!H20+דצמבר!H20</f>
        <v>1879662.74</v>
      </c>
      <c r="I20" s="172">
        <f t="shared" si="2"/>
        <v>-0.30521592363266414</v>
      </c>
      <c r="J20" s="86">
        <f t="shared" ref="J20:J39" si="7">H20-G20</f>
        <v>-825728.48000000021</v>
      </c>
      <c r="L20" s="86">
        <f>ינואר!J20+פברואר!J20+מרץ!J20+אפריל!J20+מאי!J20+יוני!J20+יולי!M20+אוגוסט!M20+ספטמבר!M20+אוקטובר!M20+נובמבר!M20+דצמבר!M20</f>
        <v>4776579.3532874994</v>
      </c>
      <c r="M20" s="172">
        <f t="shared" si="3"/>
        <v>-0.60648351027470848</v>
      </c>
      <c r="N20" s="86">
        <f t="shared" ref="N20:N39" si="8">H20-L20</f>
        <v>-2896916.6132874992</v>
      </c>
      <c r="P20" s="89">
        <f>_xlfn.XLOOKUP($A20,'תקציב  '!A:A,'תקציב  '!AW:AW)</f>
        <v>3098024.51</v>
      </c>
      <c r="Q20" s="172">
        <f t="shared" si="4"/>
        <v>0.6067294606394189</v>
      </c>
      <c r="R20" s="89">
        <f t="shared" si="5"/>
        <v>-1218361.7699999998</v>
      </c>
      <c r="T20" s="89">
        <f>'מצטבר יוני'!H20</f>
        <v>1254357.4099999999</v>
      </c>
      <c r="U20" s="89">
        <f>_xlfn.XLOOKUP(A20,'תקציב  '!A:A,'תקציב  '!AO:AO)</f>
        <v>1843667.1</v>
      </c>
      <c r="V20" s="89">
        <f t="shared" si="6"/>
        <v>3098024.51</v>
      </c>
    </row>
    <row r="21" spans="1:22" x14ac:dyDescent="0.2">
      <c r="A21" s="135">
        <v>20</v>
      </c>
      <c r="B21" s="89" t="s">
        <v>93</v>
      </c>
      <c r="C21" s="89" t="s">
        <v>75</v>
      </c>
      <c r="D21" s="89" t="s">
        <v>13</v>
      </c>
      <c r="E21" s="89" t="s">
        <v>39</v>
      </c>
      <c r="F21" s="86">
        <f>ינואר!E21+פברואר!E21+מרץ!E21+אפריל!E21+מאי!E21+יוני!E21+יולי!F21+אוגוסט!F21+ספטמבר!F21+אוקטובר!F21+נובמבר!F21+דצמבר!F21</f>
        <v>879383.45</v>
      </c>
      <c r="G21" s="86">
        <f>ינואר!F21+פברואר!F21+מרץ!F21+אפריל!F21+מאי!F21+יוני!F21+יולי!G21+אוגוסט!G21+ספטמבר!G21+אוקטובר!G21+נובמבר!G21+דצמבר!G21</f>
        <v>902537.6399999999</v>
      </c>
      <c r="H21" s="86">
        <f>ינואר!G21+פברואר!G21+מרץ!G21+אפריל!G21+מאי!G21+יוני!G21+יולי!H21+אוגוסט!H21+ספטמבר!H21+אוקטובר!H21+נובמבר!H21+דצמבר!H21</f>
        <v>474182.59</v>
      </c>
      <c r="I21" s="172">
        <f t="shared" si="2"/>
        <v>-0.47461184001145917</v>
      </c>
      <c r="J21" s="86">
        <f t="shared" si="7"/>
        <v>-428355.04999999987</v>
      </c>
      <c r="L21" s="86">
        <f>ינואר!J21+פברואר!J21+מרץ!J21+אפריל!J21+מאי!J21+יוני!J21+יולי!M21+אוגוסט!M21+ספטמבר!M21+אוקטובר!M21+נובמבר!M21+דצמבר!M21</f>
        <v>980000</v>
      </c>
      <c r="M21" s="172">
        <f t="shared" si="3"/>
        <v>-0.51614021428571433</v>
      </c>
      <c r="N21" s="86">
        <f t="shared" si="8"/>
        <v>-505817.41</v>
      </c>
      <c r="P21" s="89">
        <f>_xlfn.XLOOKUP($A21,'תקציב  '!A:A,'תקציב  '!AW:AW)</f>
        <v>922081.02</v>
      </c>
      <c r="Q21" s="172">
        <f t="shared" si="4"/>
        <v>0.51425263042503577</v>
      </c>
      <c r="R21" s="89">
        <f t="shared" si="5"/>
        <v>-447898.43</v>
      </c>
      <c r="T21" s="89">
        <f>'מצטבר יוני'!H21</f>
        <v>342081.02</v>
      </c>
      <c r="U21" s="89">
        <f>_xlfn.XLOOKUP(A21,'תקציב  '!A:A,'תקציב  '!AO:AO)</f>
        <v>580000</v>
      </c>
      <c r="V21" s="89">
        <f t="shared" si="6"/>
        <v>922081.02</v>
      </c>
    </row>
    <row r="22" spans="1:22" x14ac:dyDescent="0.2">
      <c r="A22" s="135">
        <v>21</v>
      </c>
      <c r="B22" s="89" t="s">
        <v>94</v>
      </c>
      <c r="C22" s="89" t="s">
        <v>80</v>
      </c>
      <c r="D22" s="89" t="s">
        <v>18</v>
      </c>
      <c r="E22" s="89" t="s">
        <v>19</v>
      </c>
      <c r="F22" s="86">
        <f>ינואר!E22+פברואר!E22+מרץ!E22+אפריל!E22+מאי!E22+יוני!E22+יולי!F22+אוגוסט!F22+ספטמבר!F22+אוקטובר!F22+נובמבר!F22+דצמבר!F22</f>
        <v>633752.75</v>
      </c>
      <c r="G22" s="86">
        <f>ינואר!F22+פברואר!F22+מרץ!F22+אפריל!F22+מאי!F22+יוני!F22+יולי!G22+אוגוסט!G22+ספטמבר!G22+אוקטובר!G22+נובמבר!G22+דצמבר!G22</f>
        <v>405920.85</v>
      </c>
      <c r="H22" s="86">
        <f>ינואר!G22+פברואר!G22+מרץ!G22+אפריל!G22+מאי!G22+יוני!G22+יולי!H22+אוגוסט!H22+ספטמבר!H22+אוקטובר!H22+נובמבר!H22+דצמבר!H22</f>
        <v>344263.09</v>
      </c>
      <c r="I22" s="172">
        <f t="shared" si="2"/>
        <v>-0.15189601618147963</v>
      </c>
      <c r="J22" s="86">
        <f t="shared" si="7"/>
        <v>-61657.759999999951</v>
      </c>
      <c r="L22" s="86">
        <f>ינואר!J22+פברואר!J22+מרץ!J22+אפריל!J22+מאי!J22+יוני!J22+יולי!M22+אוגוסט!M22+ספטמבר!M22+אוקטובר!M22+נובמבר!M22+דצמבר!M22</f>
        <v>650000.27</v>
      </c>
      <c r="M22" s="172">
        <f t="shared" si="3"/>
        <v>-0.47036469692543359</v>
      </c>
      <c r="N22" s="86">
        <f t="shared" si="8"/>
        <v>-305737.18</v>
      </c>
      <c r="P22" s="89">
        <f>_xlfn.XLOOKUP($A22,'תקציב  '!A:A,'תקציב  '!AW:AW)</f>
        <v>613276.52</v>
      </c>
      <c r="Q22" s="172">
        <f t="shared" si="4"/>
        <v>0.56135051444656647</v>
      </c>
      <c r="R22" s="89">
        <f t="shared" si="5"/>
        <v>-269013.43</v>
      </c>
      <c r="T22" s="89">
        <f>'מצטבר יוני'!H22</f>
        <v>333276.52</v>
      </c>
      <c r="U22" s="89">
        <f>_xlfn.XLOOKUP(A22,'תקציב  '!A:A,'תקציב  '!AO:AO)</f>
        <v>280000</v>
      </c>
      <c r="V22" s="89">
        <f t="shared" si="6"/>
        <v>613276.52</v>
      </c>
    </row>
    <row r="23" spans="1:22" x14ac:dyDescent="0.2">
      <c r="A23" s="135">
        <v>22</v>
      </c>
      <c r="B23" s="89" t="s">
        <v>95</v>
      </c>
      <c r="C23" s="89" t="s">
        <v>82</v>
      </c>
      <c r="D23" s="89" t="s">
        <v>14</v>
      </c>
      <c r="E23" s="89" t="s">
        <v>15</v>
      </c>
      <c r="F23" s="86">
        <f>ינואר!E23+פברואר!E23+מרץ!E23+אפריל!E23+מאי!E23+יוני!E23+יולי!F23+אוגוסט!F23+ספטמבר!F23+אוקטובר!F23+נובמבר!F23+דצמבר!F23</f>
        <v>489809</v>
      </c>
      <c r="G23" s="86">
        <f>ינואר!F23+פברואר!F23+מרץ!F23+אפריל!F23+מאי!F23+יוני!F23+יולי!G23+אוגוסט!G23+ספטמבר!G23+אוקטובר!G23+נובמבר!G23+דצמבר!G23</f>
        <v>414072.64</v>
      </c>
      <c r="H23" s="86">
        <f>ינואר!G23+פברואר!G23+מרץ!G23+אפריל!G23+מאי!G23+יוני!G23+יולי!H23+אוגוסט!H23+ספטמבר!H23+אוקטובר!H23+נובמבר!H23+דצמבר!H23</f>
        <v>358276.36</v>
      </c>
      <c r="I23" s="172">
        <f t="shared" si="2"/>
        <v>-0.13474998010011008</v>
      </c>
      <c r="J23" s="86">
        <f t="shared" si="7"/>
        <v>-55796.280000000028</v>
      </c>
      <c r="L23" s="86">
        <f>ינואר!J23+פברואר!J23+מרץ!J23+אפריל!J23+מאי!J23+יוני!J23+יולי!M23+אוגוסט!M23+ספטמבר!M23+אוקטובר!M23+נובמבר!M23+דצמבר!M23</f>
        <v>499999.97</v>
      </c>
      <c r="M23" s="172">
        <f t="shared" si="3"/>
        <v>-0.28344723700683416</v>
      </c>
      <c r="N23" s="86">
        <f t="shared" si="8"/>
        <v>-141723.60999999999</v>
      </c>
      <c r="P23" s="89">
        <f>_xlfn.XLOOKUP($A23,'תקציב  '!A:A,'תקציב  '!AW:AW)</f>
        <v>457053.13</v>
      </c>
      <c r="Q23" s="172">
        <f t="shared" si="4"/>
        <v>0.78388339666331563</v>
      </c>
      <c r="R23" s="89">
        <f t="shared" si="5"/>
        <v>-98776.770000000019</v>
      </c>
      <c r="T23" s="89">
        <f>'מצטבר יוני'!H23</f>
        <v>307053.13</v>
      </c>
      <c r="U23" s="89">
        <f>_xlfn.XLOOKUP(A23,'תקציב  '!A:A,'תקציב  '!AO:AO)</f>
        <v>150000</v>
      </c>
      <c r="V23" s="89">
        <f t="shared" si="6"/>
        <v>457053.13</v>
      </c>
    </row>
    <row r="24" spans="1:22" x14ac:dyDescent="0.2">
      <c r="A24" s="135">
        <v>23</v>
      </c>
      <c r="B24" s="89" t="s">
        <v>96</v>
      </c>
      <c r="C24" s="89" t="s">
        <v>78</v>
      </c>
      <c r="D24" s="89" t="s">
        <v>24</v>
      </c>
      <c r="E24" s="89" t="s">
        <v>25</v>
      </c>
      <c r="F24" s="86">
        <f>ינואר!E24+פברואר!E24+מרץ!E24+אפריל!E24+מאי!E24+יוני!E24+יולי!F24+אוגוסט!F24+ספטמבר!F24+אוקטובר!F24+נובמבר!F24+דצמבר!F24</f>
        <v>128758.9</v>
      </c>
      <c r="G24" s="86">
        <f>ינואר!F24+פברואר!F24+מרץ!F24+אפריל!F24+מאי!F24+יוני!F24+יולי!G24+אוגוסט!G24+ספטמבר!G24+אוקטובר!G24+נובמבר!G24+דצמבר!G24</f>
        <v>122339</v>
      </c>
      <c r="H24" s="86">
        <f>ינואר!G24+פברואר!G24+מרץ!G24+אפריל!G24+מאי!G24+יוני!G24+יולי!H24+אוגוסט!H24+ספטמבר!H24+אוקטובר!H24+נובמבר!H24+דצמבר!H24</f>
        <v>111290.53</v>
      </c>
      <c r="I24" s="172">
        <f t="shared" si="2"/>
        <v>-9.0310285354629372E-2</v>
      </c>
      <c r="J24" s="86">
        <f t="shared" si="7"/>
        <v>-11048.470000000001</v>
      </c>
      <c r="L24" s="86">
        <f>ינואר!J24+פברואר!J24+מרץ!J24+אפריל!J24+מאי!J24+יוני!J24+יולי!M24+אוגוסט!M24+ספטמבר!M24+אוקטובר!M24+נובמבר!M24+דצמבר!M24</f>
        <v>139999.91999999998</v>
      </c>
      <c r="M24" s="172">
        <f t="shared" si="3"/>
        <v>-0.20506718860982198</v>
      </c>
      <c r="N24" s="86">
        <f t="shared" si="8"/>
        <v>-28709.389999999985</v>
      </c>
      <c r="P24" s="89">
        <f>_xlfn.XLOOKUP($A24,'תקציב  '!A:A,'תקציב  '!AW:AW)</f>
        <v>131678.59</v>
      </c>
      <c r="Q24" s="172">
        <f t="shared" si="4"/>
        <v>0.845167995799469</v>
      </c>
      <c r="R24" s="89">
        <f t="shared" si="5"/>
        <v>-20388.059999999998</v>
      </c>
      <c r="T24" s="89">
        <f>'מצטבר יוני'!H24</f>
        <v>76678.59</v>
      </c>
      <c r="U24" s="89">
        <f>_xlfn.XLOOKUP(A24,'תקציב  '!A:A,'תקציב  '!AO:AO)</f>
        <v>55000</v>
      </c>
      <c r="V24" s="89">
        <f t="shared" si="6"/>
        <v>131678.59</v>
      </c>
    </row>
    <row r="25" spans="1:22" x14ac:dyDescent="0.2">
      <c r="A25" s="135">
        <v>24</v>
      </c>
      <c r="B25" s="89" t="s">
        <v>97</v>
      </c>
      <c r="C25" s="89" t="s">
        <v>79</v>
      </c>
      <c r="D25" s="89" t="s">
        <v>27</v>
      </c>
      <c r="E25" s="89" t="s">
        <v>46</v>
      </c>
      <c r="F25" s="86">
        <f>ינואר!E25+פברואר!E25+מרץ!E25+אפריל!E25+מאי!E25+יוני!E25+יולי!F25+אוגוסט!F25+ספטמבר!F25+אוקטובר!F25+נובמבר!F25+דצמבר!F25</f>
        <v>160712.5</v>
      </c>
      <c r="G25" s="86">
        <f>ינואר!F25+פברואר!F25+מרץ!F25+אפריל!F25+מאי!F25+יוני!F25+יולי!G25+אוגוסט!G25+ספטמבר!G25+אוקטובר!G25+נובמבר!G25+דצמבר!G25</f>
        <v>52899.82</v>
      </c>
      <c r="H25" s="86">
        <f>ינואר!G25+פברואר!G25+מרץ!G25+אפריל!G25+מאי!G25+יוני!G25+יולי!H25+אוגוסט!H25+ספטמבר!H25+אוקטובר!H25+נובמבר!H25+דצמבר!H25</f>
        <v>0</v>
      </c>
      <c r="I25" s="172">
        <f t="shared" si="2"/>
        <v>-1</v>
      </c>
      <c r="J25" s="86">
        <f t="shared" si="7"/>
        <v>-52899.82</v>
      </c>
      <c r="L25" s="86">
        <f>ינואר!J25+פברואר!J25+מרץ!J25+אפריל!J25+מאי!J25+יוני!J25+יולי!M25+אוגוסט!M25+ספטמבר!M25+אוקטובר!M25+נובמבר!M25+דצמבר!M25</f>
        <v>50000</v>
      </c>
      <c r="M25" s="172">
        <f t="shared" si="3"/>
        <v>-1</v>
      </c>
      <c r="N25" s="86">
        <f t="shared" si="8"/>
        <v>-50000</v>
      </c>
      <c r="P25" s="89">
        <f>_xlfn.XLOOKUP($A25,'תקציב  '!A:A,'תקציב  '!AW:AW)</f>
        <v>0</v>
      </c>
      <c r="Q25" s="172" t="str">
        <f t="shared" si="4"/>
        <v>-</v>
      </c>
      <c r="R25" s="89">
        <f t="shared" si="5"/>
        <v>0</v>
      </c>
      <c r="T25" s="89">
        <f>'מצטבר יוני'!H25</f>
        <v>0</v>
      </c>
      <c r="U25" s="89">
        <f>_xlfn.XLOOKUP(A25,'תקציב  '!A:A,'תקציב  '!AO:AO)</f>
        <v>0</v>
      </c>
      <c r="V25" s="89">
        <f t="shared" si="6"/>
        <v>0</v>
      </c>
    </row>
    <row r="26" spans="1:22" ht="13.5" customHeight="1" x14ac:dyDescent="0.2">
      <c r="A26" s="135">
        <v>25</v>
      </c>
      <c r="B26" s="89" t="s">
        <v>98</v>
      </c>
      <c r="C26" s="89" t="s">
        <v>87</v>
      </c>
      <c r="D26" s="89" t="s">
        <v>20</v>
      </c>
      <c r="E26" s="89" t="s">
        <v>21</v>
      </c>
      <c r="F26" s="86">
        <f>ינואר!E26+פברואר!E26+מרץ!E26+אפריל!E26+מאי!E26+יוני!E26+יולי!F26+אוגוסט!F26+ספטמבר!F26+אוקטובר!F26+נובמבר!F26+דצמבר!F26</f>
        <v>471280.16000000003</v>
      </c>
      <c r="G26" s="86">
        <f>ינואר!F26+פברואר!F26+מרץ!F26+אפריל!F26+מאי!F26+יוני!F26+יולי!G26+אוגוסט!G26+ספטמבר!G26+אוקטובר!G26+נובמבר!G26+דצמבר!G26</f>
        <v>319558.55</v>
      </c>
      <c r="H26" s="86">
        <f>ינואר!G26+פברואר!G26+מרץ!G26+אפריל!G26+מאי!G26+יוני!G26+יולי!H26+אוגוסט!H26+ספטמבר!H26+אוקטובר!H26+נובמבר!H26+דצמבר!H26</f>
        <v>365555.25</v>
      </c>
      <c r="I26" s="172">
        <f t="shared" si="2"/>
        <v>0.14393825482059541</v>
      </c>
      <c r="J26" s="86">
        <f t="shared" si="7"/>
        <v>45996.700000000012</v>
      </c>
      <c r="L26" s="86">
        <f>ינואר!J26+פברואר!J26+מרץ!J26+אפריל!J26+מאי!J26+יוני!J26+יולי!M26+אוגוסט!M26+ספטמבר!M26+אוקטובר!M26+נובמבר!M26+דצמבר!M26</f>
        <v>450000</v>
      </c>
      <c r="M26" s="172">
        <f t="shared" si="3"/>
        <v>-0.18765500000000002</v>
      </c>
      <c r="N26" s="86">
        <f t="shared" si="8"/>
        <v>-84444.75</v>
      </c>
      <c r="P26" s="89">
        <f>_xlfn.XLOOKUP($A26,'תקציב  '!A:A,'תקציב  '!AW:AW)</f>
        <v>524147.47</v>
      </c>
      <c r="Q26" s="172">
        <f t="shared" si="4"/>
        <v>0.69742824476477971</v>
      </c>
      <c r="R26" s="89">
        <f t="shared" si="5"/>
        <v>-158592.21999999997</v>
      </c>
      <c r="T26" s="89">
        <f>'מצטבר יוני'!H26</f>
        <v>144147.46999999997</v>
      </c>
      <c r="U26" s="89">
        <f>_xlfn.XLOOKUP(A26,'תקציב  '!A:A,'תקציב  '!AO:AO)</f>
        <v>380000</v>
      </c>
      <c r="V26" s="89">
        <f t="shared" si="6"/>
        <v>524147.47</v>
      </c>
    </row>
    <row r="27" spans="1:22" x14ac:dyDescent="0.2">
      <c r="A27" s="135">
        <v>26</v>
      </c>
      <c r="B27" s="89" t="s">
        <v>99</v>
      </c>
      <c r="C27" s="89" t="s">
        <v>77</v>
      </c>
      <c r="D27" s="89" t="s">
        <v>26</v>
      </c>
      <c r="E27" s="89" t="s">
        <v>28</v>
      </c>
      <c r="F27" s="86">
        <f>ינואר!E27+פברואר!E27+מרץ!E27+אפריל!E27+מאי!E27+יוני!E27+יולי!F27+אוגוסט!F27+ספטמבר!F27+אוקטובר!F27+נובמבר!F27+דצמבר!F27</f>
        <v>162967.90999999997</v>
      </c>
      <c r="G27" s="86">
        <f>ינואר!F27+פברואר!F27+מרץ!F27+אפריל!F27+מאי!F27+יוני!F27+יולי!G27+אוגוסט!G27+ספטמבר!G27+אוקטובר!G27+נובמבר!G27+דצמבר!G27</f>
        <v>86855.65</v>
      </c>
      <c r="H27" s="86">
        <f>ינואר!G27+פברואר!G27+מרץ!G27+אפריל!G27+מאי!G27+יוני!G27+יולי!H27+אוגוסט!H27+ספטמבר!H27+אוקטובר!H27+נובמבר!H27+דצמבר!H27</f>
        <v>60694.009999999995</v>
      </c>
      <c r="I27" s="172">
        <f t="shared" si="2"/>
        <v>-0.30120826912238874</v>
      </c>
      <c r="J27" s="86">
        <f t="shared" si="7"/>
        <v>-26161.64</v>
      </c>
      <c r="L27" s="86">
        <f>ינואר!J27+פברואר!J27+מרץ!J27+אפריל!J27+מאי!J27+יוני!J27+יולי!M27+אוגוסט!M27+ספטמבר!M27+אוקטובר!M27+נובמבר!M27+דצמבר!M27</f>
        <v>200000</v>
      </c>
      <c r="M27" s="172">
        <f t="shared" si="3"/>
        <v>-0.69652994999999995</v>
      </c>
      <c r="N27" s="86">
        <f t="shared" si="8"/>
        <v>-139305.99</v>
      </c>
      <c r="P27" s="89">
        <f>_xlfn.XLOOKUP($A27,'תקציב  '!A:A,'תקציב  '!AW:AW)</f>
        <v>100694.01</v>
      </c>
      <c r="Q27" s="172">
        <f t="shared" si="4"/>
        <v>0.60275690679117855</v>
      </c>
      <c r="R27" s="89">
        <f t="shared" si="5"/>
        <v>-40000</v>
      </c>
      <c r="T27" s="89">
        <f>'מצטבר יוני'!H27</f>
        <v>60694.009999999995</v>
      </c>
      <c r="U27" s="89">
        <f>_xlfn.XLOOKUP(A27,'תקציב  '!A:A,'תקציב  '!AO:AO)</f>
        <v>40000</v>
      </c>
      <c r="V27" s="89">
        <f t="shared" si="6"/>
        <v>100694.01</v>
      </c>
    </row>
    <row r="28" spans="1:22" ht="13.5" customHeight="1" x14ac:dyDescent="0.2">
      <c r="A28" s="135">
        <v>27</v>
      </c>
      <c r="B28" s="89" t="s">
        <v>100</v>
      </c>
      <c r="C28" s="89" t="s">
        <v>88</v>
      </c>
      <c r="D28" s="89" t="s">
        <v>22</v>
      </c>
      <c r="E28" s="89" t="s">
        <v>23</v>
      </c>
      <c r="F28" s="86">
        <f>ינואר!E28+פברואר!E28+מרץ!E28+אפריל!E28+מאי!E28+יוני!E28+יולי!F28+אוגוסט!F28+ספטמבר!F28+אוקטובר!F28+נובמבר!F28+דצמבר!F28</f>
        <v>370614.64000000007</v>
      </c>
      <c r="G28" s="86">
        <f>ינואר!F28+פברואר!F28+מרץ!F28+אפריל!F28+מאי!F28+יוני!F28+יולי!G28+אוגוסט!G28+ספטמבר!G28+אוקטובר!G28+נובמבר!G28+דצמבר!G28</f>
        <v>256772.1</v>
      </c>
      <c r="H28" s="86">
        <f>ינואר!G28+פברואר!G28+מרץ!G28+אפריל!G28+מאי!G28+יוני!G28+יולי!H28+אוגוסט!H28+ספטמבר!H28+אוקטובר!H28+נובמבר!H28+דצמבר!H28</f>
        <v>0</v>
      </c>
      <c r="I28" s="172">
        <f t="shared" si="2"/>
        <v>-1</v>
      </c>
      <c r="J28" s="86">
        <f t="shared" si="7"/>
        <v>-256772.1</v>
      </c>
      <c r="L28" s="86">
        <f>ינואר!J28+פברואר!J28+מרץ!J28+אפריל!J28+מאי!J28+יוני!J28+יולי!M28+אוגוסט!M28+ספטמבר!M28+אוקטובר!M28+נובמבר!M28+דצמבר!M28</f>
        <v>250000</v>
      </c>
      <c r="M28" s="172">
        <f t="shared" si="3"/>
        <v>-1</v>
      </c>
      <c r="N28" s="86">
        <f t="shared" si="8"/>
        <v>-250000</v>
      </c>
      <c r="P28" s="89">
        <f>_xlfn.XLOOKUP($A28,'תקציב  '!A:A,'תקציב  '!AW:AW)</f>
        <v>250000</v>
      </c>
      <c r="Q28" s="172">
        <f t="shared" si="4"/>
        <v>0</v>
      </c>
      <c r="R28" s="89">
        <f t="shared" si="5"/>
        <v>-250000</v>
      </c>
      <c r="T28" s="89">
        <f>'מצטבר יוני'!H28</f>
        <v>0</v>
      </c>
      <c r="U28" s="89">
        <f>_xlfn.XLOOKUP(A28,'תקציב  '!A:A,'תקציב  '!AO:AO)</f>
        <v>250000</v>
      </c>
      <c r="V28" s="89">
        <f t="shared" si="6"/>
        <v>250000</v>
      </c>
    </row>
    <row r="29" spans="1:22" ht="13.5" customHeight="1" x14ac:dyDescent="0.2">
      <c r="A29" s="135">
        <v>28</v>
      </c>
      <c r="B29" s="89" t="s">
        <v>101</v>
      </c>
      <c r="C29" s="89" t="s">
        <v>89</v>
      </c>
      <c r="D29" s="89" t="s">
        <v>16</v>
      </c>
      <c r="E29" s="89" t="s">
        <v>17</v>
      </c>
      <c r="F29" s="86">
        <f>ינואר!E29+פברואר!E29+מרץ!E29+אפריל!E29+מאי!E29+יוני!E29+יולי!F29+אוגוסט!F29+ספטמבר!F29+אוקטובר!F29+נובמבר!F29+דצמבר!F29</f>
        <v>348874.04</v>
      </c>
      <c r="G29" s="86">
        <f>ינואר!F29+פברואר!F29+מרץ!F29+אפריל!F29+מאי!F29+יוני!F29+יולי!G29+אוגוסט!G29+ספטמבר!G29+אוקטובר!G29+נובמבר!G29+דצמבר!G29</f>
        <v>405953.63</v>
      </c>
      <c r="H29" s="86">
        <f>ינואר!G29+פברואר!G29+מרץ!G29+אפריל!G29+מאי!G29+יוני!G29+יולי!H29+אוגוסט!H29+ספטמבר!H29+אוקטובר!H29+נובמבר!H29+דצמבר!H29</f>
        <v>300835.11</v>
      </c>
      <c r="I29" s="172">
        <f t="shared" si="2"/>
        <v>-0.25894218509636191</v>
      </c>
      <c r="J29" s="86">
        <f t="shared" si="7"/>
        <v>-105118.52000000002</v>
      </c>
      <c r="L29" s="86">
        <f>ינואר!J29+פברואר!J29+מרץ!J29+אפריל!J29+מאי!J29+יוני!J29+יולי!M29+אוגוסט!M29+ספטמבר!M29+אוקטובר!M29+נובמבר!M29+דצמבר!M29</f>
        <v>450000</v>
      </c>
      <c r="M29" s="172">
        <f t="shared" si="3"/>
        <v>-0.33147753333333341</v>
      </c>
      <c r="N29" s="86">
        <f t="shared" si="8"/>
        <v>-149164.89000000001</v>
      </c>
      <c r="P29" s="89">
        <f>_xlfn.XLOOKUP($A29,'תקציב  '!A:A,'תקציב  '!AW:AW)</f>
        <v>378207.08999999997</v>
      </c>
      <c r="Q29" s="172">
        <f t="shared" si="4"/>
        <v>0.79542430048045898</v>
      </c>
      <c r="R29" s="89">
        <f t="shared" si="5"/>
        <v>-77371.979999999981</v>
      </c>
      <c r="T29" s="89">
        <f>'מצטבר יוני'!H29</f>
        <v>203207.09</v>
      </c>
      <c r="U29" s="89">
        <f>_xlfn.XLOOKUP(A29,'תקציב  '!A:A,'תקציב  '!AO:AO)</f>
        <v>175000</v>
      </c>
      <c r="V29" s="89">
        <f t="shared" si="6"/>
        <v>378207.08999999997</v>
      </c>
    </row>
    <row r="30" spans="1:22" x14ac:dyDescent="0.2">
      <c r="A30" s="135">
        <v>29</v>
      </c>
      <c r="B30" s="89" t="s">
        <v>102</v>
      </c>
      <c r="C30" s="89" t="s">
        <v>81</v>
      </c>
      <c r="D30" s="89" t="s">
        <v>29</v>
      </c>
      <c r="E30" s="89" t="s">
        <v>30</v>
      </c>
      <c r="F30" s="86">
        <f>ינואר!E30+פברואר!E30+מרץ!E30+אפריל!E30+מאי!E30+יוני!E30+יולי!F30+אוגוסט!F30+ספטמבר!F30+אוקטובר!F30+נובמבר!F30+דצמבר!F30</f>
        <v>107690.85</v>
      </c>
      <c r="G30" s="86">
        <f>ינואר!F30+פברואר!F30+מרץ!F30+אפריל!F30+מאי!F30+יוני!F30+יולי!G30+אוגוסט!G30+ספטמבר!G30+אוקטובר!G30+נובמבר!G30+דצמבר!G30</f>
        <v>64554.59</v>
      </c>
      <c r="H30" s="86">
        <f>ינואר!G30+פברואר!G30+מרץ!G30+אפריל!G30+מאי!G30+יוני!G30+יולי!H30+אוגוסט!H30+ספטמבר!H30+אוקטובר!H30+נובמבר!H30+דצמבר!H30</f>
        <v>43116.44</v>
      </c>
      <c r="I30" s="172">
        <f t="shared" si="2"/>
        <v>-0.33209334921033495</v>
      </c>
      <c r="J30" s="86">
        <f t="shared" si="7"/>
        <v>-21438.149999999994</v>
      </c>
      <c r="L30" s="86">
        <f>ינואר!J30+פברואר!J30+מרץ!J30+אפריל!J30+מאי!J30+יוני!J30+יולי!M30+אוגוסט!M30+ספטמבר!M30+אוקטובר!M30+נובמבר!M30+דצמבר!M30</f>
        <v>70000</v>
      </c>
      <c r="M30" s="172">
        <f t="shared" si="3"/>
        <v>-0.38405085714285714</v>
      </c>
      <c r="N30" s="86">
        <f t="shared" si="8"/>
        <v>-26883.559999999998</v>
      </c>
      <c r="P30" s="89">
        <f>_xlfn.XLOOKUP($A30,'תקציב  '!A:A,'תקציב  '!AW:AW)</f>
        <v>73116.44</v>
      </c>
      <c r="Q30" s="172">
        <f t="shared" si="4"/>
        <v>0.58969555957593123</v>
      </c>
      <c r="R30" s="89">
        <f t="shared" si="5"/>
        <v>-30000</v>
      </c>
      <c r="T30" s="89">
        <f>'מצטבר יוני'!H30</f>
        <v>43116.44</v>
      </c>
      <c r="U30" s="89">
        <f>_xlfn.XLOOKUP(A30,'תקציב  '!A:A,'תקציב  '!AO:AO)</f>
        <v>30000</v>
      </c>
      <c r="V30" s="89">
        <f t="shared" si="6"/>
        <v>73116.44</v>
      </c>
    </row>
    <row r="31" spans="1:22" x14ac:dyDescent="0.2">
      <c r="A31" s="135">
        <v>30</v>
      </c>
      <c r="B31" s="89" t="s">
        <v>103</v>
      </c>
      <c r="C31" s="89" t="s">
        <v>76</v>
      </c>
      <c r="D31" s="89" t="s">
        <v>34</v>
      </c>
      <c r="E31" s="89" t="s">
        <v>30</v>
      </c>
      <c r="F31" s="86">
        <f>ינואר!E31+פברואר!E31+מרץ!E31+אפריל!E31+מאי!E31+יוני!E31+יולי!F31+אוגוסט!F31+ספטמבר!F31+אוקטובר!F31+נובמבר!F31+דצמבר!F31</f>
        <v>41028.36</v>
      </c>
      <c r="G31" s="86">
        <f>ינואר!F31+פברואר!F31+מרץ!F31+אפריל!F31+מאי!F31+יוני!F31+יולי!G31+אוגוסט!G31+ספטמבר!G31+אוקטובר!G31+נובמבר!G31+דצמבר!G31</f>
        <v>60908.200000000004</v>
      </c>
      <c r="H31" s="86">
        <f>ינואר!G31+פברואר!G31+מרץ!G31+אפריל!G31+מאי!G31+יוני!G31+יולי!H31+אוגוסט!H31+ספטמבר!H31+אוקטובר!H31+נובמבר!H31+דצמבר!H31</f>
        <v>39400.130000000005</v>
      </c>
      <c r="I31" s="172">
        <f t="shared" si="2"/>
        <v>-0.35312273224294921</v>
      </c>
      <c r="J31" s="86">
        <f t="shared" si="7"/>
        <v>-21508.07</v>
      </c>
      <c r="L31" s="86">
        <f>ינואר!J31+פברואר!J31+מרץ!J31+אפריל!J31+מאי!J31+יוני!J31+יולי!M31+אוגוסט!M31+ספטמבר!M31+אוקטובר!M31+נובמבר!M31+דצמבר!M31</f>
        <v>59793</v>
      </c>
      <c r="M31" s="172">
        <f t="shared" si="3"/>
        <v>-0.34105781613232311</v>
      </c>
      <c r="N31" s="86">
        <f t="shared" si="8"/>
        <v>-20392.869999999995</v>
      </c>
      <c r="P31" s="89">
        <f>_xlfn.XLOOKUP($A31,'תקציב  '!A:A,'תקציב  '!AW:AW)</f>
        <v>42809.5</v>
      </c>
      <c r="Q31" s="172">
        <f t="shared" si="4"/>
        <v>0.92035949964377073</v>
      </c>
      <c r="R31" s="89">
        <f t="shared" si="5"/>
        <v>-3409.3699999999953</v>
      </c>
      <c r="T31" s="89">
        <f>'מצטבר יוני'!H31</f>
        <v>17809.5</v>
      </c>
      <c r="U31" s="89">
        <f>_xlfn.XLOOKUP(A31,'תקציב  '!A:A,'תקציב  '!AO:AO)</f>
        <v>25000</v>
      </c>
      <c r="V31" s="89">
        <f t="shared" si="6"/>
        <v>42809.5</v>
      </c>
    </row>
    <row r="32" spans="1:22" ht="13.5" customHeight="1" x14ac:dyDescent="0.2">
      <c r="A32" s="135">
        <v>31</v>
      </c>
      <c r="B32" s="89" t="s">
        <v>85</v>
      </c>
      <c r="C32" s="89" t="s">
        <v>85</v>
      </c>
      <c r="D32" s="89" t="s">
        <v>32</v>
      </c>
      <c r="E32" s="89" t="s">
        <v>33</v>
      </c>
      <c r="F32" s="86">
        <f>ינואר!E32+פברואר!E32+מרץ!E32+אפריל!E32+מאי!E32+יוני!E32+יולי!F32+אוגוסט!F32+ספטמבר!F32+אוקטובר!F32+נובמבר!F32+דצמבר!F32</f>
        <v>31722.98</v>
      </c>
      <c r="G32" s="86">
        <f>ינואר!F32+פברואר!F32+מרץ!F32+אפריל!F32+מאי!F32+יוני!F32+יולי!G32+אוגוסט!G32+ספטמבר!G32+אוקטובר!G32+נובמבר!G32+דצמבר!G32</f>
        <v>81786.570000000007</v>
      </c>
      <c r="H32" s="86">
        <f>ינואר!G32+פברואר!G32+מרץ!G32+אפריל!G32+מאי!G32+יוני!G32+יולי!H32+אוגוסט!H32+ספטמבר!H32+אוקטובר!H32+נובמבר!H32+דצמבר!H32</f>
        <v>10037.15</v>
      </c>
      <c r="I32" s="172">
        <f t="shared" si="2"/>
        <v>-0.87727630587760319</v>
      </c>
      <c r="J32" s="86">
        <f t="shared" si="7"/>
        <v>-71749.420000000013</v>
      </c>
      <c r="L32" s="86">
        <f>ינואר!J32+פברואר!J32+מרץ!J32+אפריל!J32+מאי!J32+יוני!J32+יולי!M32+אוגוסט!M32+ספטמבר!M32+אוקטובר!M32+נובמבר!M32+דצמבר!M32</f>
        <v>85000</v>
      </c>
      <c r="M32" s="172">
        <f t="shared" si="3"/>
        <v>-0.88191588235294116</v>
      </c>
      <c r="N32" s="86">
        <f t="shared" si="8"/>
        <v>-74962.850000000006</v>
      </c>
      <c r="P32" s="89">
        <f>_xlfn.XLOOKUP($A32,'תקציב  '!A:A,'תקציב  '!AW:AW)</f>
        <v>17500</v>
      </c>
      <c r="Q32" s="172">
        <f t="shared" si="4"/>
        <v>0.5735514285714286</v>
      </c>
      <c r="R32" s="89">
        <f t="shared" si="5"/>
        <v>-7462.85</v>
      </c>
      <c r="T32" s="89">
        <f>'מצטבר יוני'!H32</f>
        <v>0</v>
      </c>
      <c r="U32" s="89">
        <f>_xlfn.XLOOKUP(A32,'תקציב  '!A:A,'תקציב  '!AO:AO)</f>
        <v>17500</v>
      </c>
      <c r="V32" s="89">
        <f t="shared" si="6"/>
        <v>17500</v>
      </c>
    </row>
    <row r="33" spans="1:23" ht="13.5" customHeight="1" x14ac:dyDescent="0.2">
      <c r="A33" s="135"/>
      <c r="B33" s="89"/>
      <c r="C33" s="89"/>
      <c r="D33" s="89" t="s">
        <v>11</v>
      </c>
      <c r="E33" s="89" t="s">
        <v>12</v>
      </c>
      <c r="F33" s="86">
        <f>ינואר!E33+פברואר!E33+מרץ!E33+אפריל!E33+מאי!E33+יוני!E33+יולי!F33+אוגוסט!F33+ספטמבר!F33+אוקטובר!F33+נובמבר!F33+דצמבר!F33</f>
        <v>0</v>
      </c>
      <c r="G33" s="86">
        <f>ינואר!F33+פברואר!F33+מרץ!F33+אפריל!F33+מאי!F33+יוני!F33+יולי!G33+אוגוסט!G33+ספטמבר!G33+אוקטובר!G33+נובמבר!G33+דצמבר!G33</f>
        <v>0</v>
      </c>
      <c r="H33" s="86">
        <f>ינואר!G33+פברואר!G33+מרץ!G33+אפריל!G33+מאי!G33+יוני!G33+יולי!H33+אוגוסט!H33+ספטמבר!H33+אוקטובר!H33+נובמבר!H33+דצמבר!H33</f>
        <v>0</v>
      </c>
      <c r="I33" s="172" t="str">
        <f t="shared" si="2"/>
        <v/>
      </c>
      <c r="J33" s="86">
        <f t="shared" si="7"/>
        <v>0</v>
      </c>
      <c r="L33" s="86">
        <f>ינואר!J33+פברואר!J33+מרץ!J33+אפריל!J33+מאי!J33+יוני!J33+יולי!M33+אוגוסט!M33+ספטמבר!M33+אוקטובר!M33+נובמבר!M33+דצמבר!M33</f>
        <v>0</v>
      </c>
      <c r="M33" s="172" t="str">
        <f t="shared" si="3"/>
        <v/>
      </c>
      <c r="N33" s="86">
        <f t="shared" si="8"/>
        <v>0</v>
      </c>
      <c r="P33" s="89">
        <f>_xlfn.XLOOKUP($A33,'תקציב  '!A:A,'תקציב  '!AW:AW)</f>
        <v>0</v>
      </c>
      <c r="Q33" s="172" t="str">
        <f t="shared" si="4"/>
        <v>-</v>
      </c>
      <c r="R33" s="89">
        <f t="shared" si="5"/>
        <v>0</v>
      </c>
      <c r="T33" s="89">
        <f>'מצטבר יוני'!H33</f>
        <v>0</v>
      </c>
      <c r="U33" s="89">
        <f>_xlfn.XLOOKUP(A33,'תקציב  '!A:A,'תקציב  '!AO:AO)</f>
        <v>0</v>
      </c>
      <c r="V33" s="89">
        <f t="shared" si="6"/>
        <v>0</v>
      </c>
    </row>
    <row r="34" spans="1:23" ht="13.5" customHeight="1" x14ac:dyDescent="0.2">
      <c r="A34" s="135">
        <v>32</v>
      </c>
      <c r="B34" s="89" t="s">
        <v>104</v>
      </c>
      <c r="C34" s="89" t="s">
        <v>86</v>
      </c>
      <c r="D34" s="89" t="s">
        <v>31</v>
      </c>
      <c r="E34" s="89" t="s">
        <v>49</v>
      </c>
      <c r="F34" s="86">
        <f>ינואר!E34+פברואר!E34+מרץ!E34+אפריל!E34+מאי!E34+יוני!E34+יולי!F34+אוגוסט!F34+ספטמבר!F34+אוקטובר!F34+נובמבר!F34+דצמבר!F34</f>
        <v>35826.780000000006</v>
      </c>
      <c r="G34" s="86">
        <f>ינואר!F34+פברואר!F34+מרץ!F34+אפריל!F34+מאי!F34+יוני!F34+יולי!G34+אוגוסט!G34+ספטמבר!G34+אוקטובר!G34+נובמבר!G34+דצמבר!G34</f>
        <v>39713.57</v>
      </c>
      <c r="H34" s="86">
        <f>ינואר!G34+פברואר!G34+מרץ!G34+אפריל!G34+מאי!G34+יוני!G34+יולי!H34+אוגוסט!H34+ספטמבר!H34+אוקטובר!H34+נובמבר!H34+דצמבר!H34</f>
        <v>37142.71</v>
      </c>
      <c r="I34" s="172">
        <f t="shared" si="2"/>
        <v>-6.4735051520173115E-2</v>
      </c>
      <c r="J34" s="86">
        <f t="shared" si="7"/>
        <v>-2570.8600000000006</v>
      </c>
      <c r="L34" s="86">
        <f>ינואר!J34+פברואר!J34+מרץ!J34+אפריל!J34+מאי!J34+יוני!J34+יולי!M34+אוגוסט!M34+ספטמבר!M34+אוקטובר!M34+נובמבר!M34+דצמבר!M34</f>
        <v>40000</v>
      </c>
      <c r="M34" s="172">
        <f t="shared" si="3"/>
        <v>-7.1432249999999975E-2</v>
      </c>
      <c r="N34" s="86">
        <f t="shared" si="8"/>
        <v>-2857.2900000000009</v>
      </c>
      <c r="P34" s="89">
        <f>_xlfn.XLOOKUP($A34,'תקציב  '!A:A,'תקציב  '!AW:AW)</f>
        <v>38792.660000000003</v>
      </c>
      <c r="Q34" s="172">
        <f t="shared" si="4"/>
        <v>0.95746746936147187</v>
      </c>
      <c r="R34" s="89">
        <f t="shared" si="5"/>
        <v>-1649.9500000000044</v>
      </c>
      <c r="T34" s="89">
        <f>'מצטבר יוני'!H34</f>
        <v>18792.66</v>
      </c>
      <c r="U34" s="89">
        <f>_xlfn.XLOOKUP(A34,'תקציב  '!A:A,'תקציב  '!AO:AO)</f>
        <v>20000</v>
      </c>
      <c r="V34" s="89">
        <f t="shared" si="6"/>
        <v>38792.660000000003</v>
      </c>
    </row>
    <row r="35" spans="1:23" ht="13.5" customHeight="1" x14ac:dyDescent="0.2">
      <c r="A35" s="135">
        <v>33</v>
      </c>
      <c r="B35" s="89" t="s">
        <v>105</v>
      </c>
      <c r="C35" s="89" t="s">
        <v>83</v>
      </c>
      <c r="D35" s="89" t="s">
        <v>84</v>
      </c>
      <c r="E35" s="89" t="s">
        <v>48</v>
      </c>
      <c r="F35" s="86">
        <f>ינואר!E35+פברואר!E35+מרץ!E35+אפריל!E35+מאי!E35+יוני!E35+יולי!F35+אוגוסט!F35+ספטמבר!F35+אוקטובר!F35+נובמבר!F35+דצמבר!F35</f>
        <v>59175.03</v>
      </c>
      <c r="G35" s="86">
        <f>ינואר!F35+פברואר!F35+מרץ!F35+אפריל!F35+מאי!F35+יוני!F35+יולי!G35+אוגוסט!G35+ספטמבר!G35+אוקטובר!G35+נובמבר!G35+דצמבר!G35</f>
        <v>53863.18</v>
      </c>
      <c r="H35" s="86">
        <f>ינואר!G35+פברואר!G35+מרץ!G35+אפריל!G35+מאי!G35+יוני!G35+יולי!H35+אוגוסט!H35+ספטמבר!H35+אוקטובר!H35+נובמבר!H35+דצמבר!H35</f>
        <v>26105.72</v>
      </c>
      <c r="I35" s="172">
        <f t="shared" si="2"/>
        <v>-0.51533273750268727</v>
      </c>
      <c r="J35" s="86">
        <f t="shared" si="7"/>
        <v>-27757.46</v>
      </c>
      <c r="L35" s="86">
        <f>ינואר!J35+פברואר!J35+מרץ!J35+אפריל!J35+מאי!J35+יוני!J35+יולי!M35+אוגוסט!M35+ספטמבר!M35+אוקטובר!M35+נובמבר!M35+דצמבר!M35</f>
        <v>80000</v>
      </c>
      <c r="M35" s="172">
        <f t="shared" si="3"/>
        <v>-0.67367849999999996</v>
      </c>
      <c r="N35" s="86">
        <f t="shared" si="8"/>
        <v>-53894.28</v>
      </c>
      <c r="P35" s="89">
        <f>_xlfn.XLOOKUP($A35,'תקציב  '!A:A,'תקציב  '!AW:AW)</f>
        <v>25000</v>
      </c>
      <c r="Q35" s="172">
        <f t="shared" si="4"/>
        <v>1.0442288</v>
      </c>
      <c r="R35" s="89">
        <f t="shared" si="5"/>
        <v>1105.7200000000012</v>
      </c>
      <c r="T35" s="89">
        <f>'מצטבר יוני'!H35</f>
        <v>0</v>
      </c>
      <c r="U35" s="89">
        <f>_xlfn.XLOOKUP(A35,'תקציב  '!A:A,'תקציב  '!AO:AO)</f>
        <v>25000</v>
      </c>
      <c r="V35" s="89">
        <f t="shared" si="6"/>
        <v>25000</v>
      </c>
    </row>
    <row r="36" spans="1:23" x14ac:dyDescent="0.2">
      <c r="A36" s="135"/>
      <c r="B36" s="89" t="s">
        <v>107</v>
      </c>
      <c r="C36" s="89" t="s">
        <v>107</v>
      </c>
      <c r="D36" s="89" t="s">
        <v>37</v>
      </c>
      <c r="E36" s="89" t="s">
        <v>17</v>
      </c>
      <c r="F36" s="86">
        <f>ינואר!E36+פברואר!E36+מרץ!E36+אפריל!E36+מאי!E36+יוני!E36+יולי!F36+אוגוסט!F36+ספטמבר!F36+אוקטובר!F36+נובמבר!F36+דצמבר!F36</f>
        <v>41531.96</v>
      </c>
      <c r="G36" s="86">
        <f>ינואר!F36+פברואר!F36+מרץ!F36+אפריל!F36+מאי!F36+יוני!F36+יולי!G36+אוגוסט!G36+ספטמבר!G36+אוקטובר!G36+נובמבר!G36+דצמבר!G36</f>
        <v>0</v>
      </c>
      <c r="H36" s="86">
        <f>ינואר!G36+פברואר!G36+מרץ!G36+אפריל!G36+מאי!G36+יוני!G36+יולי!H36+אוגוסט!H36+ספטמבר!H36+אוקטובר!H36+נובמבר!H36+דצמבר!H36</f>
        <v>0</v>
      </c>
      <c r="I36" s="172" t="str">
        <f t="shared" si="2"/>
        <v/>
      </c>
      <c r="J36" s="86">
        <f t="shared" si="7"/>
        <v>0</v>
      </c>
      <c r="L36" s="86">
        <f>ינואר!J36+פברואר!J36+מרץ!J36+אפריל!J36+מאי!J36+יוני!J36+יולי!M36+אוגוסט!M36+ספטמבר!M36+אוקטובר!M36+נובמבר!M36+דצמבר!M36</f>
        <v>0</v>
      </c>
      <c r="M36" s="172" t="str">
        <f t="shared" si="3"/>
        <v/>
      </c>
      <c r="N36" s="86">
        <f t="shared" si="8"/>
        <v>0</v>
      </c>
      <c r="P36" s="89">
        <f>_xlfn.XLOOKUP($A36,'תקציב  '!A:A,'תקציב  '!AW:AW)</f>
        <v>0</v>
      </c>
      <c r="Q36" s="172" t="str">
        <f t="shared" si="4"/>
        <v>-</v>
      </c>
      <c r="R36" s="89">
        <f t="shared" si="5"/>
        <v>0</v>
      </c>
      <c r="T36" s="89">
        <f>'מצטבר יוני'!H36</f>
        <v>0</v>
      </c>
      <c r="U36" s="89">
        <f>_xlfn.XLOOKUP(A36,'תקציב  '!A:A,'תקציב  '!AO:AO)</f>
        <v>0</v>
      </c>
      <c r="V36" s="89">
        <f t="shared" si="6"/>
        <v>0</v>
      </c>
    </row>
    <row r="37" spans="1:23" x14ac:dyDescent="0.2">
      <c r="A37" s="135">
        <v>34</v>
      </c>
      <c r="B37" s="89" t="s">
        <v>108</v>
      </c>
      <c r="C37" s="89" t="s">
        <v>108</v>
      </c>
      <c r="D37" s="89" t="s">
        <v>35</v>
      </c>
      <c r="E37" s="89" t="s">
        <v>36</v>
      </c>
      <c r="F37" s="86">
        <f>ינואר!E37+פברואר!E37+מרץ!E37+אפריל!E37+מאי!E37+יוני!E37+יולי!F37+אוגוסט!F37+ספטמבר!F37+אוקטובר!F37+נובמבר!F37+דצמבר!F37</f>
        <v>22310.959999999999</v>
      </c>
      <c r="G37" s="86">
        <f>ינואר!F37+פברואר!F37+מרץ!F37+אפריל!F37+מאי!F37+יוני!F37+יולי!G37+אוגוסט!G37+ספטמבר!G37+אוקטובר!G37+נובמבר!G37+דצמבר!G37</f>
        <v>0</v>
      </c>
      <c r="H37" s="86">
        <f>ינואר!G37+פברואר!G37+מרץ!G37+אפריל!G37+מאי!G37+יוני!G37+יולי!H37+אוגוסט!H37+ספטמבר!H37+אוקטובר!H37+נובמבר!H37+דצמבר!H37</f>
        <v>0</v>
      </c>
      <c r="I37" s="172" t="str">
        <f t="shared" si="2"/>
        <v/>
      </c>
      <c r="J37" s="86">
        <f t="shared" si="7"/>
        <v>0</v>
      </c>
      <c r="L37" s="86">
        <f>ינואר!J37+פברואר!J37+מרץ!J37+אפריל!J37+מאי!J37+יוני!J37+יולי!M37+אוגוסט!M37+ספטמבר!M37+אוקטובר!M37+נובמבר!M37+דצמבר!M37</f>
        <v>0</v>
      </c>
      <c r="M37" s="172" t="str">
        <f t="shared" si="3"/>
        <v/>
      </c>
      <c r="N37" s="86">
        <f t="shared" si="8"/>
        <v>0</v>
      </c>
      <c r="P37" s="89">
        <f>_xlfn.XLOOKUP($A37,'תקציב  '!A:A,'תקציב  '!AW:AW)</f>
        <v>0</v>
      </c>
      <c r="Q37" s="172" t="str">
        <f t="shared" si="4"/>
        <v>-</v>
      </c>
      <c r="R37" s="89">
        <f t="shared" si="5"/>
        <v>0</v>
      </c>
      <c r="T37" s="89">
        <f>'מצטבר יוני'!H37</f>
        <v>0</v>
      </c>
      <c r="U37" s="89">
        <f>_xlfn.XLOOKUP(A37,'תקציב  '!A:A,'תקציב  '!AO:AO)</f>
        <v>0</v>
      </c>
      <c r="V37" s="89">
        <f t="shared" si="6"/>
        <v>0</v>
      </c>
    </row>
    <row r="38" spans="1:23" ht="13.5" customHeight="1" x14ac:dyDescent="0.2">
      <c r="A38" s="135">
        <v>35</v>
      </c>
      <c r="B38" s="89" t="s">
        <v>109</v>
      </c>
      <c r="C38" s="89" t="s">
        <v>109</v>
      </c>
      <c r="D38" s="89" t="s">
        <v>70</v>
      </c>
      <c r="E38" s="89" t="s">
        <v>38</v>
      </c>
      <c r="F38" s="86">
        <f>ינואר!E38+פברואר!E38+מרץ!E38+אפריל!E38+מאי!E38+יוני!E38+יולי!F38+אוגוסט!F38+ספטמבר!F38+אוקטובר!F38+נובמבר!F38+דצמבר!F38</f>
        <v>161574.82</v>
      </c>
      <c r="G38" s="86">
        <f>ינואר!F38+פברואר!F38+מרץ!F38+אפריל!F38+מאי!F38+יוני!F38+יולי!G38+אוגוסט!G38+ספטמבר!G38+אוקטובר!G38+נובמבר!G38+דצמבר!G38</f>
        <v>248.59</v>
      </c>
      <c r="H38" s="86">
        <f>ינואר!G38+פברואר!G38+מרץ!G38+אפריל!G38+מאי!G38+יוני!G38+יולי!H38+אוגוסט!H38+ספטמבר!H38+אוקטובר!H38+נובמבר!H38+דצמבר!H38</f>
        <v>0</v>
      </c>
      <c r="I38" s="172">
        <f t="shared" si="2"/>
        <v>-1</v>
      </c>
      <c r="J38" s="86">
        <f t="shared" si="7"/>
        <v>-248.59</v>
      </c>
      <c r="L38" s="86">
        <f>ינואר!J38+פברואר!J38+מרץ!J38+אפריל!J38+מאי!J38+יוני!J38+יולי!M38+אוגוסט!M38+ספטמבר!M38+אוקטובר!M38+נובמבר!M38+דצמבר!M38</f>
        <v>600000</v>
      </c>
      <c r="M38" s="172">
        <f t="shared" si="3"/>
        <v>-1</v>
      </c>
      <c r="N38" s="86">
        <f t="shared" si="8"/>
        <v>-600000</v>
      </c>
      <c r="P38" s="89">
        <f>_xlfn.XLOOKUP($A38,'תקציב  '!A:A,'תקציב  '!AW:AW)</f>
        <v>0</v>
      </c>
      <c r="Q38" s="172" t="str">
        <f t="shared" si="4"/>
        <v>-</v>
      </c>
      <c r="R38" s="89">
        <f t="shared" si="5"/>
        <v>0</v>
      </c>
      <c r="T38" s="89">
        <f>'מצטבר יוני'!H38</f>
        <v>0</v>
      </c>
      <c r="U38" s="89">
        <f>_xlfn.XLOOKUP(A38,'תקציב  '!A:A,'תקציב  '!AO:AO)</f>
        <v>0</v>
      </c>
      <c r="V38" s="89">
        <f t="shared" si="6"/>
        <v>0</v>
      </c>
    </row>
    <row r="39" spans="1:23" ht="13.5" customHeight="1" x14ac:dyDescent="0.2">
      <c r="A39" s="135">
        <v>36</v>
      </c>
      <c r="B39" s="89"/>
      <c r="C39" s="89" t="s">
        <v>91</v>
      </c>
      <c r="D39" s="89" t="s">
        <v>91</v>
      </c>
      <c r="E39" s="89"/>
      <c r="F39" s="86">
        <f>ינואר!E39+פברואר!E39+מרץ!E39+אפריל!E39+מאי!E39+יוני!E39+יולי!F39+אוגוסט!F39+ספטמבר!F39+אוקטובר!F39+נובמבר!F39+דצמבר!F39</f>
        <v>0</v>
      </c>
      <c r="G39" s="86">
        <f>ינואר!F39+פברואר!F39+מרץ!F39+אפריל!F39+מאי!F39+יוני!F39+יולי!G39+אוגוסט!G39+ספטמבר!G39+אוקטובר!G39+נובמבר!G39+דצמבר!G39</f>
        <v>0</v>
      </c>
      <c r="H39" s="86">
        <f>ינואר!G39+פברואר!G39+מרץ!G39+אפריל!G39+מאי!G39+יוני!G39+יולי!H39+אוגוסט!H39+ספטמבר!H39+אוקטובר!H39+נובמבר!H39+דצמבר!H39</f>
        <v>0</v>
      </c>
      <c r="I39" s="172" t="str">
        <f t="shared" si="2"/>
        <v/>
      </c>
      <c r="J39" s="86">
        <f t="shared" si="7"/>
        <v>0</v>
      </c>
      <c r="L39" s="86">
        <f>ינואר!J39+פברואר!J39+מרץ!J39+אפריל!J39+מאי!J39+יוני!J39+יולי!M39+אוגוסט!M39+ספטמבר!M39+אוקטובר!M39+נובמבר!M39+דצמבר!M39</f>
        <v>400000</v>
      </c>
      <c r="M39" s="172">
        <f t="shared" si="3"/>
        <v>-1</v>
      </c>
      <c r="N39" s="86">
        <f t="shared" si="8"/>
        <v>-400000</v>
      </c>
      <c r="P39" s="89">
        <f>_xlfn.XLOOKUP($A39,'תקציב  '!A:A,'תקציב  '!AW:AW)</f>
        <v>100000</v>
      </c>
      <c r="Q39" s="172">
        <f t="shared" si="4"/>
        <v>0</v>
      </c>
      <c r="R39" s="89">
        <f t="shared" si="5"/>
        <v>-100000</v>
      </c>
      <c r="T39" s="89">
        <f>'מצטבר יוני'!H39</f>
        <v>0</v>
      </c>
      <c r="U39" s="89">
        <f>_xlfn.XLOOKUP(A39,'תקציב  '!A:A,'תקציב  '!AO:AO)</f>
        <v>100000</v>
      </c>
      <c r="V39" s="89">
        <f t="shared" si="6"/>
        <v>100000</v>
      </c>
    </row>
    <row r="40" spans="1:23" ht="15" x14ac:dyDescent="0.25">
      <c r="A40" s="135"/>
      <c r="B40" s="157"/>
      <c r="C40" s="157" t="s">
        <v>42</v>
      </c>
      <c r="D40" s="157" t="s">
        <v>42</v>
      </c>
      <c r="E40" s="157"/>
      <c r="F40" s="157">
        <f>SUM(F20:F39)</f>
        <v>7648509.620000001</v>
      </c>
      <c r="G40" s="157">
        <f>SUM(G20:G39)</f>
        <v>5973375.8000000007</v>
      </c>
      <c r="H40" s="157">
        <f>SUM(H20:H39)</f>
        <v>4050561.8299999991</v>
      </c>
      <c r="I40" s="97">
        <f t="shared" si="2"/>
        <v>-0.32189737166712351</v>
      </c>
      <c r="J40" s="157">
        <f>SUM(J20:J39)</f>
        <v>-1922813.9700000002</v>
      </c>
      <c r="L40" s="157">
        <f>SUM(L20:L39)</f>
        <v>9781372.5132874995</v>
      </c>
      <c r="M40" s="97">
        <f t="shared" si="3"/>
        <v>-0.58589023938128149</v>
      </c>
      <c r="N40" s="157">
        <f>SUM(N20:N39)</f>
        <v>-5730810.6832874985</v>
      </c>
      <c r="P40" s="157">
        <f>SUM(P20:P39)</f>
        <v>6772380.9399999995</v>
      </c>
      <c r="Q40" s="97">
        <f t="shared" si="4"/>
        <v>0.59810011661866136</v>
      </c>
      <c r="R40" s="157">
        <f>SUM(R20:R39)</f>
        <v>-2721819.11</v>
      </c>
      <c r="T40" s="157">
        <f>SUM(T20:T39)</f>
        <v>2801213.8399999994</v>
      </c>
      <c r="U40" s="157">
        <f>SUM(U20:U39)</f>
        <v>3971167.1</v>
      </c>
      <c r="V40" s="157">
        <f>SUM(V20:V39)</f>
        <v>6772380.9399999995</v>
      </c>
    </row>
    <row r="41" spans="1:23" ht="15" x14ac:dyDescent="0.25">
      <c r="A41" s="135"/>
      <c r="B41" s="159"/>
      <c r="C41" s="159" t="s">
        <v>69</v>
      </c>
      <c r="D41" s="159" t="s">
        <v>69</v>
      </c>
      <c r="E41" s="159"/>
      <c r="F41" s="159">
        <f>F40+F19</f>
        <v>25012791.934</v>
      </c>
      <c r="G41" s="159">
        <f>G40+G19</f>
        <v>24119651.232000031</v>
      </c>
      <c r="H41" s="159">
        <f>H40+H19</f>
        <v>19243216.60100003</v>
      </c>
      <c r="I41" s="50">
        <f t="shared" si="2"/>
        <v>-0.20217683017449006</v>
      </c>
      <c r="J41" s="159">
        <f>J40+J19</f>
        <v>-4876434.6310000066</v>
      </c>
      <c r="L41" s="159">
        <f>L40+L19</f>
        <v>41241479.212609537</v>
      </c>
      <c r="M41" s="50">
        <f t="shared" si="3"/>
        <v>-0.53340139664252306</v>
      </c>
      <c r="N41" s="159">
        <f>N40+N19</f>
        <v>-21998262.611609504</v>
      </c>
      <c r="P41" s="159">
        <f>P40+P19</f>
        <v>31924454.020559348</v>
      </c>
      <c r="Q41" s="50">
        <f t="shared" si="4"/>
        <v>0.60277355373430652</v>
      </c>
      <c r="R41" s="159">
        <f>R40+R19</f>
        <v>-12681237.419559326</v>
      </c>
      <c r="T41" s="159">
        <f>T40+T19</f>
        <v>12671808.107000031</v>
      </c>
      <c r="U41" s="159">
        <f>U40+U19</f>
        <v>19252645.913559325</v>
      </c>
      <c r="V41" s="159">
        <f>V40+V19</f>
        <v>31924454.020559348</v>
      </c>
      <c r="W41" s="242"/>
    </row>
    <row r="42" spans="1:23" ht="15" x14ac:dyDescent="0.25">
      <c r="B42" s="177"/>
      <c r="C42" s="177" t="s">
        <v>43</v>
      </c>
      <c r="D42" s="177" t="s">
        <v>43</v>
      </c>
      <c r="E42" s="177"/>
      <c r="F42" s="179">
        <f>F40/F41</f>
        <v>0.30578392209001459</v>
      </c>
      <c r="G42" s="179">
        <f>G40/G41</f>
        <v>0.24765597738308098</v>
      </c>
      <c r="H42" s="179">
        <f>H40/H41</f>
        <v>0.2104929707951996</v>
      </c>
      <c r="I42" s="179">
        <f t="shared" si="2"/>
        <v>-0.15005899304581138</v>
      </c>
      <c r="J42" s="179"/>
      <c r="L42" s="179">
        <f>L40/L41</f>
        <v>0.23717317370849433</v>
      </c>
      <c r="M42" s="179">
        <f t="shared" si="3"/>
        <v>-0.11249249860815591</v>
      </c>
      <c r="N42" s="179"/>
      <c r="P42" s="192"/>
      <c r="Q42" s="179" t="str">
        <f t="shared" si="4"/>
        <v>-</v>
      </c>
      <c r="R42" s="192"/>
    </row>
    <row r="44" spans="1:23" ht="15" x14ac:dyDescent="0.25">
      <c r="D44" s="149"/>
      <c r="E44" s="6"/>
      <c r="F44" s="146" t="s">
        <v>147</v>
      </c>
      <c r="G44" s="146" t="s">
        <v>194</v>
      </c>
      <c r="H44" s="146" t="s">
        <v>208</v>
      </c>
      <c r="I44" s="171" t="s">
        <v>191</v>
      </c>
      <c r="J44" s="146" t="s">
        <v>192</v>
      </c>
      <c r="L44" s="146" t="s">
        <v>67</v>
      </c>
      <c r="M44" s="171" t="s">
        <v>68</v>
      </c>
      <c r="N44" s="146" t="s">
        <v>71</v>
      </c>
      <c r="P44" s="148" t="s">
        <v>229</v>
      </c>
      <c r="Q44" s="171" t="s">
        <v>223</v>
      </c>
      <c r="R44" s="149" t="s">
        <v>232</v>
      </c>
    </row>
    <row r="45" spans="1:23" ht="15" x14ac:dyDescent="0.25">
      <c r="D45" s="152" t="s">
        <v>233</v>
      </c>
      <c r="E45" s="6"/>
      <c r="F45" s="197">
        <f>F16</f>
        <v>16644964.923999999</v>
      </c>
      <c r="G45" s="197">
        <f t="shared" ref="G45:H45" si="9">G16</f>
        <v>16462691.402000036</v>
      </c>
      <c r="H45" s="197">
        <f t="shared" si="9"/>
        <v>11811070.981000002</v>
      </c>
      <c r="I45" s="198">
        <f t="shared" ref="I45:I51" si="10">IFERROR(H45/G45-1,"")</f>
        <v>-0.28255528257274587</v>
      </c>
      <c r="J45" s="199">
        <f>H45-G45</f>
        <v>-4651620.4210000336</v>
      </c>
      <c r="L45" s="195">
        <f t="shared" ref="L45" si="11">L16</f>
        <v>20641000</v>
      </c>
      <c r="M45" s="196">
        <f>H45/L45</f>
        <v>0.57221408754420822</v>
      </c>
      <c r="N45" s="195">
        <f>H45-L45</f>
        <v>-8829929.0189999975</v>
      </c>
      <c r="P45" s="195">
        <f t="shared" ref="P45" si="12">P16</f>
        <v>17499549.046999998</v>
      </c>
      <c r="Q45" s="196">
        <f>H45/P45</f>
        <v>0.67493573401680373</v>
      </c>
      <c r="R45" s="195">
        <f>H45-P45</f>
        <v>-5688478.0659999959</v>
      </c>
    </row>
    <row r="46" spans="1:23" ht="15" x14ac:dyDescent="0.25">
      <c r="D46" s="152" t="s">
        <v>234</v>
      </c>
      <c r="E46" s="6"/>
      <c r="F46" s="197">
        <f>F17+F18</f>
        <v>719317.38999999955</v>
      </c>
      <c r="G46" s="197">
        <f t="shared" ref="G46:H46" si="13">G17+G18</f>
        <v>1683584.0299999951</v>
      </c>
      <c r="H46" s="197">
        <f t="shared" si="13"/>
        <v>3381583.7900000275</v>
      </c>
      <c r="I46" s="198">
        <f t="shared" si="10"/>
        <v>1.0085625247942258</v>
      </c>
      <c r="J46" s="199">
        <f t="shared" ref="J46:J50" si="14">H46-G46</f>
        <v>1697999.7600000324</v>
      </c>
      <c r="L46" s="195">
        <f t="shared" ref="L46" si="15">L17+L18</f>
        <v>10819106.699322036</v>
      </c>
      <c r="M46" s="196">
        <f t="shared" ref="M46:M51" si="16">H46/L46</f>
        <v>0.31255665407310657</v>
      </c>
      <c r="N46" s="195">
        <f t="shared" ref="N46:N50" si="17">H46-L46</f>
        <v>-7437522.9093220085</v>
      </c>
      <c r="P46" s="195">
        <f t="shared" ref="P46" si="18">P17+P18</f>
        <v>7652524.0335593531</v>
      </c>
      <c r="Q46" s="196">
        <f t="shared" ref="Q46:Q51" si="19">H46/P46</f>
        <v>0.44189129954645567</v>
      </c>
      <c r="R46" s="195">
        <f t="shared" ref="R46:R50" si="20">H46-P46</f>
        <v>-4270940.2435593251</v>
      </c>
    </row>
    <row r="47" spans="1:23" ht="15" x14ac:dyDescent="0.25">
      <c r="D47" s="12" t="s">
        <v>239</v>
      </c>
      <c r="E47" s="6"/>
      <c r="F47" s="201">
        <f>SUM(F45:F46)</f>
        <v>17364282.313999999</v>
      </c>
      <c r="G47" s="201">
        <f>SUM(G45:G46)</f>
        <v>18146275.43200003</v>
      </c>
      <c r="H47" s="201">
        <f>SUM(H45:H46)</f>
        <v>15192654.77100003</v>
      </c>
      <c r="I47" s="202">
        <f t="shared" si="10"/>
        <v>-0.16276732225674484</v>
      </c>
      <c r="J47" s="203">
        <f>SUM(J45:J46)</f>
        <v>-2953620.6610000012</v>
      </c>
      <c r="L47" s="204">
        <f>SUM(L45:L46)</f>
        <v>31460106.699322037</v>
      </c>
      <c r="M47" s="205">
        <f t="shared" si="16"/>
        <v>0.48291809421381998</v>
      </c>
      <c r="N47" s="204">
        <f>SUM(N45:N46)</f>
        <v>-16267451.928322006</v>
      </c>
      <c r="P47" s="204">
        <f>SUM(P45:P46)</f>
        <v>25152073.080559351</v>
      </c>
      <c r="Q47" s="205">
        <f t="shared" si="19"/>
        <v>0.60403191110091048</v>
      </c>
      <c r="R47" s="204">
        <f>SUM(R45:R46)</f>
        <v>-9959418.309559321</v>
      </c>
    </row>
    <row r="48" spans="1:23" x14ac:dyDescent="0.2">
      <c r="I48"/>
      <c r="K48"/>
      <c r="M48"/>
      <c r="O48"/>
      <c r="Q48"/>
    </row>
    <row r="49" spans="4:18" ht="15" x14ac:dyDescent="0.25">
      <c r="D49" s="152" t="s">
        <v>235</v>
      </c>
      <c r="E49" s="6"/>
      <c r="F49" s="197">
        <f>F20</f>
        <v>3501494.53</v>
      </c>
      <c r="G49" s="197">
        <f t="shared" ref="G49:H49" si="21">G20</f>
        <v>2705391.22</v>
      </c>
      <c r="H49" s="197">
        <f t="shared" si="21"/>
        <v>1879662.74</v>
      </c>
      <c r="I49" s="198">
        <f t="shared" si="10"/>
        <v>-0.30521592363266414</v>
      </c>
      <c r="J49" s="199">
        <f t="shared" si="14"/>
        <v>-825728.48000000021</v>
      </c>
      <c r="L49" s="195">
        <f t="shared" ref="L49" si="22">L20</f>
        <v>4776579.3532874994</v>
      </c>
      <c r="M49" s="196">
        <f t="shared" si="16"/>
        <v>0.39351648972529152</v>
      </c>
      <c r="N49" s="195">
        <f t="shared" si="17"/>
        <v>-2896916.6132874992</v>
      </c>
      <c r="P49" s="195">
        <f t="shared" ref="P49" si="23">P20</f>
        <v>3098024.51</v>
      </c>
      <c r="Q49" s="196">
        <f t="shared" si="19"/>
        <v>0.6067294606394189</v>
      </c>
      <c r="R49" s="195">
        <f t="shared" si="20"/>
        <v>-1218361.7699999998</v>
      </c>
    </row>
    <row r="50" spans="4:18" ht="15" x14ac:dyDescent="0.25">
      <c r="D50" s="152" t="s">
        <v>236</v>
      </c>
      <c r="E50" s="6"/>
      <c r="F50" s="197">
        <f>SUM(F21:F39)</f>
        <v>4147015.09</v>
      </c>
      <c r="G50" s="197">
        <f t="shared" ref="G50:H50" si="24">SUM(G21:G39)</f>
        <v>3267984.5799999996</v>
      </c>
      <c r="H50" s="197">
        <f t="shared" si="24"/>
        <v>2170899.09</v>
      </c>
      <c r="I50" s="198">
        <f t="shared" si="10"/>
        <v>-0.33570705832400227</v>
      </c>
      <c r="J50" s="199">
        <f t="shared" si="14"/>
        <v>-1097085.4899999998</v>
      </c>
      <c r="L50" s="195">
        <f t="shared" ref="L50" si="25">SUM(L21:L39)</f>
        <v>5004793.16</v>
      </c>
      <c r="M50" s="196">
        <f t="shared" si="16"/>
        <v>0.43376399795111609</v>
      </c>
      <c r="N50" s="195">
        <f t="shared" si="17"/>
        <v>-2833894.0700000003</v>
      </c>
      <c r="P50" s="195">
        <f t="shared" ref="P50" si="26">SUM(P21:P39)</f>
        <v>3674356.4299999992</v>
      </c>
      <c r="Q50" s="196">
        <f t="shared" si="19"/>
        <v>0.5908243066119746</v>
      </c>
      <c r="R50" s="195">
        <f t="shared" si="20"/>
        <v>-1503457.3399999994</v>
      </c>
    </row>
    <row r="51" spans="4:18" ht="15" x14ac:dyDescent="0.25">
      <c r="D51" s="159" t="s">
        <v>237</v>
      </c>
      <c r="E51" s="6"/>
      <c r="F51" s="159">
        <f>SUM(F47:F50)</f>
        <v>25012791.934</v>
      </c>
      <c r="G51" s="159">
        <f>SUM(G47:G50)</f>
        <v>24119651.232000027</v>
      </c>
      <c r="H51" s="159">
        <f>SUM(H47:H50)</f>
        <v>19243216.60100003</v>
      </c>
      <c r="I51" s="50">
        <f t="shared" si="10"/>
        <v>-0.20217683017448995</v>
      </c>
      <c r="J51" s="159">
        <f>SUM(J47:J50)</f>
        <v>-4876434.631000001</v>
      </c>
      <c r="L51" s="159">
        <f>SUM(L47:L50)</f>
        <v>41241479.212609529</v>
      </c>
      <c r="M51" s="50">
        <f t="shared" si="16"/>
        <v>0.46659860335747705</v>
      </c>
      <c r="N51" s="159">
        <f>SUM(N47:N50)</f>
        <v>-21998262.611609504</v>
      </c>
      <c r="P51" s="159">
        <f>SUM(P47:P50)</f>
        <v>31924454.020559348</v>
      </c>
      <c r="Q51" s="50">
        <f t="shared" si="19"/>
        <v>0.60277355373430652</v>
      </c>
      <c r="R51" s="159">
        <f>SUM(R47:R50)</f>
        <v>-12681237.41955932</v>
      </c>
    </row>
    <row r="52" spans="4:18" ht="15" x14ac:dyDescent="0.25">
      <c r="D52" t="s">
        <v>238</v>
      </c>
      <c r="P52" s="200">
        <f>P51/L51-1</f>
        <v>-0.2259139431934224</v>
      </c>
    </row>
    <row r="53" spans="4:18" ht="15" x14ac:dyDescent="0.25">
      <c r="P53" s="144">
        <f>P51-L51</f>
        <v>-9317025.1920501813</v>
      </c>
    </row>
    <row r="54" spans="4:18" x14ac:dyDescent="0.2">
      <c r="P54" s="7"/>
    </row>
    <row r="55" spans="4:18" x14ac:dyDescent="0.2">
      <c r="P55" s="7"/>
    </row>
  </sheetData>
  <dataConsolidate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EB03-E208-4065-98E7-DBAF4BC49984}">
  <sheetPr>
    <tabColor rgb="FFFFC000"/>
  </sheetPr>
  <dimension ref="A1:R43"/>
  <sheetViews>
    <sheetView showGridLines="0" rightToLeft="1" zoomScale="70" zoomScaleNormal="70" workbookViewId="0">
      <pane xSplit="5" ySplit="2" topLeftCell="F3" activePane="bottomRight" state="frozen"/>
      <selection activeCell="J13" sqref="J13"/>
      <selection pane="topRight" activeCell="J13" sqref="J13"/>
      <selection pane="bottomLeft" activeCell="J13" sqref="J13"/>
      <selection pane="bottomRight" activeCell="H36" sqref="H36"/>
    </sheetView>
  </sheetViews>
  <sheetFormatPr defaultRowHeight="14.25" x14ac:dyDescent="0.2"/>
  <cols>
    <col min="1" max="1" width="2.875" bestFit="1" customWidth="1"/>
    <col min="2" max="3" width="28" hidden="1" customWidth="1"/>
    <col min="4" max="4" width="28" bestFit="1" customWidth="1"/>
    <col min="5" max="5" width="12.5" style="1" bestFit="1" customWidth="1"/>
    <col min="6" max="7" width="9.875" bestFit="1" customWidth="1"/>
    <col min="8" max="8" width="8.875" bestFit="1" customWidth="1"/>
    <col min="9" max="9" width="10.75" style="51" bestFit="1" customWidth="1"/>
    <col min="10" max="10" width="11.875" bestFit="1" customWidth="1"/>
    <col min="11" max="11" width="6.75" customWidth="1"/>
    <col min="12" max="12" width="11.875" bestFit="1" customWidth="1"/>
    <col min="13" max="13" width="9.75" style="51" bestFit="1" customWidth="1"/>
    <col min="14" max="14" width="11.5" bestFit="1" customWidth="1"/>
    <col min="16" max="16" width="12.5" bestFit="1" customWidth="1"/>
    <col min="17" max="17" width="9.75" style="51" bestFit="1" customWidth="1"/>
    <col min="18" max="18" width="11.5" bestFit="1" customWidth="1"/>
    <col min="20" max="20" width="12.625" bestFit="1" customWidth="1"/>
    <col min="21" max="21" width="10.875" bestFit="1" customWidth="1"/>
  </cols>
  <sheetData>
    <row r="1" spans="1:18" ht="15.75" x14ac:dyDescent="0.25">
      <c r="B1" s="34"/>
      <c r="C1" s="34" t="s">
        <v>165</v>
      </c>
      <c r="D1" s="34" t="s">
        <v>165</v>
      </c>
      <c r="E1" s="174"/>
      <c r="F1" s="174"/>
      <c r="G1" s="174"/>
      <c r="H1" s="174"/>
      <c r="I1" s="194"/>
      <c r="J1" s="174"/>
      <c r="L1" s="174"/>
      <c r="M1" s="175"/>
      <c r="N1" s="174"/>
      <c r="P1" s="174"/>
      <c r="Q1" s="194"/>
      <c r="R1" s="174"/>
    </row>
    <row r="2" spans="1:18" ht="15" x14ac:dyDescent="0.25">
      <c r="A2" s="133" t="s">
        <v>228</v>
      </c>
      <c r="B2" s="149"/>
      <c r="C2" s="149"/>
      <c r="D2" s="149"/>
      <c r="E2" s="146" t="s">
        <v>10</v>
      </c>
      <c r="F2" s="146" t="s">
        <v>150</v>
      </c>
      <c r="G2" s="146" t="s">
        <v>193</v>
      </c>
      <c r="H2" s="146" t="s">
        <v>207</v>
      </c>
      <c r="I2" s="171" t="s">
        <v>191</v>
      </c>
      <c r="J2" s="146" t="s">
        <v>192</v>
      </c>
      <c r="L2" s="146" t="s">
        <v>67</v>
      </c>
      <c r="M2" s="171" t="s">
        <v>68</v>
      </c>
      <c r="N2" s="146" t="s">
        <v>71</v>
      </c>
      <c r="P2" s="148" t="s">
        <v>229</v>
      </c>
      <c r="Q2" s="171" t="s">
        <v>223</v>
      </c>
      <c r="R2" s="146" t="s">
        <v>232</v>
      </c>
    </row>
    <row r="3" spans="1:18" x14ac:dyDescent="0.2">
      <c r="A3" s="140">
        <v>5</v>
      </c>
      <c r="B3" s="89" t="s">
        <v>115</v>
      </c>
      <c r="C3" s="89" t="s">
        <v>1</v>
      </c>
      <c r="D3" s="89" t="s">
        <v>1</v>
      </c>
      <c r="E3" s="3" t="s">
        <v>40</v>
      </c>
      <c r="F3" s="86">
        <f>+אוקטובר!F3+נובמבר!F3+דצמבר!F3</f>
        <v>501891.93999999994</v>
      </c>
      <c r="G3" s="86">
        <f>+אוקטובר!G3+נובמבר!G3+דצמבר!G3</f>
        <v>397235.16000000003</v>
      </c>
      <c r="H3" s="86">
        <f>+אוקטובר!H3+נובמבר!H3+דצמבר!H3</f>
        <v>20995.200000000001</v>
      </c>
      <c r="I3" s="172">
        <f>IFERROR(H3/G3-1,"")</f>
        <v>-0.94714667251509155</v>
      </c>
      <c r="J3" s="86">
        <f t="shared" ref="J3:J15" si="0">H3-G3</f>
        <v>-376239.96</v>
      </c>
      <c r="L3" s="86">
        <v>705238.09523809515</v>
      </c>
      <c r="M3" s="172">
        <f>IFERROR(H3/L3-1,"")</f>
        <v>-0.97022962862930451</v>
      </c>
      <c r="N3" s="86">
        <f t="shared" ref="N3:N15" si="1">H3-L3</f>
        <v>-684242.8952380952</v>
      </c>
      <c r="P3" s="86">
        <f>'תקציב  '!AL5+'תקציב  '!AM5+'תקציב  '!AN5</f>
        <v>600000</v>
      </c>
      <c r="Q3" s="172">
        <f>IFERROR(G3/P3-1,"")</f>
        <v>-0.33794139999999995</v>
      </c>
      <c r="R3" s="86">
        <f t="shared" ref="R3:R15" si="2">H3-P3</f>
        <v>-579004.80000000005</v>
      </c>
    </row>
    <row r="4" spans="1:18" x14ac:dyDescent="0.2">
      <c r="A4" s="134">
        <v>1</v>
      </c>
      <c r="B4" s="89" t="s">
        <v>0</v>
      </c>
      <c r="C4" s="89" t="s">
        <v>0</v>
      </c>
      <c r="D4" s="89" t="s">
        <v>0</v>
      </c>
      <c r="E4" s="3" t="s">
        <v>40</v>
      </c>
      <c r="F4" s="86">
        <f>+אוקטובר!F4+נובמבר!F4+דצמבר!F4</f>
        <v>1256467.8489999999</v>
      </c>
      <c r="G4" s="86">
        <f>+אוקטובר!G4+נובמבר!G4+דצמבר!G4</f>
        <v>1377947.48</v>
      </c>
      <c r="H4" s="86">
        <f>+אוקטובר!H4+נובמבר!H4+דצמבר!H4</f>
        <v>0</v>
      </c>
      <c r="I4" s="172">
        <f t="shared" ref="I4:I42" si="3">IFERROR(H4/G4-1,"")</f>
        <v>-1</v>
      </c>
      <c r="J4" s="86">
        <f t="shared" si="0"/>
        <v>-1377947.48</v>
      </c>
      <c r="L4" s="86">
        <v>1720095.2380952379</v>
      </c>
      <c r="M4" s="172">
        <f t="shared" ref="M4:M41" si="4">IFERROR(H4/L4-1,"")</f>
        <v>-1</v>
      </c>
      <c r="N4" s="86">
        <f t="shared" si="1"/>
        <v>-1720095.2380952379</v>
      </c>
      <c r="P4" s="86">
        <f>'תקציב  '!AL6+'תקציב  '!AM6+'תקציב  '!AN6</f>
        <v>1650000</v>
      </c>
      <c r="Q4" s="172">
        <f t="shared" ref="Q4:Q41" si="5">IFERROR(G4/P4-1,"")</f>
        <v>-0.16488031515151513</v>
      </c>
      <c r="R4" s="86">
        <f t="shared" si="2"/>
        <v>-1650000</v>
      </c>
    </row>
    <row r="5" spans="1:18" x14ac:dyDescent="0.2">
      <c r="A5" s="134">
        <v>7</v>
      </c>
      <c r="B5" s="89" t="s">
        <v>44</v>
      </c>
      <c r="C5" s="89" t="s">
        <v>44</v>
      </c>
      <c r="D5" s="89" t="s">
        <v>44</v>
      </c>
      <c r="E5" s="3" t="s">
        <v>40</v>
      </c>
      <c r="F5" s="86">
        <f>+אוקטובר!F5+נובמבר!F5+דצמבר!F5</f>
        <v>249549.93700000001</v>
      </c>
      <c r="G5" s="86">
        <f>+אוקטובר!G5+נובמבר!G5+דצמבר!G5</f>
        <v>208571.09</v>
      </c>
      <c r="H5" s="86">
        <f>+אוקטובר!H5+נובמבר!H5+דצמבר!H5</f>
        <v>0</v>
      </c>
      <c r="I5" s="172">
        <f t="shared" si="3"/>
        <v>-1</v>
      </c>
      <c r="J5" s="86">
        <f t="shared" si="0"/>
        <v>-208571.09</v>
      </c>
      <c r="L5" s="86">
        <v>235714.28571428574</v>
      </c>
      <c r="M5" s="172">
        <f t="shared" si="4"/>
        <v>-1</v>
      </c>
      <c r="N5" s="86">
        <f t="shared" si="1"/>
        <v>-235714.28571428574</v>
      </c>
      <c r="P5" s="86">
        <f>'תקציב  '!AL7+'תקציב  '!AM7+'תקציב  '!AN7</f>
        <v>300000</v>
      </c>
      <c r="Q5" s="172">
        <f t="shared" si="5"/>
        <v>-0.30476303333333332</v>
      </c>
      <c r="R5" s="86">
        <f t="shared" si="2"/>
        <v>-300000</v>
      </c>
    </row>
    <row r="6" spans="1:18" x14ac:dyDescent="0.2">
      <c r="A6" s="134">
        <v>4</v>
      </c>
      <c r="B6" s="89" t="s">
        <v>3</v>
      </c>
      <c r="C6" s="89" t="s">
        <v>3</v>
      </c>
      <c r="D6" s="89" t="s">
        <v>3</v>
      </c>
      <c r="E6" s="3" t="s">
        <v>40</v>
      </c>
      <c r="F6" s="86">
        <f>+אוקטובר!F6+נובמבר!F6+דצמבר!F6</f>
        <v>423029.48800000001</v>
      </c>
      <c r="G6" s="86">
        <f>+אוקטובר!G6+נובמבר!G6+דצמבר!G6</f>
        <v>462437.99</v>
      </c>
      <c r="H6" s="86">
        <f>+אוקטובר!H6+נובמבר!H6+דצמבר!H6</f>
        <v>0</v>
      </c>
      <c r="I6" s="172">
        <f t="shared" si="3"/>
        <v>-1</v>
      </c>
      <c r="J6" s="86">
        <f t="shared" si="0"/>
        <v>-462437.99</v>
      </c>
      <c r="L6" s="86">
        <v>506619.04761904763</v>
      </c>
      <c r="M6" s="172">
        <f t="shared" si="4"/>
        <v>-1</v>
      </c>
      <c r="N6" s="86">
        <f t="shared" si="1"/>
        <v>-506619.04761904763</v>
      </c>
      <c r="P6" s="86">
        <f>'תקציב  '!AL8+'תקציב  '!AM8+'תקציב  '!AN8</f>
        <v>600000</v>
      </c>
      <c r="Q6" s="172">
        <f t="shared" si="5"/>
        <v>-0.22927001666666669</v>
      </c>
      <c r="R6" s="86">
        <f t="shared" si="2"/>
        <v>-600000</v>
      </c>
    </row>
    <row r="7" spans="1:18" x14ac:dyDescent="0.2">
      <c r="A7" s="134">
        <v>3</v>
      </c>
      <c r="B7" s="89" t="s">
        <v>112</v>
      </c>
      <c r="C7" s="89" t="s">
        <v>2</v>
      </c>
      <c r="D7" s="89" t="s">
        <v>2</v>
      </c>
      <c r="E7" s="3" t="s">
        <v>40</v>
      </c>
      <c r="F7" s="86">
        <f>+אוקטובר!F7+נובמבר!F7+דצמבר!F7</f>
        <v>988830.3</v>
      </c>
      <c r="G7" s="86">
        <f>+אוקטובר!G7+נובמבר!G7+דצמבר!G7</f>
        <v>860724.67000000016</v>
      </c>
      <c r="H7" s="86">
        <f>+אוקטובר!H7+נובמבר!H7+דצמבר!H7</f>
        <v>0</v>
      </c>
      <c r="I7" s="172">
        <f t="shared" si="3"/>
        <v>-1</v>
      </c>
      <c r="J7" s="86">
        <f t="shared" si="0"/>
        <v>-860724.67000000016</v>
      </c>
      <c r="L7" s="86">
        <v>1096000</v>
      </c>
      <c r="M7" s="172">
        <f t="shared" si="4"/>
        <v>-1</v>
      </c>
      <c r="N7" s="86">
        <f t="shared" si="1"/>
        <v>-1096000</v>
      </c>
      <c r="P7" s="86">
        <f>'תקציב  '!AL9+'תקציב  '!AM9+'תקציב  '!AN9</f>
        <v>990000</v>
      </c>
      <c r="Q7" s="172">
        <f t="shared" si="5"/>
        <v>-0.13058114141414123</v>
      </c>
      <c r="R7" s="86">
        <f t="shared" si="2"/>
        <v>-990000</v>
      </c>
    </row>
    <row r="8" spans="1:18" x14ac:dyDescent="0.2">
      <c r="A8" s="134">
        <v>8</v>
      </c>
      <c r="B8" s="89" t="s">
        <v>113</v>
      </c>
      <c r="C8" s="89" t="s">
        <v>5</v>
      </c>
      <c r="D8" s="89" t="s">
        <v>5</v>
      </c>
      <c r="E8" s="3" t="s">
        <v>40</v>
      </c>
      <c r="F8" s="86">
        <f>+אוקטובר!F8+נובמבר!F8+דצמבר!F8</f>
        <v>175743.18</v>
      </c>
      <c r="G8" s="86">
        <f>+אוקטובר!G8+נובמבר!G8+דצמבר!G8</f>
        <v>198828.05999999997</v>
      </c>
      <c r="H8" s="86">
        <f>+אוקטובר!H8+נובמבר!H8+דצמבר!H8</f>
        <v>0</v>
      </c>
      <c r="I8" s="172">
        <f t="shared" si="3"/>
        <v>-1</v>
      </c>
      <c r="J8" s="86">
        <f t="shared" si="0"/>
        <v>-198828.05999999997</v>
      </c>
      <c r="L8" s="86">
        <v>301904.76190476189</v>
      </c>
      <c r="M8" s="172">
        <f t="shared" si="4"/>
        <v>-1</v>
      </c>
      <c r="N8" s="86">
        <f t="shared" si="1"/>
        <v>-301904.76190476189</v>
      </c>
      <c r="P8" s="86">
        <f>'תקציב  '!AL10+'תקציב  '!AM10+'תקציב  '!AN10</f>
        <v>300000</v>
      </c>
      <c r="Q8" s="172">
        <f t="shared" si="5"/>
        <v>-0.33723980000000009</v>
      </c>
      <c r="R8" s="86">
        <f t="shared" si="2"/>
        <v>-300000</v>
      </c>
    </row>
    <row r="9" spans="1:18" x14ac:dyDescent="0.2">
      <c r="A9" s="134">
        <v>6</v>
      </c>
      <c r="B9" s="89" t="s">
        <v>121</v>
      </c>
      <c r="C9" s="89" t="s">
        <v>4</v>
      </c>
      <c r="D9" s="89" t="s">
        <v>4</v>
      </c>
      <c r="E9" s="3" t="s">
        <v>40</v>
      </c>
      <c r="F9" s="86">
        <f>+אוקטובר!F9+נובמבר!F9+דצמבר!F9</f>
        <v>184800.08000000002</v>
      </c>
      <c r="G9" s="86">
        <f>+אוקטובר!G9+נובמבר!G9+דצמבר!G9</f>
        <v>223581.68</v>
      </c>
      <c r="H9" s="86">
        <f>+אוקטובר!H9+נובמבר!H9+דצמבר!H9</f>
        <v>0</v>
      </c>
      <c r="I9" s="172">
        <f t="shared" si="3"/>
        <v>-1</v>
      </c>
      <c r="J9" s="86">
        <f t="shared" si="0"/>
        <v>-223581.68</v>
      </c>
      <c r="L9" s="86">
        <v>528261.90476190473</v>
      </c>
      <c r="M9" s="172">
        <f t="shared" si="4"/>
        <v>-1</v>
      </c>
      <c r="N9" s="86">
        <f t="shared" si="1"/>
        <v>-528261.90476190473</v>
      </c>
      <c r="P9" s="86">
        <f>'תקציב  '!AL11+'תקציב  '!AM11+'תקציב  '!AN11</f>
        <v>300000</v>
      </c>
      <c r="Q9" s="172">
        <f t="shared" si="5"/>
        <v>-0.25472773333333332</v>
      </c>
      <c r="R9" s="86">
        <f t="shared" si="2"/>
        <v>-300000</v>
      </c>
    </row>
    <row r="10" spans="1:18" x14ac:dyDescent="0.2">
      <c r="A10" s="135">
        <v>10</v>
      </c>
      <c r="B10" s="89" t="s">
        <v>120</v>
      </c>
      <c r="C10" s="89" t="s">
        <v>6</v>
      </c>
      <c r="D10" s="89" t="s">
        <v>6</v>
      </c>
      <c r="E10" s="3" t="s">
        <v>40</v>
      </c>
      <c r="F10" s="86">
        <f>+אוקטובר!F10+נובמבר!F10+דצמבר!F10</f>
        <v>38609.449999999997</v>
      </c>
      <c r="G10" s="86">
        <f>+אוקטובר!G10+נובמבר!G10+דצמבר!G10</f>
        <v>48810.03</v>
      </c>
      <c r="H10" s="86">
        <f>+אוקטובר!H10+נובמבר!H10+דצמבר!H10</f>
        <v>0</v>
      </c>
      <c r="I10" s="172">
        <f t="shared" si="3"/>
        <v>-1</v>
      </c>
      <c r="J10" s="86">
        <f t="shared" si="0"/>
        <v>-48810.03</v>
      </c>
      <c r="L10" s="86">
        <v>49761.904761904763</v>
      </c>
      <c r="M10" s="172">
        <f t="shared" si="4"/>
        <v>-1</v>
      </c>
      <c r="N10" s="86">
        <f t="shared" si="1"/>
        <v>-49761.904761904763</v>
      </c>
      <c r="P10" s="86">
        <f>'תקציב  '!AL12+'תקציב  '!AM12+'תקציב  '!AN12</f>
        <v>45000</v>
      </c>
      <c r="Q10" s="172">
        <f t="shared" si="5"/>
        <v>8.4667333333333206E-2</v>
      </c>
      <c r="R10" s="86">
        <f t="shared" si="2"/>
        <v>-45000</v>
      </c>
    </row>
    <row r="11" spans="1:18" x14ac:dyDescent="0.2">
      <c r="A11" s="134">
        <v>11</v>
      </c>
      <c r="B11" s="89" t="s">
        <v>117</v>
      </c>
      <c r="C11" s="89" t="s">
        <v>66</v>
      </c>
      <c r="D11" s="89" t="s">
        <v>66</v>
      </c>
      <c r="E11" s="3" t="s">
        <v>40</v>
      </c>
      <c r="F11" s="86">
        <f>+אוקטובר!F11+נובמבר!F11+דצמבר!F11</f>
        <v>39179.29</v>
      </c>
      <c r="G11" s="86">
        <f>+אוקטובר!G11+נובמבר!G11+דצמבר!G11</f>
        <v>11043.34</v>
      </c>
      <c r="H11" s="86">
        <f>+אוקטובר!H11+נובמבר!H11+דצמבר!H11</f>
        <v>0</v>
      </c>
      <c r="I11" s="172">
        <f t="shared" si="3"/>
        <v>-1</v>
      </c>
      <c r="J11" s="86">
        <f t="shared" si="0"/>
        <v>-11043.34</v>
      </c>
      <c r="L11" s="86">
        <v>27190.476190476191</v>
      </c>
      <c r="M11" s="172">
        <f t="shared" si="4"/>
        <v>-1</v>
      </c>
      <c r="N11" s="86">
        <f t="shared" si="1"/>
        <v>-27190.476190476191</v>
      </c>
      <c r="P11" s="86">
        <f>'תקציב  '!AL13+'תקציב  '!AM13+'תקציב  '!AN13</f>
        <v>30000</v>
      </c>
      <c r="Q11" s="172">
        <f t="shared" si="5"/>
        <v>-0.63188866666666665</v>
      </c>
      <c r="R11" s="86">
        <f t="shared" si="2"/>
        <v>-30000</v>
      </c>
    </row>
    <row r="12" spans="1:18" x14ac:dyDescent="0.2">
      <c r="A12" s="134">
        <v>14</v>
      </c>
      <c r="B12" s="89" t="s">
        <v>116</v>
      </c>
      <c r="C12" s="89" t="s">
        <v>8</v>
      </c>
      <c r="D12" s="89" t="s">
        <v>8</v>
      </c>
      <c r="E12" s="3" t="s">
        <v>40</v>
      </c>
      <c r="F12" s="86">
        <f>+אוקטובר!F12+נובמבר!F12+דצמבר!F12</f>
        <v>850.4</v>
      </c>
      <c r="G12" s="86">
        <f>+אוקטובר!G12+נובמבר!G12+דצמבר!G12</f>
        <v>1168.54</v>
      </c>
      <c r="H12" s="86">
        <f>+אוקטובר!H12+נובמבר!H12+דצמבר!H12</f>
        <v>0</v>
      </c>
      <c r="I12" s="172">
        <f t="shared" si="3"/>
        <v>-1</v>
      </c>
      <c r="J12" s="86">
        <f t="shared" si="0"/>
        <v>-1168.54</v>
      </c>
      <c r="L12" s="86">
        <v>0</v>
      </c>
      <c r="M12" s="172" t="str">
        <f t="shared" si="4"/>
        <v/>
      </c>
      <c r="N12" s="86">
        <f t="shared" si="1"/>
        <v>0</v>
      </c>
      <c r="P12" s="86">
        <f>'תקציב  '!AL14+'תקציב  '!AM14+'תקציב  '!AN14</f>
        <v>15000</v>
      </c>
      <c r="Q12" s="172">
        <f t="shared" si="5"/>
        <v>-0.92209733333333332</v>
      </c>
      <c r="R12" s="86">
        <f t="shared" si="2"/>
        <v>-15000</v>
      </c>
    </row>
    <row r="13" spans="1:18" x14ac:dyDescent="0.2">
      <c r="A13" s="134">
        <v>15</v>
      </c>
      <c r="B13" s="89" t="s">
        <v>119</v>
      </c>
      <c r="C13" s="89" t="s">
        <v>151</v>
      </c>
      <c r="D13" s="89" t="s">
        <v>151</v>
      </c>
      <c r="E13" s="3" t="s">
        <v>40</v>
      </c>
      <c r="F13" s="86">
        <f>+אוקטובר!F13+נובמבר!F13+דצמבר!F13</f>
        <v>-14.280000000000001</v>
      </c>
      <c r="G13" s="86">
        <f>+אוקטובר!G13+נובמבר!G13+דצמבר!G13</f>
        <v>514.20000000000005</v>
      </c>
      <c r="H13" s="86">
        <f>+אוקטובר!H13+נובמבר!H13+דצמבר!H13</f>
        <v>0</v>
      </c>
      <c r="I13" s="172">
        <f t="shared" si="3"/>
        <v>-1</v>
      </c>
      <c r="J13" s="86">
        <f t="shared" si="0"/>
        <v>-514.20000000000005</v>
      </c>
      <c r="L13" s="86">
        <v>12500</v>
      </c>
      <c r="M13" s="172">
        <f t="shared" si="4"/>
        <v>-1</v>
      </c>
      <c r="N13" s="86">
        <f t="shared" si="1"/>
        <v>-12500</v>
      </c>
      <c r="P13" s="86">
        <f>'תקציב  '!AL20+'תקציב  '!AM20+'תקציב  '!AN20</f>
        <v>15000</v>
      </c>
      <c r="Q13" s="172">
        <f t="shared" si="5"/>
        <v>-0.96572000000000002</v>
      </c>
      <c r="R13" s="86">
        <f t="shared" si="2"/>
        <v>-15000</v>
      </c>
    </row>
    <row r="14" spans="1:18" x14ac:dyDescent="0.2">
      <c r="A14" s="134">
        <v>13</v>
      </c>
      <c r="B14" s="89" t="s">
        <v>114</v>
      </c>
      <c r="C14" s="89" t="s">
        <v>45</v>
      </c>
      <c r="D14" s="89" t="s">
        <v>45</v>
      </c>
      <c r="E14" s="3" t="s">
        <v>40</v>
      </c>
      <c r="F14" s="86">
        <f>+אוקטובר!F14+נובמבר!F14+דצמבר!F14</f>
        <v>3722.65</v>
      </c>
      <c r="G14" s="86">
        <f>+אוקטובר!G14+נובמבר!G14+דצמבר!G14</f>
        <v>1813.57</v>
      </c>
      <c r="H14" s="86">
        <f>+אוקטובר!H14+נובמבר!H14+דצמבר!H14</f>
        <v>0</v>
      </c>
      <c r="I14" s="172">
        <f t="shared" si="3"/>
        <v>-1</v>
      </c>
      <c r="J14" s="86">
        <f t="shared" si="0"/>
        <v>-1813.57</v>
      </c>
      <c r="L14" s="86">
        <v>100000</v>
      </c>
      <c r="M14" s="172">
        <f t="shared" si="4"/>
        <v>-1</v>
      </c>
      <c r="N14" s="86">
        <f t="shared" si="1"/>
        <v>-100000</v>
      </c>
      <c r="P14" s="86">
        <f>'תקציב  '!AL16+'תקציב  '!AM16+'תקציב  '!AN16</f>
        <v>15000</v>
      </c>
      <c r="Q14" s="172">
        <f t="shared" si="5"/>
        <v>-0.87909533333333334</v>
      </c>
      <c r="R14" s="86">
        <f t="shared" si="2"/>
        <v>-15000</v>
      </c>
    </row>
    <row r="15" spans="1:18" x14ac:dyDescent="0.2">
      <c r="A15" s="134">
        <v>9</v>
      </c>
      <c r="B15" s="89" t="s">
        <v>118</v>
      </c>
      <c r="C15" s="89" t="s">
        <v>73</v>
      </c>
      <c r="D15" s="89" t="s">
        <v>73</v>
      </c>
      <c r="E15" s="3" t="s">
        <v>40</v>
      </c>
      <c r="F15" s="86">
        <f>+אוקטובר!F15+נובמבר!F15+דצמבר!F15</f>
        <v>11626.65</v>
      </c>
      <c r="G15" s="86">
        <f>+אוקטובר!G15+נובמבר!G15+דצמבר!G15</f>
        <v>17330.93</v>
      </c>
      <c r="H15" s="86">
        <f>+אוקטובר!H15+נובמבר!H15+דצמבר!H15</f>
        <v>0</v>
      </c>
      <c r="I15" s="172">
        <f t="shared" si="3"/>
        <v>-1</v>
      </c>
      <c r="J15" s="86">
        <f t="shared" si="0"/>
        <v>-17330.93</v>
      </c>
      <c r="L15" s="86">
        <v>52380.952380952382</v>
      </c>
      <c r="M15" s="172">
        <f t="shared" si="4"/>
        <v>-1</v>
      </c>
      <c r="N15" s="86">
        <f t="shared" si="1"/>
        <v>-52380.952380952382</v>
      </c>
      <c r="P15" s="86">
        <f>'תקציב  '!AL17+'תקציב  '!AM17+'תקציב  '!AN17</f>
        <v>75000</v>
      </c>
      <c r="Q15" s="172">
        <f t="shared" si="5"/>
        <v>-0.76892093333333333</v>
      </c>
      <c r="R15" s="86">
        <f t="shared" si="2"/>
        <v>-75000</v>
      </c>
    </row>
    <row r="16" spans="1:18" ht="15" x14ac:dyDescent="0.25">
      <c r="A16" s="136"/>
      <c r="B16" s="152"/>
      <c r="C16" s="152" t="s">
        <v>221</v>
      </c>
      <c r="D16" s="152" t="s">
        <v>221</v>
      </c>
      <c r="E16" s="152"/>
      <c r="F16" s="152">
        <f>SUM(F3:F15)</f>
        <v>3874286.9339999999</v>
      </c>
      <c r="G16" s="152">
        <f>SUM(G3:G15)</f>
        <v>3810006.7400000007</v>
      </c>
      <c r="H16" s="152">
        <f>SUM(H3:H15)</f>
        <v>20995.200000000001</v>
      </c>
      <c r="I16" s="173">
        <f t="shared" si="3"/>
        <v>-0.9944894585672045</v>
      </c>
      <c r="J16" s="152">
        <f>SUM(J3:J15)</f>
        <v>-3789011.5400000005</v>
      </c>
      <c r="L16" s="152">
        <v>5335666.666666666</v>
      </c>
      <c r="M16" s="173">
        <f t="shared" si="4"/>
        <v>-0.99606512150933968</v>
      </c>
      <c r="N16" s="152">
        <f>SUM(N3:N15)</f>
        <v>-5314671.4666666668</v>
      </c>
      <c r="P16" s="152">
        <f>SUM(P3:P15)</f>
        <v>4935000</v>
      </c>
      <c r="Q16" s="173">
        <f t="shared" si="5"/>
        <v>-0.22796216008105352</v>
      </c>
      <c r="R16" s="152">
        <f>SUM(R3:R15)</f>
        <v>-4914004.8</v>
      </c>
    </row>
    <row r="17" spans="1:18" x14ac:dyDescent="0.2">
      <c r="A17" s="134">
        <v>2</v>
      </c>
      <c r="B17" s="89" t="s">
        <v>111</v>
      </c>
      <c r="C17" s="89" t="s">
        <v>7</v>
      </c>
      <c r="D17" s="89" t="s">
        <v>7</v>
      </c>
      <c r="E17" s="3" t="s">
        <v>40</v>
      </c>
      <c r="F17" s="86">
        <f>+אוקטובר!F17+נובמבר!F17+דצמבר!F17</f>
        <v>253937.58999999944</v>
      </c>
      <c r="G17" s="86">
        <f>+אוקטובר!G17+נובמבר!G17+דצמבר!G17</f>
        <v>599115.07999999891</v>
      </c>
      <c r="H17" s="86">
        <f>+אוקטובר!H17+נובמבר!H17+דצמבר!H17</f>
        <v>0</v>
      </c>
      <c r="I17" s="172">
        <f t="shared" si="3"/>
        <v>-1</v>
      </c>
      <c r="J17" s="86">
        <f>H17-G17</f>
        <v>-599115.07999999891</v>
      </c>
      <c r="L17" s="86">
        <v>4474216.1016949154</v>
      </c>
      <c r="M17" s="172">
        <f t="shared" si="4"/>
        <v>-1</v>
      </c>
      <c r="N17" s="86">
        <f>H17-L17</f>
        <v>-4474216.1016949154</v>
      </c>
      <c r="P17" s="86">
        <f>'תקציב  '!AL18+'תקציב  '!AM18+'תקציב  '!AN18</f>
        <v>3472877.9661016949</v>
      </c>
      <c r="Q17" s="172">
        <f t="shared" si="5"/>
        <v>-0.82748743668856717</v>
      </c>
      <c r="R17" s="86">
        <f>H17-P17</f>
        <v>-3472877.9661016949</v>
      </c>
    </row>
    <row r="18" spans="1:18" x14ac:dyDescent="0.2">
      <c r="A18" s="134">
        <v>12</v>
      </c>
      <c r="B18" s="89" t="s">
        <v>110</v>
      </c>
      <c r="C18" s="89" t="s">
        <v>65</v>
      </c>
      <c r="D18" s="89" t="s">
        <v>65</v>
      </c>
      <c r="E18" s="3" t="s">
        <v>40</v>
      </c>
      <c r="F18" s="86">
        <f>+אוקטובר!F18+נובמבר!F18+דצמבר!F18</f>
        <v>10454.959999999999</v>
      </c>
      <c r="G18" s="86">
        <f>+אוקטובר!G18+נובמבר!G18+דצמבר!G18</f>
        <v>4382.6000000000004</v>
      </c>
      <c r="H18" s="86">
        <f>+אוקטובר!H18+נובמבר!H18+דצמבר!H18</f>
        <v>0</v>
      </c>
      <c r="I18" s="172">
        <f t="shared" si="3"/>
        <v>-1</v>
      </c>
      <c r="J18" s="86">
        <f>H18-G18</f>
        <v>-4382.6000000000004</v>
      </c>
      <c r="L18" s="86">
        <v>7610.7849999999971</v>
      </c>
      <c r="M18" s="172">
        <f t="shared" si="4"/>
        <v>-1</v>
      </c>
      <c r="N18" s="86">
        <f>H18-L18</f>
        <v>-7610.7849999999971</v>
      </c>
      <c r="P18" s="86">
        <f>'תקציב  '!AL19+'תקציב  '!AM19+'תקציב  '!AN19</f>
        <v>15000</v>
      </c>
      <c r="Q18" s="172">
        <f t="shared" si="5"/>
        <v>-0.7078266666666666</v>
      </c>
      <c r="R18" s="86">
        <f>H18-P18</f>
        <v>-15000</v>
      </c>
    </row>
    <row r="19" spans="1:18" ht="15" x14ac:dyDescent="0.25">
      <c r="A19" s="135"/>
      <c r="B19" s="152"/>
      <c r="C19" s="152" t="s">
        <v>41</v>
      </c>
      <c r="D19" s="152" t="s">
        <v>41</v>
      </c>
      <c r="E19" s="152"/>
      <c r="F19" s="152">
        <f>F16+F17+F18</f>
        <v>4138679.4839999992</v>
      </c>
      <c r="G19" s="152">
        <f>G16+G17+G18</f>
        <v>4413504.419999999</v>
      </c>
      <c r="H19" s="152">
        <f>H16+H17+H18</f>
        <v>20995.200000000001</v>
      </c>
      <c r="I19" s="173">
        <f t="shared" si="3"/>
        <v>-0.99524296386679501</v>
      </c>
      <c r="J19" s="152">
        <f>J16+J17+J18</f>
        <v>-4392509.2199999988</v>
      </c>
      <c r="L19" s="152">
        <v>9817493.5533615816</v>
      </c>
      <c r="M19" s="173">
        <f t="shared" si="4"/>
        <v>-0.99786145008541294</v>
      </c>
      <c r="N19" s="152">
        <f>N16+N17+N18</f>
        <v>-9796498.3533615824</v>
      </c>
      <c r="P19" s="152">
        <f>P16+P17+P18</f>
        <v>8422877.9661016949</v>
      </c>
      <c r="Q19" s="173">
        <f t="shared" si="5"/>
        <v>-0.4760099294133936</v>
      </c>
      <c r="R19" s="152">
        <f>R16+R17+R18</f>
        <v>-8401882.7661016956</v>
      </c>
    </row>
    <row r="20" spans="1:18" x14ac:dyDescent="0.2">
      <c r="A20" s="135">
        <v>50</v>
      </c>
      <c r="B20" s="89" t="s">
        <v>92</v>
      </c>
      <c r="C20" s="89" t="s">
        <v>74</v>
      </c>
      <c r="D20" s="89" t="s">
        <v>47</v>
      </c>
      <c r="E20" s="3" t="s">
        <v>38</v>
      </c>
      <c r="F20" s="86">
        <f>+אוקטובר!F20+נובמבר!F20+דצמבר!F20</f>
        <v>594913.85</v>
      </c>
      <c r="G20" s="86">
        <f>+אוקטובר!G20+נובמבר!G20+דצמבר!G20</f>
        <v>676973.71</v>
      </c>
      <c r="H20" s="86">
        <f>+אוקטובר!H20+נובמבר!H20+דצמבר!H20</f>
        <v>0</v>
      </c>
      <c r="I20" s="172">
        <f t="shared" si="3"/>
        <v>-1</v>
      </c>
      <c r="J20" s="86">
        <f t="shared" ref="J20:J39" si="6">H20-G20</f>
        <v>-676973.71</v>
      </c>
      <c r="L20" s="86">
        <v>1244673.1291499999</v>
      </c>
      <c r="M20" s="172">
        <f t="shared" si="4"/>
        <v>-1</v>
      </c>
      <c r="N20" s="86">
        <f t="shared" ref="N20:N39" si="7">H20-L20</f>
        <v>-1244673.1291499999</v>
      </c>
      <c r="P20" s="86">
        <f>'תקציב  '!AL22+'תקציב  '!AM22+'תקציב  '!AN22</f>
        <v>945572.1</v>
      </c>
      <c r="Q20" s="172">
        <f t="shared" si="5"/>
        <v>-0.28405913203234323</v>
      </c>
      <c r="R20" s="86">
        <f t="shared" ref="R20:R32" si="8">H20-P20</f>
        <v>-945572.1</v>
      </c>
    </row>
    <row r="21" spans="1:18" x14ac:dyDescent="0.2">
      <c r="A21" s="135">
        <v>20</v>
      </c>
      <c r="B21" s="89" t="s">
        <v>93</v>
      </c>
      <c r="C21" s="89" t="s">
        <v>75</v>
      </c>
      <c r="D21" s="89" t="s">
        <v>13</v>
      </c>
      <c r="E21" s="3" t="s">
        <v>39</v>
      </c>
      <c r="F21" s="86">
        <f>+אוקטובר!F21+נובמבר!F21+דצמבר!F21</f>
        <v>137974.18</v>
      </c>
      <c r="G21" s="86">
        <f>+אוקטובר!G21+נובמבר!G21+דצמבר!G21</f>
        <v>284867.18000000005</v>
      </c>
      <c r="H21" s="86">
        <f>+אוקטובר!H21+נובמבר!H21+דצמבר!H21</f>
        <v>0</v>
      </c>
      <c r="I21" s="172">
        <f t="shared" si="3"/>
        <v>-1</v>
      </c>
      <c r="J21" s="86">
        <f t="shared" si="6"/>
        <v>-284867.18000000005</v>
      </c>
      <c r="L21" s="86">
        <v>303800</v>
      </c>
      <c r="M21" s="172">
        <f t="shared" si="4"/>
        <v>-1</v>
      </c>
      <c r="N21" s="86">
        <f t="shared" si="7"/>
        <v>-303800</v>
      </c>
      <c r="P21" s="86">
        <f>'תקציב  '!AL23+'תקציב  '!AM23+'תקציב  '!AN23</f>
        <v>450000</v>
      </c>
      <c r="Q21" s="172">
        <f t="shared" si="5"/>
        <v>-0.36696182222222207</v>
      </c>
      <c r="R21" s="86">
        <f t="shared" si="8"/>
        <v>-450000</v>
      </c>
    </row>
    <row r="22" spans="1:18" x14ac:dyDescent="0.2">
      <c r="A22" s="135">
        <v>21</v>
      </c>
      <c r="B22" s="89" t="s">
        <v>94</v>
      </c>
      <c r="C22" s="89" t="s">
        <v>80</v>
      </c>
      <c r="D22" s="89" t="s">
        <v>18</v>
      </c>
      <c r="E22" s="3" t="s">
        <v>19</v>
      </c>
      <c r="F22" s="86">
        <f>+אוקטובר!F22+נובמבר!F22+דצמבר!F22</f>
        <v>220830.5</v>
      </c>
      <c r="G22" s="86">
        <f>+אוקטובר!G22+נובמבר!G22+דצמבר!G22</f>
        <v>54650.07</v>
      </c>
      <c r="H22" s="86">
        <f>+אוקטובר!H22+נובמבר!H22+דצמבר!H22</f>
        <v>0</v>
      </c>
      <c r="I22" s="172">
        <f t="shared" si="3"/>
        <v>-1</v>
      </c>
      <c r="J22" s="86">
        <f t="shared" si="6"/>
        <v>-54650.07</v>
      </c>
      <c r="L22" s="86">
        <v>200000</v>
      </c>
      <c r="M22" s="172">
        <f t="shared" si="4"/>
        <v>-1</v>
      </c>
      <c r="N22" s="86">
        <f t="shared" si="7"/>
        <v>-200000</v>
      </c>
      <c r="P22" s="86">
        <f>'תקציב  '!AL24+'תקציב  '!AM24+'תקציב  '!AN24</f>
        <v>220000</v>
      </c>
      <c r="Q22" s="172">
        <f t="shared" si="5"/>
        <v>-0.75159059090909097</v>
      </c>
      <c r="R22" s="86">
        <f t="shared" si="8"/>
        <v>-220000</v>
      </c>
    </row>
    <row r="23" spans="1:18" x14ac:dyDescent="0.2">
      <c r="A23" s="135">
        <v>22</v>
      </c>
      <c r="B23" s="89" t="s">
        <v>95</v>
      </c>
      <c r="C23" s="89" t="s">
        <v>82</v>
      </c>
      <c r="D23" s="89" t="s">
        <v>14</v>
      </c>
      <c r="E23" s="3" t="s">
        <v>15</v>
      </c>
      <c r="F23" s="86">
        <f>+אוקטובר!F23+נובמבר!F23+דצמבר!F23</f>
        <v>167224.53</v>
      </c>
      <c r="G23" s="86">
        <f>+אוקטובר!G23+נובמבר!G23+דצמבר!G23</f>
        <v>83397.790000000008</v>
      </c>
      <c r="H23" s="86">
        <f>+אוקטובר!H23+נובמבר!H23+דצמבר!H23</f>
        <v>0</v>
      </c>
      <c r="I23" s="172">
        <f t="shared" si="3"/>
        <v>-1</v>
      </c>
      <c r="J23" s="86">
        <f t="shared" si="6"/>
        <v>-83397.790000000008</v>
      </c>
      <c r="L23" s="86">
        <v>82841</v>
      </c>
      <c r="M23" s="172">
        <f t="shared" si="4"/>
        <v>-1</v>
      </c>
      <c r="N23" s="86">
        <f t="shared" si="7"/>
        <v>-82841</v>
      </c>
      <c r="P23" s="86">
        <f>'תקציב  '!AL25+'תקציב  '!AM25+'תקציב  '!AN25</f>
        <v>75000</v>
      </c>
      <c r="Q23" s="172">
        <f t="shared" si="5"/>
        <v>0.1119705333333334</v>
      </c>
      <c r="R23" s="86">
        <f t="shared" si="8"/>
        <v>-75000</v>
      </c>
    </row>
    <row r="24" spans="1:18" x14ac:dyDescent="0.2">
      <c r="A24" s="135">
        <v>23</v>
      </c>
      <c r="B24" s="89" t="s">
        <v>96</v>
      </c>
      <c r="C24" s="89" t="s">
        <v>78</v>
      </c>
      <c r="D24" s="89" t="s">
        <v>24</v>
      </c>
      <c r="E24" s="3" t="s">
        <v>25</v>
      </c>
      <c r="F24" s="86">
        <f>+אוקטובר!F24+נובמבר!F24+דצמבר!F24</f>
        <v>17813.97</v>
      </c>
      <c r="G24" s="86">
        <f>+אוקטובר!G24+נובמבר!G24+דצמבר!G24</f>
        <v>31158.35</v>
      </c>
      <c r="H24" s="86">
        <f>+אוקטובר!H24+נובמבר!H24+דצמבר!H24</f>
        <v>0</v>
      </c>
      <c r="I24" s="172">
        <f t="shared" si="3"/>
        <v>-1</v>
      </c>
      <c r="J24" s="86">
        <f t="shared" si="6"/>
        <v>-31158.35</v>
      </c>
      <c r="L24" s="86">
        <v>26225</v>
      </c>
      <c r="M24" s="172">
        <f t="shared" si="4"/>
        <v>-1</v>
      </c>
      <c r="N24" s="86">
        <f t="shared" si="7"/>
        <v>-26225</v>
      </c>
      <c r="P24" s="86">
        <f>'תקציב  '!AL26+'תקציב  '!AM26+'תקציב  '!AN26</f>
        <v>20000</v>
      </c>
      <c r="Q24" s="172">
        <f t="shared" si="5"/>
        <v>0.55791749999999984</v>
      </c>
      <c r="R24" s="86">
        <f t="shared" si="8"/>
        <v>-20000</v>
      </c>
    </row>
    <row r="25" spans="1:18" x14ac:dyDescent="0.2">
      <c r="A25" s="135">
        <v>24</v>
      </c>
      <c r="B25" s="89" t="s">
        <v>97</v>
      </c>
      <c r="C25" s="89" t="s">
        <v>79</v>
      </c>
      <c r="D25" s="89" t="s">
        <v>27</v>
      </c>
      <c r="E25" s="3" t="s">
        <v>46</v>
      </c>
      <c r="F25" s="86">
        <f>+אוקטובר!F25+נובמבר!F25+דצמבר!F25</f>
        <v>44572.45</v>
      </c>
      <c r="G25" s="86">
        <f>+אוקטובר!G25+נובמבר!G25+דצמבר!G25</f>
        <v>0</v>
      </c>
      <c r="H25" s="86">
        <f>+אוקטובר!H25+נובמבר!H25+דצמבר!H25</f>
        <v>0</v>
      </c>
      <c r="I25" s="172" t="str">
        <f t="shared" si="3"/>
        <v/>
      </c>
      <c r="J25" s="86">
        <f t="shared" si="6"/>
        <v>0</v>
      </c>
      <c r="L25" s="86">
        <v>15000</v>
      </c>
      <c r="M25" s="172">
        <f t="shared" si="4"/>
        <v>-1</v>
      </c>
      <c r="N25" s="86">
        <f t="shared" si="7"/>
        <v>-15000</v>
      </c>
      <c r="P25" s="86">
        <f>'תקציב  '!AL27+'תקציב  '!AM27+'תקציב  '!AN27</f>
        <v>0</v>
      </c>
      <c r="Q25" s="172" t="str">
        <f t="shared" si="5"/>
        <v/>
      </c>
      <c r="R25" s="86">
        <f t="shared" si="8"/>
        <v>0</v>
      </c>
    </row>
    <row r="26" spans="1:18" ht="13.5" customHeight="1" x14ac:dyDescent="0.2">
      <c r="A26" s="135">
        <v>25</v>
      </c>
      <c r="B26" s="89" t="s">
        <v>98</v>
      </c>
      <c r="C26" s="89" t="s">
        <v>87</v>
      </c>
      <c r="D26" s="89" t="s">
        <v>20</v>
      </c>
      <c r="E26" s="3" t="s">
        <v>21</v>
      </c>
      <c r="F26" s="86">
        <f>+אוקטובר!F26+נובמבר!F26+דצמבר!F26</f>
        <v>222074.04</v>
      </c>
      <c r="G26" s="86">
        <f>+אוקטובר!G26+נובמבר!G26+דצמבר!G26</f>
        <v>146752.62</v>
      </c>
      <c r="H26" s="86">
        <f>+אוקטובר!H26+נובמבר!H26+דצמבר!H26</f>
        <v>0</v>
      </c>
      <c r="I26" s="172">
        <f t="shared" si="3"/>
        <v>-1</v>
      </c>
      <c r="J26" s="86">
        <f t="shared" si="6"/>
        <v>-146752.62</v>
      </c>
      <c r="L26" s="86">
        <v>150000</v>
      </c>
      <c r="M26" s="172">
        <f t="shared" si="4"/>
        <v>-1</v>
      </c>
      <c r="N26" s="86">
        <f t="shared" si="7"/>
        <v>-150000</v>
      </c>
      <c r="P26" s="86">
        <f>'תקציב  '!AL28+'תקציב  '!AM28+'תקציב  '!AN28</f>
        <v>70000</v>
      </c>
      <c r="Q26" s="172">
        <f t="shared" si="5"/>
        <v>1.0964659999999999</v>
      </c>
      <c r="R26" s="86">
        <f t="shared" si="8"/>
        <v>-70000</v>
      </c>
    </row>
    <row r="27" spans="1:18" x14ac:dyDescent="0.2">
      <c r="A27" s="135">
        <v>26</v>
      </c>
      <c r="B27" s="89" t="s">
        <v>99</v>
      </c>
      <c r="C27" s="89" t="s">
        <v>77</v>
      </c>
      <c r="D27" s="89" t="s">
        <v>26</v>
      </c>
      <c r="E27" s="3" t="s">
        <v>28</v>
      </c>
      <c r="F27" s="86">
        <f>+אוקטובר!F27+נובמבר!F27+דצמבר!F27</f>
        <v>20724.080000000002</v>
      </c>
      <c r="G27" s="86">
        <f>+אוקטובר!G27+נובמבר!G27+דצמבר!G27</f>
        <v>20604.23</v>
      </c>
      <c r="H27" s="86">
        <f>+אוקטובר!H27+נובמבר!H27+דצמבר!H27</f>
        <v>0</v>
      </c>
      <c r="I27" s="172">
        <f t="shared" si="3"/>
        <v>-1</v>
      </c>
      <c r="J27" s="86">
        <f t="shared" si="6"/>
        <v>-20604.23</v>
      </c>
      <c r="L27" s="86">
        <v>40000</v>
      </c>
      <c r="M27" s="172">
        <f t="shared" si="4"/>
        <v>-1</v>
      </c>
      <c r="N27" s="86">
        <f t="shared" si="7"/>
        <v>-40000</v>
      </c>
      <c r="P27" s="86">
        <f>'תקציב  '!AL29+'תקציב  '!AM29+'תקציב  '!AN29</f>
        <v>20000</v>
      </c>
      <c r="Q27" s="172">
        <f t="shared" si="5"/>
        <v>3.0211500000000058E-2</v>
      </c>
      <c r="R27" s="86">
        <f t="shared" si="8"/>
        <v>-20000</v>
      </c>
    </row>
    <row r="28" spans="1:18" ht="13.5" customHeight="1" x14ac:dyDescent="0.2">
      <c r="A28" s="135">
        <v>27</v>
      </c>
      <c r="B28" s="89" t="s">
        <v>100</v>
      </c>
      <c r="C28" s="89" t="s">
        <v>88</v>
      </c>
      <c r="D28" s="89" t="s">
        <v>22</v>
      </c>
      <c r="E28" s="3" t="s">
        <v>23</v>
      </c>
      <c r="F28" s="86">
        <f>+אוקטובר!F28+נובמבר!F28+דצמבר!F28</f>
        <v>198800.83000000002</v>
      </c>
      <c r="G28" s="86">
        <f>+אוקטובר!G28+נובמבר!G28+דצמבר!G28</f>
        <v>256771.88</v>
      </c>
      <c r="H28" s="86">
        <f>+אוקטובר!H28+נובמבר!H28+דצמבר!H28</f>
        <v>0</v>
      </c>
      <c r="I28" s="172">
        <f t="shared" si="3"/>
        <v>-1</v>
      </c>
      <c r="J28" s="86">
        <f t="shared" si="6"/>
        <v>-256771.88</v>
      </c>
      <c r="L28" s="86">
        <v>0</v>
      </c>
      <c r="M28" s="172" t="str">
        <f t="shared" si="4"/>
        <v/>
      </c>
      <c r="N28" s="86">
        <f t="shared" si="7"/>
        <v>0</v>
      </c>
      <c r="P28" s="86">
        <f>'תקציב  '!AL30+'תקציב  '!AM30+'תקציב  '!AN30</f>
        <v>100000</v>
      </c>
      <c r="Q28" s="172">
        <f t="shared" si="5"/>
        <v>1.5677188000000002</v>
      </c>
      <c r="R28" s="86">
        <f t="shared" si="8"/>
        <v>-100000</v>
      </c>
    </row>
    <row r="29" spans="1:18" ht="13.5" customHeight="1" x14ac:dyDescent="0.2">
      <c r="A29" s="135">
        <v>28</v>
      </c>
      <c r="B29" s="89" t="s">
        <v>101</v>
      </c>
      <c r="C29" s="89" t="s">
        <v>89</v>
      </c>
      <c r="D29" s="89" t="s">
        <v>16</v>
      </c>
      <c r="E29" s="3" t="s">
        <v>17</v>
      </c>
      <c r="F29" s="86">
        <f>+אוקטובר!F29+נובמבר!F29+דצמבר!F29</f>
        <v>62633.86</v>
      </c>
      <c r="G29" s="86">
        <f>+אוקטובר!G29+נובמבר!G29+דצמבר!G29</f>
        <v>106882.54000000001</v>
      </c>
      <c r="H29" s="86">
        <f>+אוקטובר!H29+נובמבר!H29+דצמבר!H29</f>
        <v>0</v>
      </c>
      <c r="I29" s="172">
        <f t="shared" si="3"/>
        <v>-1</v>
      </c>
      <c r="J29" s="86">
        <f t="shared" si="6"/>
        <v>-106882.54000000001</v>
      </c>
      <c r="L29" s="86">
        <v>119295.228</v>
      </c>
      <c r="M29" s="172">
        <f t="shared" si="4"/>
        <v>-1</v>
      </c>
      <c r="N29" s="86">
        <f t="shared" si="7"/>
        <v>-119295.228</v>
      </c>
      <c r="P29" s="86">
        <f>'תקציב  '!AL31+'תקציב  '!AM31+'תקציב  '!AN31</f>
        <v>75000</v>
      </c>
      <c r="Q29" s="172">
        <f t="shared" si="5"/>
        <v>0.42510053333333353</v>
      </c>
      <c r="R29" s="86">
        <f t="shared" si="8"/>
        <v>-75000</v>
      </c>
    </row>
    <row r="30" spans="1:18" x14ac:dyDescent="0.2">
      <c r="A30" s="135">
        <v>29</v>
      </c>
      <c r="B30" s="89" t="s">
        <v>102</v>
      </c>
      <c r="C30" s="89" t="s">
        <v>81</v>
      </c>
      <c r="D30" s="89" t="s">
        <v>29</v>
      </c>
      <c r="E30" s="3" t="s">
        <v>30</v>
      </c>
      <c r="F30" s="86">
        <f>+אוקטובר!F30+נובמבר!F30+דצמבר!F30</f>
        <v>3920.16</v>
      </c>
      <c r="G30" s="86">
        <f>+אוקטובר!G30+נובמבר!G30+דצמבר!G30</f>
        <v>32544.41</v>
      </c>
      <c r="H30" s="86">
        <f>+אוקטובר!H30+נובמבר!H30+דצמבר!H30</f>
        <v>0</v>
      </c>
      <c r="I30" s="172">
        <f t="shared" si="3"/>
        <v>-1</v>
      </c>
      <c r="J30" s="86">
        <f t="shared" si="6"/>
        <v>-32544.41</v>
      </c>
      <c r="L30" s="86">
        <v>35000</v>
      </c>
      <c r="M30" s="172">
        <f t="shared" si="4"/>
        <v>-1</v>
      </c>
      <c r="N30" s="86">
        <f t="shared" si="7"/>
        <v>-35000</v>
      </c>
      <c r="P30" s="86">
        <f>'תקציב  '!AL32+'תקציב  '!AM32+'תקציב  '!AN32</f>
        <v>30000</v>
      </c>
      <c r="Q30" s="172">
        <f t="shared" si="5"/>
        <v>8.4813666666666565E-2</v>
      </c>
      <c r="R30" s="86">
        <f t="shared" si="8"/>
        <v>-30000</v>
      </c>
    </row>
    <row r="31" spans="1:18" x14ac:dyDescent="0.2">
      <c r="A31" s="135">
        <v>30</v>
      </c>
      <c r="B31" s="89" t="s">
        <v>103</v>
      </c>
      <c r="C31" s="89" t="s">
        <v>76</v>
      </c>
      <c r="D31" s="89" t="s">
        <v>34</v>
      </c>
      <c r="E31" s="3" t="s">
        <v>30</v>
      </c>
      <c r="F31" s="86">
        <f>+אוקטובר!F31+נובמבר!F31+דצמבר!F31</f>
        <v>0</v>
      </c>
      <c r="G31" s="86">
        <f>+אוקטובר!G31+נובמבר!G31+דצמבר!G31</f>
        <v>22174.9</v>
      </c>
      <c r="H31" s="86">
        <f>+אוקטובר!H31+נובמבר!H31+דצמבר!H31</f>
        <v>0</v>
      </c>
      <c r="I31" s="172">
        <f t="shared" si="3"/>
        <v>-1</v>
      </c>
      <c r="J31" s="86">
        <f t="shared" si="6"/>
        <v>-22174.9</v>
      </c>
      <c r="L31" s="86">
        <v>19793</v>
      </c>
      <c r="M31" s="172">
        <f t="shared" si="4"/>
        <v>-1</v>
      </c>
      <c r="N31" s="86">
        <f t="shared" si="7"/>
        <v>-19793</v>
      </c>
      <c r="P31" s="86">
        <f>'תקציב  '!AL33+'תקציב  '!AM33+'תקציב  '!AN33</f>
        <v>0</v>
      </c>
      <c r="Q31" s="172" t="str">
        <f t="shared" si="5"/>
        <v/>
      </c>
      <c r="R31" s="86">
        <f t="shared" si="8"/>
        <v>0</v>
      </c>
    </row>
    <row r="32" spans="1:18" ht="13.5" customHeight="1" x14ac:dyDescent="0.2">
      <c r="A32" s="135">
        <v>31</v>
      </c>
      <c r="B32" s="89" t="s">
        <v>85</v>
      </c>
      <c r="C32" s="89" t="s">
        <v>85</v>
      </c>
      <c r="D32" s="89" t="s">
        <v>32</v>
      </c>
      <c r="E32" s="3" t="s">
        <v>33</v>
      </c>
      <c r="F32" s="86">
        <f>+אוקטובר!F32+נובמבר!F32+דצמבר!F32</f>
        <v>0</v>
      </c>
      <c r="G32" s="86">
        <f>+אוקטובר!G32+נובמבר!G32+דצמבר!G32</f>
        <v>0</v>
      </c>
      <c r="H32" s="86">
        <f>+אוקטובר!H32+נובמבר!H32+דצמבר!H32</f>
        <v>0</v>
      </c>
      <c r="I32" s="172" t="str">
        <f t="shared" si="3"/>
        <v/>
      </c>
      <c r="J32" s="86">
        <f t="shared" si="6"/>
        <v>0</v>
      </c>
      <c r="L32" s="86">
        <v>0</v>
      </c>
      <c r="M32" s="172" t="str">
        <f t="shared" si="4"/>
        <v/>
      </c>
      <c r="N32" s="86">
        <f t="shared" si="7"/>
        <v>0</v>
      </c>
      <c r="P32" s="86">
        <f>'תקציב  '!AL34+'תקציב  '!AM34+'תקציב  '!AN34</f>
        <v>0</v>
      </c>
      <c r="Q32" s="172" t="str">
        <f t="shared" si="5"/>
        <v/>
      </c>
      <c r="R32" s="86">
        <f t="shared" si="8"/>
        <v>0</v>
      </c>
    </row>
    <row r="33" spans="1:18" ht="13.5" customHeight="1" x14ac:dyDescent="0.2">
      <c r="A33" s="135"/>
      <c r="B33" s="89"/>
      <c r="C33" s="89"/>
      <c r="D33" s="89" t="s">
        <v>11</v>
      </c>
      <c r="E33" s="3" t="s">
        <v>12</v>
      </c>
      <c r="F33" s="86">
        <f>+אוקטובר!F33+נובמבר!F33+דצמבר!F33</f>
        <v>0</v>
      </c>
      <c r="G33" s="86">
        <f>+אוקטובר!G33+נובמבר!G33+דצמבר!G33</f>
        <v>0</v>
      </c>
      <c r="H33" s="86">
        <f>+אוקטובר!H33+נובמבר!H33+דצמבר!H33</f>
        <v>0</v>
      </c>
      <c r="I33" s="172" t="str">
        <f t="shared" si="3"/>
        <v/>
      </c>
      <c r="J33" s="86">
        <f t="shared" si="6"/>
        <v>0</v>
      </c>
      <c r="L33" s="86">
        <v>0</v>
      </c>
      <c r="M33" s="172" t="str">
        <f t="shared" si="4"/>
        <v/>
      </c>
      <c r="N33" s="86">
        <f t="shared" si="7"/>
        <v>0</v>
      </c>
      <c r="P33" s="86"/>
      <c r="Q33" s="172"/>
      <c r="R33" s="86"/>
    </row>
    <row r="34" spans="1:18" ht="13.5" customHeight="1" x14ac:dyDescent="0.2">
      <c r="A34" s="135">
        <v>32</v>
      </c>
      <c r="B34" s="89" t="s">
        <v>104</v>
      </c>
      <c r="C34" s="89" t="s">
        <v>86</v>
      </c>
      <c r="D34" s="89" t="s">
        <v>31</v>
      </c>
      <c r="E34" s="3" t="s">
        <v>49</v>
      </c>
      <c r="F34" s="86">
        <f>+אוקטובר!F34+נובמבר!F34+דצמבר!F34</f>
        <v>0</v>
      </c>
      <c r="G34" s="86">
        <f>+אוקטובר!G34+נובמבר!G34+דצמבר!G34</f>
        <v>0</v>
      </c>
      <c r="H34" s="86">
        <f>+אוקטובר!H34+נובמבר!H34+דצמבר!H34</f>
        <v>0</v>
      </c>
      <c r="I34" s="172" t="str">
        <f t="shared" si="3"/>
        <v/>
      </c>
      <c r="J34" s="86">
        <f t="shared" si="6"/>
        <v>0</v>
      </c>
      <c r="L34" s="86">
        <v>0</v>
      </c>
      <c r="M34" s="172" t="str">
        <f t="shared" si="4"/>
        <v/>
      </c>
      <c r="N34" s="86">
        <f t="shared" si="7"/>
        <v>0</v>
      </c>
      <c r="P34" s="86">
        <f>'תקציב  '!AL35+'תקציב  '!AM35+'תקציב  '!AN35</f>
        <v>0</v>
      </c>
      <c r="Q34" s="172"/>
      <c r="R34" s="86"/>
    </row>
    <row r="35" spans="1:18" ht="13.5" customHeight="1" x14ac:dyDescent="0.2">
      <c r="A35" s="135">
        <v>33</v>
      </c>
      <c r="B35" s="89" t="s">
        <v>105</v>
      </c>
      <c r="C35" s="89" t="s">
        <v>83</v>
      </c>
      <c r="D35" s="89" t="s">
        <v>84</v>
      </c>
      <c r="E35" s="3" t="s">
        <v>48</v>
      </c>
      <c r="F35" s="86">
        <f>+אוקטובר!F35+נובמבר!F35+דצמבר!F35</f>
        <v>0</v>
      </c>
      <c r="G35" s="86">
        <f>+אוקטובר!G35+נובמבר!G35+דצמבר!G35</f>
        <v>23331.65</v>
      </c>
      <c r="H35" s="86">
        <f>+אוקטובר!H35+נובמבר!H35+דצמבר!H35</f>
        <v>0</v>
      </c>
      <c r="I35" s="172">
        <f t="shared" si="3"/>
        <v>-1</v>
      </c>
      <c r="J35" s="86">
        <f t="shared" si="6"/>
        <v>-23331.65</v>
      </c>
      <c r="L35" s="86">
        <v>40000</v>
      </c>
      <c r="M35" s="172">
        <f t="shared" si="4"/>
        <v>-1</v>
      </c>
      <c r="N35" s="86">
        <f t="shared" si="7"/>
        <v>-40000</v>
      </c>
      <c r="P35" s="86">
        <f>'תקציב  '!AL36+'תקציב  '!AM36+'תקציב  '!AN36</f>
        <v>25000</v>
      </c>
      <c r="Q35" s="172"/>
      <c r="R35" s="86"/>
    </row>
    <row r="36" spans="1:18" x14ac:dyDescent="0.2">
      <c r="A36" s="135"/>
      <c r="B36" s="89" t="s">
        <v>107</v>
      </c>
      <c r="C36" s="89" t="s">
        <v>107</v>
      </c>
      <c r="D36" s="89" t="s">
        <v>37</v>
      </c>
      <c r="E36" s="3" t="s">
        <v>17</v>
      </c>
      <c r="F36" s="86">
        <f>+אוקטובר!F36+נובמבר!F36+דצמבר!F36</f>
        <v>0</v>
      </c>
      <c r="G36" s="86">
        <f>+אוקטובר!G36+נובמבר!G36+דצמבר!G36</f>
        <v>0</v>
      </c>
      <c r="H36" s="86">
        <f>+אוקטובר!H36+נובמבר!H36+דצמבר!H36</f>
        <v>0</v>
      </c>
      <c r="I36" s="172" t="str">
        <f t="shared" si="3"/>
        <v/>
      </c>
      <c r="J36" s="86">
        <f t="shared" si="6"/>
        <v>0</v>
      </c>
      <c r="L36" s="86">
        <v>0</v>
      </c>
      <c r="M36" s="172" t="str">
        <f t="shared" si="4"/>
        <v/>
      </c>
      <c r="N36" s="86">
        <f t="shared" si="7"/>
        <v>0</v>
      </c>
      <c r="P36" s="86"/>
      <c r="Q36" s="172"/>
      <c r="R36" s="86"/>
    </row>
    <row r="37" spans="1:18" x14ac:dyDescent="0.2">
      <c r="A37" s="135">
        <v>34</v>
      </c>
      <c r="B37" s="89" t="s">
        <v>108</v>
      </c>
      <c r="C37" s="89" t="s">
        <v>108</v>
      </c>
      <c r="D37" s="89" t="s">
        <v>35</v>
      </c>
      <c r="E37" s="3" t="s">
        <v>36</v>
      </c>
      <c r="F37" s="86">
        <f>+אוקטובר!F37+נובמבר!F37+דצמבר!F37</f>
        <v>0</v>
      </c>
      <c r="G37" s="86">
        <f>+אוקטובר!G37+נובמבר!G37+דצמבר!G37</f>
        <v>0</v>
      </c>
      <c r="H37" s="86">
        <f>+אוקטובר!H37+נובמבר!H37+דצמבר!H37</f>
        <v>0</v>
      </c>
      <c r="I37" s="172" t="str">
        <f t="shared" si="3"/>
        <v/>
      </c>
      <c r="J37" s="86">
        <f t="shared" si="6"/>
        <v>0</v>
      </c>
      <c r="L37" s="86">
        <v>0</v>
      </c>
      <c r="M37" s="172" t="str">
        <f t="shared" si="4"/>
        <v/>
      </c>
      <c r="N37" s="86">
        <f t="shared" si="7"/>
        <v>0</v>
      </c>
      <c r="P37" s="86">
        <f>'תקציב  '!AL37+'תקציב  '!AM37+'תקציב  '!AN37</f>
        <v>0</v>
      </c>
      <c r="Q37" s="172"/>
      <c r="R37" s="86"/>
    </row>
    <row r="38" spans="1:18" ht="13.5" customHeight="1" x14ac:dyDescent="0.2">
      <c r="A38" s="135">
        <v>35</v>
      </c>
      <c r="B38" s="89" t="s">
        <v>109</v>
      </c>
      <c r="C38" s="89" t="s">
        <v>109</v>
      </c>
      <c r="D38" s="89" t="s">
        <v>70</v>
      </c>
      <c r="E38" s="3" t="s">
        <v>38</v>
      </c>
      <c r="F38" s="86">
        <f>+אוקטובר!F38+נובמבר!F38+דצמבר!F38</f>
        <v>161576.19</v>
      </c>
      <c r="G38" s="86">
        <f>+אוקטובר!G38+נובמבר!G38+דצמבר!G38</f>
        <v>0</v>
      </c>
      <c r="H38" s="86">
        <f>+אוקטובר!H38+נובמבר!H38+דצמבר!H38</f>
        <v>0</v>
      </c>
      <c r="I38" s="172" t="str">
        <f t="shared" si="3"/>
        <v/>
      </c>
      <c r="J38" s="86">
        <f t="shared" si="6"/>
        <v>0</v>
      </c>
      <c r="L38" s="86">
        <v>200000</v>
      </c>
      <c r="M38" s="172">
        <f t="shared" si="4"/>
        <v>-1</v>
      </c>
      <c r="N38" s="86">
        <f t="shared" si="7"/>
        <v>-200000</v>
      </c>
      <c r="P38" s="86">
        <f>'תקציב  '!AL38+'תקציב  '!AM38+'תקציב  '!AN38</f>
        <v>0</v>
      </c>
      <c r="Q38" s="172"/>
      <c r="R38" s="86"/>
    </row>
    <row r="39" spans="1:18" ht="13.5" customHeight="1" x14ac:dyDescent="0.2">
      <c r="A39" s="135">
        <v>36</v>
      </c>
      <c r="B39" s="89"/>
      <c r="C39" s="89" t="s">
        <v>91</v>
      </c>
      <c r="D39" s="89" t="s">
        <v>91</v>
      </c>
      <c r="E39" s="3"/>
      <c r="F39" s="86">
        <f>+אוקטובר!F39+נובמבר!F39+דצמבר!F39</f>
        <v>0</v>
      </c>
      <c r="G39" s="86">
        <f>+אוקטובר!G39+נובמבר!G39+דצמבר!G39</f>
        <v>0</v>
      </c>
      <c r="H39" s="86">
        <f>+אוקטובר!H39+נובמבר!H39+דצמבר!H39</f>
        <v>0</v>
      </c>
      <c r="I39" s="172" t="str">
        <f t="shared" si="3"/>
        <v/>
      </c>
      <c r="J39" s="86">
        <f t="shared" si="6"/>
        <v>0</v>
      </c>
      <c r="L39" s="86">
        <v>200000</v>
      </c>
      <c r="M39" s="172">
        <f t="shared" si="4"/>
        <v>-1</v>
      </c>
      <c r="N39" s="86">
        <f t="shared" si="7"/>
        <v>-200000</v>
      </c>
      <c r="P39" s="86">
        <f>'תקציב  '!AL39+'תקציב  '!AM39+'תקציב  '!AN39</f>
        <v>100000</v>
      </c>
      <c r="Q39" s="172"/>
      <c r="R39" s="86"/>
    </row>
    <row r="40" spans="1:18" ht="15" x14ac:dyDescent="0.25">
      <c r="A40" s="135"/>
      <c r="B40" s="157"/>
      <c r="C40" s="157" t="s">
        <v>42</v>
      </c>
      <c r="D40" s="157" t="s">
        <v>42</v>
      </c>
      <c r="E40" s="157"/>
      <c r="F40" s="157">
        <f>SUM(F20:F39)</f>
        <v>1853058.6400000001</v>
      </c>
      <c r="G40" s="157">
        <f>SUM(G20:G39)</f>
        <v>1740109.3299999998</v>
      </c>
      <c r="H40" s="157">
        <f>SUM(H20:H39)</f>
        <v>0</v>
      </c>
      <c r="I40" s="97">
        <f t="shared" si="3"/>
        <v>-1</v>
      </c>
      <c r="J40" s="157">
        <f>SUM(J20:J39)</f>
        <v>-1740109.3299999998</v>
      </c>
      <c r="L40" s="157">
        <v>2676627.3571500001</v>
      </c>
      <c r="M40" s="97">
        <f t="shared" si="4"/>
        <v>-1</v>
      </c>
      <c r="N40" s="157">
        <f>SUM(N20:N39)</f>
        <v>-2676627.3571500001</v>
      </c>
      <c r="P40" s="157">
        <f>SUM(P20:P39)</f>
        <v>2130572.1</v>
      </c>
      <c r="Q40" s="97">
        <f t="shared" si="5"/>
        <v>-0.18326663059184911</v>
      </c>
      <c r="R40" s="157">
        <f>SUM(R20:R39)</f>
        <v>-2005572.1</v>
      </c>
    </row>
    <row r="41" spans="1:18" ht="15" x14ac:dyDescent="0.25">
      <c r="A41" s="135"/>
      <c r="B41" s="159"/>
      <c r="C41" s="159" t="s">
        <v>69</v>
      </c>
      <c r="D41" s="159" t="s">
        <v>69</v>
      </c>
      <c r="E41" s="159"/>
      <c r="F41" s="159">
        <f>F40+F19</f>
        <v>5991738.1239999998</v>
      </c>
      <c r="G41" s="159">
        <f>G40+G19</f>
        <v>6153613.7499999991</v>
      </c>
      <c r="H41" s="159">
        <f>H40+H19</f>
        <v>20995.200000000001</v>
      </c>
      <c r="I41" s="50">
        <f t="shared" si="3"/>
        <v>-0.9965881511493957</v>
      </c>
      <c r="J41" s="159">
        <f>J40+J19</f>
        <v>-6132618.5499999989</v>
      </c>
      <c r="L41" s="159">
        <v>12494120.910511581</v>
      </c>
      <c r="M41" s="50">
        <f t="shared" si="4"/>
        <v>-0.99831959365925971</v>
      </c>
      <c r="N41" s="159">
        <f>N40+N19</f>
        <v>-12473125.710511582</v>
      </c>
      <c r="P41" s="159">
        <f>P40+P19</f>
        <v>10553450.066101694</v>
      </c>
      <c r="Q41" s="50">
        <f t="shared" si="5"/>
        <v>-0.41690975828219723</v>
      </c>
      <c r="R41" s="159">
        <f>R40+R19</f>
        <v>-10407454.866101695</v>
      </c>
    </row>
    <row r="42" spans="1:18" ht="15" x14ac:dyDescent="0.25">
      <c r="B42" s="177"/>
      <c r="C42" s="177" t="s">
        <v>43</v>
      </c>
      <c r="D42" s="177" t="s">
        <v>43</v>
      </c>
      <c r="E42" s="178"/>
      <c r="F42" s="179">
        <f>F40/F41</f>
        <v>0.30926896363803769</v>
      </c>
      <c r="G42" s="179">
        <f>G40/G41</f>
        <v>0.28277844542972819</v>
      </c>
      <c r="H42" s="179">
        <f>H40/H41</f>
        <v>0</v>
      </c>
      <c r="I42" s="179">
        <f t="shared" si="3"/>
        <v>-1</v>
      </c>
      <c r="J42" s="179"/>
      <c r="L42" s="179"/>
      <c r="M42" s="179"/>
      <c r="N42" s="179"/>
      <c r="P42" s="179"/>
      <c r="Q42" s="179"/>
      <c r="R42" s="179"/>
    </row>
    <row r="43" spans="1:18" x14ac:dyDescent="0.2">
      <c r="F43">
        <f>F41-אוקטובר!F41-נובמבר!F41-דצמבר!F41</f>
        <v>0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6396-3891-400F-A110-D46ED0A8FF0D}">
  <dimension ref="A1:H2083"/>
  <sheetViews>
    <sheetView rightToLeft="1" workbookViewId="0">
      <selection activeCell="H2075" sqref="H2075"/>
    </sheetView>
  </sheetViews>
  <sheetFormatPr defaultRowHeight="14.25" x14ac:dyDescent="0.2"/>
  <cols>
    <col min="1" max="1" width="33.375" bestFit="1" customWidth="1"/>
    <col min="2" max="2" width="21.625" bestFit="1" customWidth="1"/>
    <col min="3" max="3" width="11.875" bestFit="1" customWidth="1"/>
    <col min="4" max="4" width="8.5" bestFit="1" customWidth="1"/>
    <col min="5" max="5" width="6.875" bestFit="1" customWidth="1"/>
    <col min="8" max="8" width="11.875" bestFit="1" customWidth="1"/>
  </cols>
  <sheetData>
    <row r="1" spans="1:5" ht="15.75" x14ac:dyDescent="0.25">
      <c r="A1" s="281" t="s">
        <v>245</v>
      </c>
      <c r="B1" s="281"/>
      <c r="C1" s="281"/>
      <c r="D1" s="281"/>
      <c r="E1" s="281"/>
    </row>
    <row r="2" spans="1:5" ht="15.75" x14ac:dyDescent="0.25">
      <c r="A2" s="281" t="s">
        <v>246</v>
      </c>
      <c r="B2" s="281"/>
      <c r="C2" s="281"/>
      <c r="D2" s="281"/>
      <c r="E2" s="281"/>
    </row>
    <row r="3" spans="1:5" ht="18" x14ac:dyDescent="0.25">
      <c r="A3" s="280" t="s">
        <v>247</v>
      </c>
      <c r="B3" s="280"/>
      <c r="C3" s="280"/>
      <c r="D3" s="280"/>
      <c r="E3" s="280"/>
    </row>
    <row r="4" spans="1:5" ht="18" x14ac:dyDescent="0.25">
      <c r="A4" s="280" t="s">
        <v>248</v>
      </c>
      <c r="B4" s="280"/>
      <c r="C4" s="280"/>
      <c r="D4" s="280"/>
      <c r="E4" s="280"/>
    </row>
    <row r="5" spans="1:5" ht="18" x14ac:dyDescent="0.25">
      <c r="A5" s="280" t="s">
        <v>249</v>
      </c>
      <c r="B5" s="280"/>
      <c r="C5" s="280"/>
      <c r="D5" s="280"/>
      <c r="E5" s="280"/>
    </row>
    <row r="6" spans="1:5" ht="18" x14ac:dyDescent="0.25">
      <c r="A6" s="280" t="s">
        <v>249</v>
      </c>
      <c r="B6" s="280"/>
      <c r="C6" s="280"/>
      <c r="D6" s="280"/>
      <c r="E6" s="280"/>
    </row>
    <row r="7" spans="1:5" x14ac:dyDescent="0.2">
      <c r="A7" s="243" t="s">
        <v>133</v>
      </c>
      <c r="B7" s="243" t="s">
        <v>250</v>
      </c>
      <c r="C7" s="243" t="s">
        <v>251</v>
      </c>
      <c r="D7" s="244" t="s">
        <v>122</v>
      </c>
      <c r="E7" s="244" t="s">
        <v>252</v>
      </c>
    </row>
    <row r="8" spans="1:5" x14ac:dyDescent="0.2">
      <c r="A8" s="245" t="s">
        <v>121</v>
      </c>
      <c r="B8" s="246"/>
      <c r="C8" s="246"/>
      <c r="D8" s="247">
        <v>56623.889999999992</v>
      </c>
      <c r="E8" s="248">
        <v>636</v>
      </c>
    </row>
    <row r="9" spans="1:5" hidden="1" x14ac:dyDescent="0.2">
      <c r="A9" s="249" t="s">
        <v>253</v>
      </c>
      <c r="B9" s="246"/>
      <c r="C9" s="246" t="s">
        <v>254</v>
      </c>
      <c r="D9" s="247">
        <v>1620.02</v>
      </c>
      <c r="E9" s="248">
        <v>9</v>
      </c>
    </row>
    <row r="10" spans="1:5" hidden="1" x14ac:dyDescent="0.2">
      <c r="A10" s="249" t="s">
        <v>255</v>
      </c>
      <c r="B10" s="246"/>
      <c r="C10" s="246" t="s">
        <v>256</v>
      </c>
      <c r="D10" s="247">
        <v>1200.01</v>
      </c>
      <c r="E10" s="248">
        <v>12</v>
      </c>
    </row>
    <row r="11" spans="1:5" hidden="1" x14ac:dyDescent="0.2">
      <c r="A11" s="250" t="s">
        <v>257</v>
      </c>
      <c r="B11" s="246"/>
      <c r="C11" s="246"/>
      <c r="D11" s="247"/>
      <c r="E11" s="248"/>
    </row>
    <row r="12" spans="1:5" hidden="1" x14ac:dyDescent="0.2">
      <c r="A12" s="251"/>
      <c r="B12" s="246"/>
      <c r="C12" s="246" t="s">
        <v>258</v>
      </c>
      <c r="D12" s="247">
        <v>1508.15</v>
      </c>
      <c r="E12" s="248">
        <v>34</v>
      </c>
    </row>
    <row r="13" spans="1:5" hidden="1" x14ac:dyDescent="0.2">
      <c r="A13" s="251"/>
      <c r="B13" s="246"/>
      <c r="C13" s="246" t="s">
        <v>259</v>
      </c>
      <c r="D13" s="247">
        <v>1162.03</v>
      </c>
      <c r="E13" s="248">
        <v>17</v>
      </c>
    </row>
    <row r="14" spans="1:5" hidden="1" x14ac:dyDescent="0.2">
      <c r="A14" s="252" t="s">
        <v>260</v>
      </c>
      <c r="B14" s="253"/>
      <c r="C14" s="253"/>
      <c r="D14" s="254">
        <f>SUM(D12:D13)</f>
        <v>2670.1800000000003</v>
      </c>
      <c r="E14" s="255"/>
    </row>
    <row r="15" spans="1:5" hidden="1" x14ac:dyDescent="0.2">
      <c r="A15" s="250" t="s">
        <v>261</v>
      </c>
      <c r="B15" s="246"/>
      <c r="C15" s="246"/>
      <c r="D15" s="247"/>
      <c r="E15" s="248"/>
    </row>
    <row r="16" spans="1:5" hidden="1" x14ac:dyDescent="0.2">
      <c r="A16" s="251"/>
      <c r="B16" s="246"/>
      <c r="C16" s="246" t="s">
        <v>262</v>
      </c>
      <c r="D16" s="247">
        <v>692.29</v>
      </c>
      <c r="E16" s="248">
        <v>6</v>
      </c>
    </row>
    <row r="17" spans="1:5" hidden="1" x14ac:dyDescent="0.2">
      <c r="A17" s="251"/>
      <c r="B17" s="246"/>
      <c r="C17" s="246" t="s">
        <v>263</v>
      </c>
      <c r="D17" s="247">
        <v>666</v>
      </c>
      <c r="E17" s="248">
        <v>3</v>
      </c>
    </row>
    <row r="18" spans="1:5" hidden="1" x14ac:dyDescent="0.2">
      <c r="A18" s="252" t="s">
        <v>264</v>
      </c>
      <c r="B18" s="253"/>
      <c r="C18" s="253"/>
      <c r="D18" s="254">
        <f>SUM(D16:D17)</f>
        <v>1358.29</v>
      </c>
      <c r="E18" s="255"/>
    </row>
    <row r="19" spans="1:5" hidden="1" x14ac:dyDescent="0.2">
      <c r="A19" s="249" t="s">
        <v>265</v>
      </c>
      <c r="B19" s="246"/>
      <c r="C19" s="246" t="s">
        <v>266</v>
      </c>
      <c r="D19" s="247">
        <v>3311.71</v>
      </c>
      <c r="E19" s="248">
        <v>34</v>
      </c>
    </row>
    <row r="20" spans="1:5" hidden="1" x14ac:dyDescent="0.2">
      <c r="A20" s="249" t="s">
        <v>267</v>
      </c>
      <c r="B20" s="246"/>
      <c r="C20" s="246" t="s">
        <v>268</v>
      </c>
      <c r="D20" s="247">
        <v>500</v>
      </c>
      <c r="E20" s="248">
        <v>3</v>
      </c>
    </row>
    <row r="21" spans="1:5" hidden="1" x14ac:dyDescent="0.2">
      <c r="A21" s="249" t="s">
        <v>269</v>
      </c>
      <c r="B21" s="246"/>
      <c r="C21" s="246" t="s">
        <v>270</v>
      </c>
      <c r="D21" s="247">
        <v>1890.9</v>
      </c>
      <c r="E21" s="248">
        <v>19</v>
      </c>
    </row>
    <row r="22" spans="1:5" hidden="1" x14ac:dyDescent="0.2">
      <c r="A22" s="250" t="s">
        <v>271</v>
      </c>
      <c r="B22" s="246"/>
      <c r="C22" s="246"/>
      <c r="D22" s="247"/>
      <c r="E22" s="248"/>
    </row>
    <row r="23" spans="1:5" hidden="1" x14ac:dyDescent="0.2">
      <c r="A23" s="251"/>
      <c r="B23" s="246"/>
      <c r="C23" s="246" t="s">
        <v>272</v>
      </c>
      <c r="D23" s="247">
        <v>1351.22</v>
      </c>
      <c r="E23" s="248">
        <v>13</v>
      </c>
    </row>
    <row r="24" spans="1:5" hidden="1" x14ac:dyDescent="0.2">
      <c r="A24" s="251"/>
      <c r="B24" s="246"/>
      <c r="C24" s="246" t="s">
        <v>273</v>
      </c>
      <c r="D24" s="247">
        <v>1328.39</v>
      </c>
      <c r="E24" s="248">
        <v>36</v>
      </c>
    </row>
    <row r="25" spans="1:5" hidden="1" x14ac:dyDescent="0.2">
      <c r="A25" s="251"/>
      <c r="B25" s="246"/>
      <c r="C25" s="246" t="s">
        <v>274</v>
      </c>
      <c r="D25" s="247">
        <v>656.05</v>
      </c>
      <c r="E25" s="248">
        <v>8</v>
      </c>
    </row>
    <row r="26" spans="1:5" hidden="1" x14ac:dyDescent="0.2">
      <c r="A26" s="252" t="s">
        <v>275</v>
      </c>
      <c r="B26" s="253"/>
      <c r="C26" s="253"/>
      <c r="D26" s="254">
        <f>SUM(D23:D25)</f>
        <v>3335.66</v>
      </c>
      <c r="E26" s="255"/>
    </row>
    <row r="27" spans="1:5" hidden="1" x14ac:dyDescent="0.2">
      <c r="A27" s="250" t="s">
        <v>276</v>
      </c>
      <c r="B27" s="246"/>
      <c r="C27" s="246"/>
      <c r="D27" s="247"/>
      <c r="E27" s="248"/>
    </row>
    <row r="28" spans="1:5" hidden="1" x14ac:dyDescent="0.2">
      <c r="A28" s="251"/>
      <c r="B28" s="246"/>
      <c r="C28" s="246" t="s">
        <v>277</v>
      </c>
      <c r="D28" s="247">
        <v>1062.19</v>
      </c>
      <c r="E28" s="248">
        <v>19</v>
      </c>
    </row>
    <row r="29" spans="1:5" hidden="1" x14ac:dyDescent="0.2">
      <c r="A29" s="251"/>
      <c r="B29" s="246"/>
      <c r="C29" s="246" t="s">
        <v>278</v>
      </c>
      <c r="D29" s="247">
        <v>584.84</v>
      </c>
      <c r="E29" s="248">
        <v>8</v>
      </c>
    </row>
    <row r="30" spans="1:5" hidden="1" x14ac:dyDescent="0.2">
      <c r="A30" s="252" t="s">
        <v>279</v>
      </c>
      <c r="B30" s="253"/>
      <c r="C30" s="253"/>
      <c r="D30" s="254">
        <f>SUM(D28:D29)</f>
        <v>1647.0300000000002</v>
      </c>
      <c r="E30" s="255"/>
    </row>
    <row r="31" spans="1:5" hidden="1" x14ac:dyDescent="0.2">
      <c r="A31" s="249" t="s">
        <v>280</v>
      </c>
      <c r="B31" s="246"/>
      <c r="C31" s="246" t="s">
        <v>281</v>
      </c>
      <c r="D31" s="247">
        <v>3745.05</v>
      </c>
      <c r="E31" s="248">
        <v>30</v>
      </c>
    </row>
    <row r="32" spans="1:5" hidden="1" x14ac:dyDescent="0.2">
      <c r="A32" s="249" t="s">
        <v>282</v>
      </c>
      <c r="B32" s="246"/>
      <c r="C32" s="246" t="s">
        <v>283</v>
      </c>
      <c r="D32" s="247">
        <v>770</v>
      </c>
      <c r="E32" s="248">
        <v>3</v>
      </c>
    </row>
    <row r="33" spans="1:5" hidden="1" x14ac:dyDescent="0.2">
      <c r="A33" s="249" t="s">
        <v>284</v>
      </c>
      <c r="B33" s="246"/>
      <c r="C33" s="246" t="s">
        <v>285</v>
      </c>
      <c r="D33" s="247">
        <v>203.38</v>
      </c>
      <c r="E33" s="248">
        <v>1</v>
      </c>
    </row>
    <row r="34" spans="1:5" hidden="1" x14ac:dyDescent="0.2">
      <c r="A34" s="249" t="s">
        <v>286</v>
      </c>
      <c r="B34" s="246"/>
      <c r="C34" s="246" t="s">
        <v>287</v>
      </c>
      <c r="D34" s="247">
        <v>949.18</v>
      </c>
      <c r="E34" s="248">
        <v>11</v>
      </c>
    </row>
    <row r="35" spans="1:5" hidden="1" x14ac:dyDescent="0.2">
      <c r="A35" s="250" t="s">
        <v>288</v>
      </c>
      <c r="B35" s="246"/>
      <c r="C35" s="246"/>
      <c r="D35" s="247"/>
      <c r="E35" s="248"/>
    </row>
    <row r="36" spans="1:5" hidden="1" x14ac:dyDescent="0.2">
      <c r="A36" s="251"/>
      <c r="B36" s="246"/>
      <c r="C36" s="246" t="s">
        <v>289</v>
      </c>
      <c r="D36" s="247">
        <v>4014</v>
      </c>
      <c r="E36" s="248">
        <v>59</v>
      </c>
    </row>
    <row r="37" spans="1:5" hidden="1" x14ac:dyDescent="0.2">
      <c r="A37" s="251"/>
      <c r="B37" s="246"/>
      <c r="C37" s="246" t="s">
        <v>290</v>
      </c>
      <c r="D37" s="247">
        <v>2552.2800000000002</v>
      </c>
      <c r="E37" s="248">
        <v>20</v>
      </c>
    </row>
    <row r="38" spans="1:5" hidden="1" x14ac:dyDescent="0.2">
      <c r="A38" s="251"/>
      <c r="B38" s="246"/>
      <c r="C38" s="246" t="s">
        <v>291</v>
      </c>
      <c r="D38" s="247">
        <v>1208.26</v>
      </c>
      <c r="E38" s="248">
        <v>26</v>
      </c>
    </row>
    <row r="39" spans="1:5" hidden="1" x14ac:dyDescent="0.2">
      <c r="A39" s="251"/>
      <c r="B39" s="246"/>
      <c r="C39" s="246" t="s">
        <v>292</v>
      </c>
      <c r="D39" s="247">
        <v>-321.5</v>
      </c>
      <c r="E39" s="248">
        <v>-1</v>
      </c>
    </row>
    <row r="40" spans="1:5" hidden="1" x14ac:dyDescent="0.2">
      <c r="A40" s="252" t="s">
        <v>293</v>
      </c>
      <c r="B40" s="253"/>
      <c r="C40" s="253"/>
      <c r="D40" s="254">
        <f>SUM(D36:D39)</f>
        <v>7453.0400000000009</v>
      </c>
      <c r="E40" s="255"/>
    </row>
    <row r="41" spans="1:5" hidden="1" x14ac:dyDescent="0.2">
      <c r="A41" s="249" t="s">
        <v>294</v>
      </c>
      <c r="B41" s="246"/>
      <c r="C41" s="246" t="s">
        <v>295</v>
      </c>
      <c r="D41" s="247">
        <v>1110</v>
      </c>
      <c r="E41" s="248">
        <v>5</v>
      </c>
    </row>
    <row r="42" spans="1:5" hidden="1" x14ac:dyDescent="0.2">
      <c r="A42" s="249" t="s">
        <v>296</v>
      </c>
      <c r="B42" s="246"/>
      <c r="C42" s="246" t="s">
        <v>297</v>
      </c>
      <c r="D42" s="247">
        <v>885.85</v>
      </c>
      <c r="E42" s="248">
        <v>25</v>
      </c>
    </row>
    <row r="43" spans="1:5" hidden="1" x14ac:dyDescent="0.2">
      <c r="A43" s="250" t="s">
        <v>298</v>
      </c>
      <c r="B43" s="246"/>
      <c r="C43" s="246"/>
      <c r="D43" s="247"/>
      <c r="E43" s="248"/>
    </row>
    <row r="44" spans="1:5" hidden="1" x14ac:dyDescent="0.2">
      <c r="A44" s="251"/>
      <c r="B44" s="246"/>
      <c r="C44" s="246" t="s">
        <v>299</v>
      </c>
      <c r="D44" s="247">
        <v>1552.09</v>
      </c>
      <c r="E44" s="248">
        <v>10</v>
      </c>
    </row>
    <row r="45" spans="1:5" hidden="1" x14ac:dyDescent="0.2">
      <c r="A45" s="251"/>
      <c r="B45" s="246"/>
      <c r="C45" s="246" t="s">
        <v>300</v>
      </c>
      <c r="D45" s="247">
        <v>1379.6</v>
      </c>
      <c r="E45" s="248">
        <v>7</v>
      </c>
    </row>
    <row r="46" spans="1:5" hidden="1" x14ac:dyDescent="0.2">
      <c r="A46" s="252" t="s">
        <v>301</v>
      </c>
      <c r="B46" s="253"/>
      <c r="C46" s="253"/>
      <c r="D46" s="254">
        <f>SUM(D44:D45)</f>
        <v>2931.6899999999996</v>
      </c>
      <c r="E46" s="255"/>
    </row>
    <row r="47" spans="1:5" hidden="1" x14ac:dyDescent="0.2">
      <c r="A47" s="249" t="s">
        <v>302</v>
      </c>
      <c r="B47" s="246"/>
      <c r="C47" s="246" t="s">
        <v>303</v>
      </c>
      <c r="D47" s="247">
        <v>593.77</v>
      </c>
      <c r="E47" s="248">
        <v>8</v>
      </c>
    </row>
    <row r="48" spans="1:5" hidden="1" x14ac:dyDescent="0.2">
      <c r="A48" s="249" t="s">
        <v>304</v>
      </c>
      <c r="B48" s="246"/>
      <c r="C48" s="246" t="s">
        <v>305</v>
      </c>
      <c r="D48" s="247">
        <v>315.45</v>
      </c>
      <c r="E48" s="248">
        <v>11</v>
      </c>
    </row>
    <row r="49" spans="1:5" hidden="1" x14ac:dyDescent="0.2">
      <c r="A49" s="249" t="s">
        <v>306</v>
      </c>
      <c r="B49" s="246"/>
      <c r="C49" s="246" t="s">
        <v>307</v>
      </c>
      <c r="D49" s="247">
        <v>1749.62</v>
      </c>
      <c r="E49" s="248">
        <v>24</v>
      </c>
    </row>
    <row r="50" spans="1:5" hidden="1" x14ac:dyDescent="0.2">
      <c r="A50" s="249" t="s">
        <v>308</v>
      </c>
      <c r="B50" s="246"/>
      <c r="C50" s="246" t="s">
        <v>309</v>
      </c>
      <c r="D50" s="247">
        <v>433.29</v>
      </c>
      <c r="E50" s="248">
        <v>6</v>
      </c>
    </row>
    <row r="51" spans="1:5" hidden="1" x14ac:dyDescent="0.2">
      <c r="A51" s="250" t="s">
        <v>310</v>
      </c>
      <c r="B51" s="246"/>
      <c r="C51" s="246"/>
      <c r="D51" s="247"/>
      <c r="E51" s="248"/>
    </row>
    <row r="52" spans="1:5" hidden="1" x14ac:dyDescent="0.2">
      <c r="A52" s="251"/>
      <c r="B52" s="246"/>
      <c r="C52" s="246" t="s">
        <v>311</v>
      </c>
      <c r="D52" s="247">
        <v>290</v>
      </c>
      <c r="E52" s="248">
        <v>2</v>
      </c>
    </row>
    <row r="53" spans="1:5" hidden="1" x14ac:dyDescent="0.2">
      <c r="A53" s="251"/>
      <c r="B53" s="246"/>
      <c r="C53" s="246" t="s">
        <v>312</v>
      </c>
      <c r="D53" s="247">
        <v>159.28</v>
      </c>
      <c r="E53" s="248">
        <v>3</v>
      </c>
    </row>
    <row r="54" spans="1:5" hidden="1" x14ac:dyDescent="0.2">
      <c r="A54" s="252" t="s">
        <v>313</v>
      </c>
      <c r="B54" s="253"/>
      <c r="C54" s="253"/>
      <c r="D54" s="254">
        <f>SUM(D52:D53)</f>
        <v>449.28</v>
      </c>
      <c r="E54" s="255"/>
    </row>
    <row r="55" spans="1:5" hidden="1" x14ac:dyDescent="0.2">
      <c r="A55" s="250" t="s">
        <v>314</v>
      </c>
      <c r="B55" s="246"/>
      <c r="C55" s="246"/>
      <c r="D55" s="247"/>
      <c r="E55" s="248"/>
    </row>
    <row r="56" spans="1:5" hidden="1" x14ac:dyDescent="0.2">
      <c r="A56" s="251"/>
      <c r="B56" s="246"/>
      <c r="C56" s="246" t="s">
        <v>315</v>
      </c>
      <c r="D56" s="247">
        <v>2091</v>
      </c>
      <c r="E56" s="248">
        <v>11</v>
      </c>
    </row>
    <row r="57" spans="1:5" hidden="1" x14ac:dyDescent="0.2">
      <c r="A57" s="251"/>
      <c r="B57" s="246"/>
      <c r="C57" s="246" t="s">
        <v>2260</v>
      </c>
      <c r="D57" s="247">
        <v>539.73</v>
      </c>
      <c r="E57" s="248">
        <v>9</v>
      </c>
    </row>
    <row r="58" spans="1:5" hidden="1" x14ac:dyDescent="0.2">
      <c r="A58" s="252" t="s">
        <v>2261</v>
      </c>
      <c r="B58" s="253"/>
      <c r="C58" s="253"/>
      <c r="D58" s="254">
        <f>SUM(D56:D57)</f>
        <v>2630.73</v>
      </c>
      <c r="E58" s="255"/>
    </row>
    <row r="59" spans="1:5" hidden="1" x14ac:dyDescent="0.2">
      <c r="A59" s="250" t="s">
        <v>316</v>
      </c>
      <c r="B59" s="246"/>
      <c r="C59" s="246"/>
      <c r="D59" s="247"/>
      <c r="E59" s="248"/>
    </row>
    <row r="60" spans="1:5" hidden="1" x14ac:dyDescent="0.2">
      <c r="A60" s="251"/>
      <c r="B60" s="246"/>
      <c r="C60" s="246" t="s">
        <v>2262</v>
      </c>
      <c r="D60" s="247">
        <v>1870</v>
      </c>
      <c r="E60" s="248">
        <v>12</v>
      </c>
    </row>
    <row r="61" spans="1:5" hidden="1" x14ac:dyDescent="0.2">
      <c r="A61" s="251"/>
      <c r="B61" s="246"/>
      <c r="C61" s="246" t="s">
        <v>317</v>
      </c>
      <c r="D61" s="247">
        <v>1226.1400000000001</v>
      </c>
      <c r="E61" s="248">
        <v>12</v>
      </c>
    </row>
    <row r="62" spans="1:5" hidden="1" x14ac:dyDescent="0.2">
      <c r="A62" s="251"/>
      <c r="B62" s="246"/>
      <c r="C62" s="246" t="s">
        <v>318</v>
      </c>
      <c r="D62" s="247">
        <v>682.65</v>
      </c>
      <c r="E62" s="248">
        <v>7</v>
      </c>
    </row>
    <row r="63" spans="1:5" hidden="1" x14ac:dyDescent="0.2">
      <c r="A63" s="251"/>
      <c r="B63" s="246"/>
      <c r="C63" s="246" t="s">
        <v>319</v>
      </c>
      <c r="D63" s="247">
        <v>328.02</v>
      </c>
      <c r="E63" s="248">
        <v>2</v>
      </c>
    </row>
    <row r="64" spans="1:5" hidden="1" x14ac:dyDescent="0.2">
      <c r="A64" s="251"/>
      <c r="B64" s="246"/>
      <c r="C64" s="246" t="s">
        <v>320</v>
      </c>
      <c r="D64" s="247">
        <v>-164.01</v>
      </c>
      <c r="E64" s="248">
        <v>-1</v>
      </c>
    </row>
    <row r="65" spans="1:5" hidden="1" x14ac:dyDescent="0.2">
      <c r="A65" s="252" t="s">
        <v>321</v>
      </c>
      <c r="B65" s="253"/>
      <c r="C65" s="253"/>
      <c r="D65" s="254">
        <f>SUM(D60:D64)</f>
        <v>3942.8</v>
      </c>
      <c r="E65" s="255"/>
    </row>
    <row r="66" spans="1:5" hidden="1" x14ac:dyDescent="0.2">
      <c r="A66" s="249" t="s">
        <v>322</v>
      </c>
      <c r="B66" s="246"/>
      <c r="C66" s="246" t="s">
        <v>323</v>
      </c>
      <c r="D66" s="247">
        <v>1349.57</v>
      </c>
      <c r="E66" s="248">
        <v>13</v>
      </c>
    </row>
    <row r="67" spans="1:5" hidden="1" x14ac:dyDescent="0.2">
      <c r="A67" s="249" t="s">
        <v>324</v>
      </c>
      <c r="B67" s="246"/>
      <c r="C67" s="246" t="s">
        <v>325</v>
      </c>
      <c r="D67" s="247">
        <v>912.99</v>
      </c>
      <c r="E67" s="248">
        <v>11</v>
      </c>
    </row>
    <row r="68" spans="1:5" hidden="1" x14ac:dyDescent="0.2">
      <c r="A68" s="249" t="s">
        <v>326</v>
      </c>
      <c r="B68" s="246"/>
      <c r="C68" s="246" t="s">
        <v>327</v>
      </c>
      <c r="D68" s="247">
        <v>2112.66</v>
      </c>
      <c r="E68" s="248">
        <v>28</v>
      </c>
    </row>
    <row r="69" spans="1:5" hidden="1" x14ac:dyDescent="0.2">
      <c r="A69" s="250" t="s">
        <v>328</v>
      </c>
      <c r="B69" s="246"/>
      <c r="C69" s="246"/>
      <c r="D69" s="247"/>
      <c r="E69" s="248"/>
    </row>
    <row r="70" spans="1:5" hidden="1" x14ac:dyDescent="0.2">
      <c r="A70" s="251"/>
      <c r="B70" s="246"/>
      <c r="C70" s="246" t="s">
        <v>329</v>
      </c>
      <c r="D70" s="247">
        <v>1114</v>
      </c>
      <c r="E70" s="248">
        <v>23</v>
      </c>
    </row>
    <row r="71" spans="1:5" hidden="1" x14ac:dyDescent="0.2">
      <c r="A71" s="251"/>
      <c r="B71" s="246"/>
      <c r="C71" s="246" t="s">
        <v>330</v>
      </c>
      <c r="D71" s="247">
        <v>520</v>
      </c>
      <c r="E71" s="248">
        <v>2</v>
      </c>
    </row>
    <row r="72" spans="1:5" hidden="1" x14ac:dyDescent="0.2">
      <c r="A72" s="251"/>
      <c r="B72" s="246"/>
      <c r="C72" s="246" t="s">
        <v>331</v>
      </c>
      <c r="D72" s="247">
        <v>479.99</v>
      </c>
      <c r="E72" s="248">
        <v>3</v>
      </c>
    </row>
    <row r="73" spans="1:5" hidden="1" x14ac:dyDescent="0.2">
      <c r="A73" s="251"/>
      <c r="B73" s="246"/>
      <c r="C73" s="246" t="s">
        <v>332</v>
      </c>
      <c r="D73" s="247">
        <v>479.99</v>
      </c>
      <c r="E73" s="248">
        <v>3</v>
      </c>
    </row>
    <row r="74" spans="1:5" hidden="1" x14ac:dyDescent="0.2">
      <c r="A74" s="251"/>
      <c r="B74" s="246"/>
      <c r="C74" s="246" t="s">
        <v>333</v>
      </c>
      <c r="D74" s="247">
        <v>-479.99</v>
      </c>
      <c r="E74" s="248">
        <v>-3</v>
      </c>
    </row>
    <row r="75" spans="1:5" hidden="1" x14ac:dyDescent="0.2">
      <c r="A75" s="252" t="s">
        <v>334</v>
      </c>
      <c r="B75" s="253"/>
      <c r="C75" s="253"/>
      <c r="D75" s="254">
        <f>SUM(D70:D74)</f>
        <v>2113.9899999999998</v>
      </c>
      <c r="E75" s="255"/>
    </row>
    <row r="76" spans="1:5" hidden="1" x14ac:dyDescent="0.2">
      <c r="A76" s="249" t="s">
        <v>335</v>
      </c>
      <c r="B76" s="246"/>
      <c r="C76" s="246" t="s">
        <v>336</v>
      </c>
      <c r="D76" s="247">
        <v>445.26</v>
      </c>
      <c r="E76" s="248">
        <v>6</v>
      </c>
    </row>
    <row r="77" spans="1:5" hidden="1" x14ac:dyDescent="0.2">
      <c r="A77" s="249" t="s">
        <v>337</v>
      </c>
      <c r="B77" s="246"/>
      <c r="C77" s="246" t="s">
        <v>338</v>
      </c>
      <c r="D77" s="247">
        <v>1609.02</v>
      </c>
      <c r="E77" s="248">
        <v>12</v>
      </c>
    </row>
    <row r="78" spans="1:5" hidden="1" x14ac:dyDescent="0.2">
      <c r="A78" s="250" t="s">
        <v>339</v>
      </c>
      <c r="B78" s="246"/>
      <c r="C78" s="246"/>
      <c r="D78" s="247"/>
      <c r="E78" s="248"/>
    </row>
    <row r="79" spans="1:5" hidden="1" x14ac:dyDescent="0.2">
      <c r="A79" s="251"/>
      <c r="B79" s="246"/>
      <c r="C79" s="246" t="s">
        <v>340</v>
      </c>
      <c r="D79" s="247">
        <v>1099.03</v>
      </c>
      <c r="E79" s="248">
        <v>11</v>
      </c>
    </row>
    <row r="80" spans="1:5" hidden="1" x14ac:dyDescent="0.2">
      <c r="A80" s="251"/>
      <c r="B80" s="246"/>
      <c r="C80" s="246" t="s">
        <v>341</v>
      </c>
      <c r="D80" s="247">
        <v>722.34</v>
      </c>
      <c r="E80" s="248">
        <v>8</v>
      </c>
    </row>
    <row r="81" spans="1:5" hidden="1" x14ac:dyDescent="0.2">
      <c r="A81" s="251"/>
      <c r="B81" s="246"/>
      <c r="C81" s="246" t="s">
        <v>342</v>
      </c>
      <c r="D81" s="247">
        <v>555.38</v>
      </c>
      <c r="E81" s="248">
        <v>6</v>
      </c>
    </row>
    <row r="82" spans="1:5" hidden="1" x14ac:dyDescent="0.2">
      <c r="A82" s="251"/>
      <c r="B82" s="246"/>
      <c r="C82" s="246" t="s">
        <v>343</v>
      </c>
      <c r="D82" s="247">
        <v>376.07</v>
      </c>
      <c r="E82" s="248">
        <v>5</v>
      </c>
    </row>
    <row r="83" spans="1:5" hidden="1" x14ac:dyDescent="0.2">
      <c r="A83" s="252" t="s">
        <v>344</v>
      </c>
      <c r="B83" s="253"/>
      <c r="C83" s="253"/>
      <c r="D83" s="254">
        <f>SUM(D79:D82)</f>
        <v>2752.82</v>
      </c>
      <c r="E83" s="255"/>
    </row>
    <row r="84" spans="1:5" hidden="1" x14ac:dyDescent="0.2">
      <c r="A84" s="249" t="s">
        <v>345</v>
      </c>
      <c r="B84" s="246"/>
      <c r="C84" s="246" t="s">
        <v>346</v>
      </c>
      <c r="D84" s="247">
        <v>-369.35</v>
      </c>
      <c r="E84" s="248">
        <v>-15</v>
      </c>
    </row>
    <row r="85" spans="1:5" hidden="1" x14ac:dyDescent="0.2">
      <c r="A85" s="253" t="s">
        <v>347</v>
      </c>
      <c r="B85" s="253"/>
      <c r="C85" s="253"/>
      <c r="D85" s="254">
        <f>SUM(D9:D10,D14,D18:D21,D26,D30:D34,D40:D42,D46:D50,D54,D58,D65:D68,D75:D77,D83:D84)</f>
        <v>56623.889999999992</v>
      </c>
      <c r="E85" s="255"/>
    </row>
    <row r="86" spans="1:5" x14ac:dyDescent="0.2">
      <c r="A86" s="245" t="s">
        <v>115</v>
      </c>
      <c r="B86" s="246"/>
      <c r="C86" s="246"/>
      <c r="D86" s="247">
        <v>73969</v>
      </c>
      <c r="E86" s="248">
        <v>5500</v>
      </c>
    </row>
    <row r="87" spans="1:5" hidden="1" x14ac:dyDescent="0.2">
      <c r="A87" s="250" t="s">
        <v>348</v>
      </c>
      <c r="B87" s="246"/>
      <c r="C87" s="246"/>
      <c r="D87" s="247"/>
      <c r="E87" s="248"/>
    </row>
    <row r="88" spans="1:5" hidden="1" x14ac:dyDescent="0.2">
      <c r="A88" s="251"/>
      <c r="B88" s="246"/>
      <c r="C88" s="246" t="s">
        <v>349</v>
      </c>
      <c r="D88" s="247">
        <v>58849</v>
      </c>
      <c r="E88" s="248">
        <v>3500</v>
      </c>
    </row>
    <row r="89" spans="1:5" hidden="1" x14ac:dyDescent="0.2">
      <c r="A89" s="251"/>
      <c r="B89" s="246"/>
      <c r="C89" s="246" t="s">
        <v>350</v>
      </c>
      <c r="D89" s="247">
        <v>15120</v>
      </c>
      <c r="E89" s="248">
        <v>2000</v>
      </c>
    </row>
    <row r="90" spans="1:5" hidden="1" x14ac:dyDescent="0.2">
      <c r="A90" s="252" t="s">
        <v>351</v>
      </c>
      <c r="B90" s="253"/>
      <c r="C90" s="253"/>
      <c r="D90" s="254">
        <f>SUM(D88:D89)</f>
        <v>73969</v>
      </c>
      <c r="E90" s="255"/>
    </row>
    <row r="91" spans="1:5" hidden="1" x14ac:dyDescent="0.2">
      <c r="A91" s="253" t="s">
        <v>352</v>
      </c>
      <c r="B91" s="253"/>
      <c r="C91" s="253"/>
      <c r="D91" s="254">
        <f>SUM(D90)</f>
        <v>73969</v>
      </c>
      <c r="E91" s="255"/>
    </row>
    <row r="92" spans="1:5" x14ac:dyDescent="0.2">
      <c r="A92" s="245" t="s">
        <v>118</v>
      </c>
      <c r="B92" s="246"/>
      <c r="C92" s="246"/>
      <c r="D92" s="247">
        <v>10025.73</v>
      </c>
      <c r="E92" s="248">
        <v>155</v>
      </c>
    </row>
    <row r="93" spans="1:5" hidden="1" x14ac:dyDescent="0.2">
      <c r="A93" s="250" t="s">
        <v>353</v>
      </c>
      <c r="B93" s="246"/>
      <c r="C93" s="246"/>
      <c r="D93" s="247"/>
      <c r="E93" s="248"/>
    </row>
    <row r="94" spans="1:5" hidden="1" x14ac:dyDescent="0.2">
      <c r="A94" s="256" t="s">
        <v>354</v>
      </c>
      <c r="B94" s="246"/>
      <c r="C94" s="246"/>
      <c r="D94" s="247"/>
      <c r="E94" s="248"/>
    </row>
    <row r="95" spans="1:5" hidden="1" x14ac:dyDescent="0.2">
      <c r="A95" s="257"/>
      <c r="B95" s="246"/>
      <c r="C95" s="246" t="s">
        <v>355</v>
      </c>
      <c r="D95" s="247">
        <v>3600.05</v>
      </c>
      <c r="E95" s="248">
        <v>45</v>
      </c>
    </row>
    <row r="96" spans="1:5" hidden="1" x14ac:dyDescent="0.2">
      <c r="A96" s="257"/>
      <c r="B96" s="246"/>
      <c r="C96" s="246" t="s">
        <v>356</v>
      </c>
      <c r="D96" s="247">
        <v>2768.02</v>
      </c>
      <c r="E96" s="248">
        <v>36</v>
      </c>
    </row>
    <row r="97" spans="1:5" hidden="1" x14ac:dyDescent="0.2">
      <c r="A97" s="257"/>
      <c r="B97" s="246"/>
      <c r="C97" s="246" t="s">
        <v>357</v>
      </c>
      <c r="D97" s="247">
        <v>1968.56</v>
      </c>
      <c r="E97" s="248">
        <v>24</v>
      </c>
    </row>
    <row r="98" spans="1:5" hidden="1" x14ac:dyDescent="0.2">
      <c r="A98" s="258" t="s">
        <v>358</v>
      </c>
      <c r="B98" s="253"/>
      <c r="C98" s="253"/>
      <c r="D98" s="254">
        <f>SUM(D95:D97)</f>
        <v>8336.6299999999992</v>
      </c>
      <c r="E98" s="255"/>
    </row>
    <row r="99" spans="1:5" hidden="1" x14ac:dyDescent="0.2">
      <c r="A99" s="252" t="s">
        <v>359</v>
      </c>
      <c r="B99" s="253"/>
      <c r="C99" s="253"/>
      <c r="D99" s="254">
        <f>SUM(D98)</f>
        <v>8336.6299999999992</v>
      </c>
      <c r="E99" s="255"/>
    </row>
    <row r="100" spans="1:5" hidden="1" x14ac:dyDescent="0.2">
      <c r="A100" s="249" t="s">
        <v>360</v>
      </c>
      <c r="B100" s="246"/>
      <c r="C100" s="246" t="s">
        <v>361</v>
      </c>
      <c r="D100" s="247">
        <v>720</v>
      </c>
      <c r="E100" s="248">
        <v>24</v>
      </c>
    </row>
    <row r="101" spans="1:5" hidden="1" x14ac:dyDescent="0.2">
      <c r="A101" s="249" t="s">
        <v>362</v>
      </c>
      <c r="B101" s="246"/>
      <c r="C101" s="246" t="s">
        <v>363</v>
      </c>
      <c r="D101" s="247">
        <v>355.86</v>
      </c>
      <c r="E101" s="248">
        <v>8</v>
      </c>
    </row>
    <row r="102" spans="1:5" hidden="1" x14ac:dyDescent="0.2">
      <c r="A102" s="249" t="s">
        <v>364</v>
      </c>
      <c r="B102" s="246"/>
      <c r="C102" s="246" t="s">
        <v>365</v>
      </c>
      <c r="D102" s="247">
        <v>613.24</v>
      </c>
      <c r="E102" s="248">
        <v>18</v>
      </c>
    </row>
    <row r="103" spans="1:5" hidden="1" x14ac:dyDescent="0.2">
      <c r="A103" s="253" t="s">
        <v>366</v>
      </c>
      <c r="B103" s="253"/>
      <c r="C103" s="253"/>
      <c r="D103" s="254">
        <f>SUM(D99:D102)</f>
        <v>10025.73</v>
      </c>
      <c r="E103" s="255"/>
    </row>
    <row r="104" spans="1:5" x14ac:dyDescent="0.2">
      <c r="A104" s="245" t="s">
        <v>117</v>
      </c>
      <c r="B104" s="246"/>
      <c r="C104" s="246"/>
      <c r="D104" s="247">
        <v>1916.12</v>
      </c>
      <c r="E104" s="248">
        <v>28</v>
      </c>
    </row>
    <row r="105" spans="1:5" hidden="1" x14ac:dyDescent="0.2">
      <c r="A105" s="249" t="s">
        <v>367</v>
      </c>
      <c r="B105" s="246"/>
      <c r="C105" s="246" t="s">
        <v>368</v>
      </c>
      <c r="D105" s="247">
        <v>476.77</v>
      </c>
      <c r="E105" s="248">
        <v>10</v>
      </c>
    </row>
    <row r="106" spans="1:5" hidden="1" x14ac:dyDescent="0.2">
      <c r="A106" s="249" t="s">
        <v>369</v>
      </c>
      <c r="B106" s="246"/>
      <c r="C106" s="246" t="s">
        <v>370</v>
      </c>
      <c r="D106" s="247">
        <v>-843.07</v>
      </c>
      <c r="E106" s="248">
        <v>-9</v>
      </c>
    </row>
    <row r="107" spans="1:5" hidden="1" x14ac:dyDescent="0.2">
      <c r="A107" s="249" t="s">
        <v>371</v>
      </c>
      <c r="B107" s="246"/>
      <c r="C107" s="246" t="s">
        <v>372</v>
      </c>
      <c r="D107" s="247">
        <v>571.67999999999995</v>
      </c>
      <c r="E107" s="248">
        <v>4</v>
      </c>
    </row>
    <row r="108" spans="1:5" hidden="1" x14ac:dyDescent="0.2">
      <c r="A108" s="249" t="s">
        <v>2263</v>
      </c>
      <c r="B108" s="246"/>
      <c r="C108" s="246" t="s">
        <v>2264</v>
      </c>
      <c r="D108" s="247">
        <v>906.33</v>
      </c>
      <c r="E108" s="248">
        <v>14</v>
      </c>
    </row>
    <row r="109" spans="1:5" hidden="1" x14ac:dyDescent="0.2">
      <c r="A109" s="249" t="s">
        <v>373</v>
      </c>
      <c r="B109" s="246"/>
      <c r="C109" s="246" t="s">
        <v>374</v>
      </c>
      <c r="D109" s="247">
        <v>170</v>
      </c>
      <c r="E109" s="248">
        <v>1</v>
      </c>
    </row>
    <row r="110" spans="1:5" hidden="1" x14ac:dyDescent="0.2">
      <c r="A110" s="250" t="s">
        <v>375</v>
      </c>
      <c r="B110" s="246"/>
      <c r="C110" s="246"/>
      <c r="D110" s="247"/>
      <c r="E110" s="248"/>
    </row>
    <row r="111" spans="1:5" hidden="1" x14ac:dyDescent="0.2">
      <c r="A111" s="251"/>
      <c r="B111" s="246"/>
      <c r="C111" s="246" t="s">
        <v>376</v>
      </c>
      <c r="D111" s="247">
        <v>398.25</v>
      </c>
      <c r="E111" s="248">
        <v>5</v>
      </c>
    </row>
    <row r="112" spans="1:5" hidden="1" x14ac:dyDescent="0.2">
      <c r="A112" s="251"/>
      <c r="B112" s="246"/>
      <c r="C112" s="246" t="s">
        <v>377</v>
      </c>
      <c r="D112" s="247">
        <v>236.16</v>
      </c>
      <c r="E112" s="248">
        <v>3</v>
      </c>
    </row>
    <row r="113" spans="1:5" hidden="1" x14ac:dyDescent="0.2">
      <c r="A113" s="252" t="s">
        <v>378</v>
      </c>
      <c r="B113" s="253"/>
      <c r="C113" s="253"/>
      <c r="D113" s="254">
        <f>SUM(D111:D112)</f>
        <v>634.41</v>
      </c>
      <c r="E113" s="255"/>
    </row>
    <row r="114" spans="1:5" hidden="1" x14ac:dyDescent="0.2">
      <c r="A114" s="253" t="s">
        <v>379</v>
      </c>
      <c r="B114" s="253"/>
      <c r="C114" s="253"/>
      <c r="D114" s="254">
        <f>SUM(D105:D109,D113)</f>
        <v>1916.12</v>
      </c>
      <c r="E114" s="255"/>
    </row>
    <row r="115" spans="1:5" x14ac:dyDescent="0.2">
      <c r="A115" s="245" t="s">
        <v>120</v>
      </c>
      <c r="B115" s="246"/>
      <c r="C115" s="246"/>
      <c r="D115" s="247">
        <v>3637.1499999999996</v>
      </c>
      <c r="E115" s="248">
        <v>44</v>
      </c>
    </row>
    <row r="116" spans="1:5" hidden="1" x14ac:dyDescent="0.2">
      <c r="A116" s="250" t="s">
        <v>380</v>
      </c>
      <c r="B116" s="246"/>
      <c r="C116" s="246"/>
      <c r="D116" s="247"/>
      <c r="E116" s="248"/>
    </row>
    <row r="117" spans="1:5" hidden="1" x14ac:dyDescent="0.2">
      <c r="A117" s="251"/>
      <c r="B117" s="246"/>
      <c r="C117" s="246" t="s">
        <v>381</v>
      </c>
      <c r="D117" s="247">
        <v>1047.0999999999999</v>
      </c>
      <c r="E117" s="248">
        <v>10</v>
      </c>
    </row>
    <row r="118" spans="1:5" hidden="1" x14ac:dyDescent="0.2">
      <c r="A118" s="251"/>
      <c r="B118" s="246"/>
      <c r="C118" s="246" t="s">
        <v>382</v>
      </c>
      <c r="D118" s="247">
        <v>597.19000000000005</v>
      </c>
      <c r="E118" s="248">
        <v>8</v>
      </c>
    </row>
    <row r="119" spans="1:5" hidden="1" x14ac:dyDescent="0.2">
      <c r="A119" s="251"/>
      <c r="B119" s="246"/>
      <c r="C119" s="246" t="s">
        <v>383</v>
      </c>
      <c r="D119" s="247">
        <v>494.28</v>
      </c>
      <c r="E119" s="248">
        <v>16</v>
      </c>
    </row>
    <row r="120" spans="1:5" hidden="1" x14ac:dyDescent="0.2">
      <c r="A120" s="251"/>
      <c r="B120" s="246"/>
      <c r="C120" s="246" t="s">
        <v>384</v>
      </c>
      <c r="D120" s="247">
        <v>470.46</v>
      </c>
      <c r="E120" s="248">
        <v>13</v>
      </c>
    </row>
    <row r="121" spans="1:5" hidden="1" x14ac:dyDescent="0.2">
      <c r="A121" s="251"/>
      <c r="B121" s="246"/>
      <c r="C121" s="246" t="s">
        <v>385</v>
      </c>
      <c r="D121" s="247">
        <v>421.6</v>
      </c>
      <c r="E121" s="248">
        <v>4</v>
      </c>
    </row>
    <row r="122" spans="1:5" hidden="1" x14ac:dyDescent="0.2">
      <c r="A122" s="251"/>
      <c r="B122" s="246"/>
      <c r="C122" s="246" t="s">
        <v>386</v>
      </c>
      <c r="D122" s="247">
        <v>311.14</v>
      </c>
      <c r="E122" s="248">
        <v>3</v>
      </c>
    </row>
    <row r="123" spans="1:5" hidden="1" x14ac:dyDescent="0.2">
      <c r="A123" s="251"/>
      <c r="B123" s="246"/>
      <c r="C123" s="246" t="s">
        <v>387</v>
      </c>
      <c r="D123" s="247">
        <v>226.6</v>
      </c>
      <c r="E123" s="248">
        <v>7</v>
      </c>
    </row>
    <row r="124" spans="1:5" hidden="1" x14ac:dyDescent="0.2">
      <c r="A124" s="251"/>
      <c r="B124" s="246"/>
      <c r="C124" s="246" t="s">
        <v>388</v>
      </c>
      <c r="D124" s="247">
        <v>219.1</v>
      </c>
      <c r="E124" s="248">
        <v>6</v>
      </c>
    </row>
    <row r="125" spans="1:5" hidden="1" x14ac:dyDescent="0.2">
      <c r="A125" s="251"/>
      <c r="B125" s="246"/>
      <c r="C125" s="246" t="s">
        <v>389</v>
      </c>
      <c r="D125" s="247">
        <v>133.54</v>
      </c>
      <c r="E125" s="248">
        <v>1</v>
      </c>
    </row>
    <row r="126" spans="1:5" hidden="1" x14ac:dyDescent="0.2">
      <c r="A126" s="251"/>
      <c r="B126" s="246"/>
      <c r="C126" s="246" t="s">
        <v>390</v>
      </c>
      <c r="D126" s="247">
        <v>-168.38</v>
      </c>
      <c r="E126" s="248">
        <v>-4</v>
      </c>
    </row>
    <row r="127" spans="1:5" hidden="1" x14ac:dyDescent="0.2">
      <c r="A127" s="251"/>
      <c r="B127" s="246"/>
      <c r="C127" s="246" t="s">
        <v>391</v>
      </c>
      <c r="D127" s="247">
        <v>-216.28</v>
      </c>
      <c r="E127" s="248">
        <v>-6</v>
      </c>
    </row>
    <row r="128" spans="1:5" hidden="1" x14ac:dyDescent="0.2">
      <c r="A128" s="251"/>
      <c r="B128" s="246"/>
      <c r="C128" s="246" t="s">
        <v>392</v>
      </c>
      <c r="D128" s="247">
        <v>-999.26</v>
      </c>
      <c r="E128" s="248">
        <v>-33</v>
      </c>
    </row>
    <row r="129" spans="1:5" hidden="1" x14ac:dyDescent="0.2">
      <c r="A129" s="252" t="s">
        <v>393</v>
      </c>
      <c r="B129" s="253"/>
      <c r="C129" s="253"/>
      <c r="D129" s="254">
        <f>SUM(D117:D128)</f>
        <v>2537.0899999999992</v>
      </c>
      <c r="E129" s="255"/>
    </row>
    <row r="130" spans="1:5" hidden="1" x14ac:dyDescent="0.2">
      <c r="A130" s="250" t="s">
        <v>394</v>
      </c>
      <c r="B130" s="246"/>
      <c r="C130" s="246"/>
      <c r="D130" s="247"/>
      <c r="E130" s="248"/>
    </row>
    <row r="131" spans="1:5" hidden="1" x14ac:dyDescent="0.2">
      <c r="A131" s="251"/>
      <c r="B131" s="246"/>
      <c r="C131" s="246" t="s">
        <v>395</v>
      </c>
      <c r="D131" s="247">
        <v>0.08</v>
      </c>
      <c r="E131" s="248">
        <v>8</v>
      </c>
    </row>
    <row r="132" spans="1:5" hidden="1" x14ac:dyDescent="0.2">
      <c r="A132" s="251"/>
      <c r="B132" s="246"/>
      <c r="C132" s="246" t="s">
        <v>396</v>
      </c>
      <c r="D132" s="247">
        <v>0.01</v>
      </c>
      <c r="E132" s="248">
        <v>1</v>
      </c>
    </row>
    <row r="133" spans="1:5" hidden="1" x14ac:dyDescent="0.2">
      <c r="A133" s="251"/>
      <c r="B133" s="246"/>
      <c r="C133" s="246" t="s">
        <v>397</v>
      </c>
      <c r="D133" s="247">
        <v>0.01</v>
      </c>
      <c r="E133" s="248">
        <v>1</v>
      </c>
    </row>
    <row r="134" spans="1:5" hidden="1" x14ac:dyDescent="0.2">
      <c r="A134" s="251"/>
      <c r="B134" s="246"/>
      <c r="C134" s="246" t="s">
        <v>398</v>
      </c>
      <c r="D134" s="247">
        <v>0.01</v>
      </c>
      <c r="E134" s="248">
        <v>1</v>
      </c>
    </row>
    <row r="135" spans="1:5" hidden="1" x14ac:dyDescent="0.2">
      <c r="A135" s="251"/>
      <c r="B135" s="246"/>
      <c r="C135" s="246" t="s">
        <v>399</v>
      </c>
      <c r="D135" s="247">
        <v>-562.29</v>
      </c>
      <c r="E135" s="248">
        <v>-3</v>
      </c>
    </row>
    <row r="136" spans="1:5" hidden="1" x14ac:dyDescent="0.2">
      <c r="A136" s="252" t="s">
        <v>400</v>
      </c>
      <c r="B136" s="253"/>
      <c r="C136" s="253"/>
      <c r="D136" s="254">
        <f>SUM(D131:D135)</f>
        <v>-562.17999999999995</v>
      </c>
      <c r="E136" s="255"/>
    </row>
    <row r="137" spans="1:5" hidden="1" x14ac:dyDescent="0.2">
      <c r="A137" s="250" t="s">
        <v>401</v>
      </c>
      <c r="B137" s="246"/>
      <c r="C137" s="246"/>
      <c r="D137" s="247"/>
      <c r="E137" s="248"/>
    </row>
    <row r="138" spans="1:5" hidden="1" x14ac:dyDescent="0.2">
      <c r="A138" s="251"/>
      <c r="B138" s="246"/>
      <c r="C138" s="246" t="s">
        <v>402</v>
      </c>
      <c r="D138" s="247">
        <v>296.57</v>
      </c>
      <c r="E138" s="248">
        <v>1</v>
      </c>
    </row>
    <row r="139" spans="1:5" hidden="1" x14ac:dyDescent="0.2">
      <c r="A139" s="251"/>
      <c r="B139" s="246"/>
      <c r="C139" s="246" t="s">
        <v>403</v>
      </c>
      <c r="D139" s="247">
        <v>207.57</v>
      </c>
      <c r="E139" s="248">
        <v>1</v>
      </c>
    </row>
    <row r="140" spans="1:5" hidden="1" x14ac:dyDescent="0.2">
      <c r="A140" s="251"/>
      <c r="B140" s="246"/>
      <c r="C140" s="246" t="s">
        <v>404</v>
      </c>
      <c r="D140" s="247">
        <v>110.17</v>
      </c>
      <c r="E140" s="248">
        <v>1</v>
      </c>
    </row>
    <row r="141" spans="1:5" hidden="1" x14ac:dyDescent="0.2">
      <c r="A141" s="252" t="s">
        <v>405</v>
      </c>
      <c r="B141" s="253"/>
      <c r="C141" s="253"/>
      <c r="D141" s="254">
        <f>SUM(D138:D140)</f>
        <v>614.30999999999995</v>
      </c>
      <c r="E141" s="255"/>
    </row>
    <row r="142" spans="1:5" hidden="1" x14ac:dyDescent="0.2">
      <c r="A142" s="250" t="s">
        <v>406</v>
      </c>
      <c r="B142" s="246"/>
      <c r="C142" s="246"/>
      <c r="D142" s="247"/>
      <c r="E142" s="248"/>
    </row>
    <row r="143" spans="1:5" hidden="1" x14ac:dyDescent="0.2">
      <c r="A143" s="251"/>
      <c r="B143" s="246"/>
      <c r="C143" s="246" t="s">
        <v>407</v>
      </c>
      <c r="D143" s="247">
        <v>266.89</v>
      </c>
      <c r="E143" s="248">
        <v>1</v>
      </c>
    </row>
    <row r="144" spans="1:5" hidden="1" x14ac:dyDescent="0.2">
      <c r="A144" s="251"/>
      <c r="B144" s="246"/>
      <c r="C144" s="246" t="s">
        <v>408</v>
      </c>
      <c r="D144" s="247">
        <v>190.63</v>
      </c>
      <c r="E144" s="248">
        <v>1</v>
      </c>
    </row>
    <row r="145" spans="1:5" hidden="1" x14ac:dyDescent="0.2">
      <c r="A145" s="251"/>
      <c r="B145" s="246"/>
      <c r="C145" s="246" t="s">
        <v>409</v>
      </c>
      <c r="D145" s="247">
        <v>190.63</v>
      </c>
      <c r="E145" s="248">
        <v>1</v>
      </c>
    </row>
    <row r="146" spans="1:5" hidden="1" x14ac:dyDescent="0.2">
      <c r="A146" s="251"/>
      <c r="B146" s="246"/>
      <c r="C146" s="246" t="s">
        <v>2265</v>
      </c>
      <c r="D146" s="247">
        <v>148.26</v>
      </c>
      <c r="E146" s="248">
        <v>1</v>
      </c>
    </row>
    <row r="147" spans="1:5" hidden="1" x14ac:dyDescent="0.2">
      <c r="A147" s="251"/>
      <c r="B147" s="246"/>
      <c r="C147" s="246" t="s">
        <v>410</v>
      </c>
      <c r="D147" s="247">
        <v>143.97999999999999</v>
      </c>
      <c r="E147" s="248">
        <v>2</v>
      </c>
    </row>
    <row r="148" spans="1:5" hidden="1" x14ac:dyDescent="0.2">
      <c r="A148" s="251"/>
      <c r="B148" s="246"/>
      <c r="C148" s="246" t="s">
        <v>411</v>
      </c>
      <c r="D148" s="247">
        <v>99.53</v>
      </c>
      <c r="E148" s="248">
        <v>1</v>
      </c>
    </row>
    <row r="149" spans="1:5" hidden="1" x14ac:dyDescent="0.2">
      <c r="A149" s="251"/>
      <c r="B149" s="246"/>
      <c r="C149" s="246" t="s">
        <v>412</v>
      </c>
      <c r="D149" s="247">
        <v>8.01</v>
      </c>
      <c r="E149" s="248">
        <v>1</v>
      </c>
    </row>
    <row r="150" spans="1:5" hidden="1" x14ac:dyDescent="0.2">
      <c r="A150" s="252" t="s">
        <v>413</v>
      </c>
      <c r="B150" s="253"/>
      <c r="C150" s="253"/>
      <c r="D150" s="254">
        <f>SUM(D143:D149)</f>
        <v>1047.93</v>
      </c>
      <c r="E150" s="255"/>
    </row>
    <row r="151" spans="1:5" hidden="1" x14ac:dyDescent="0.2">
      <c r="A151" s="253" t="s">
        <v>414</v>
      </c>
      <c r="B151" s="253"/>
      <c r="C151" s="253"/>
      <c r="D151" s="254">
        <f>SUM(D129,D136,D141,D150)</f>
        <v>3637.1499999999996</v>
      </c>
      <c r="E151" s="255"/>
    </row>
    <row r="152" spans="1:5" x14ac:dyDescent="0.2">
      <c r="A152" s="245" t="s">
        <v>136</v>
      </c>
      <c r="B152" s="246"/>
      <c r="C152" s="246"/>
      <c r="D152" s="261">
        <v>14781.41</v>
      </c>
      <c r="E152" s="248">
        <v>197</v>
      </c>
    </row>
    <row r="153" spans="1:5" hidden="1" x14ac:dyDescent="0.2">
      <c r="A153" s="250" t="s">
        <v>415</v>
      </c>
      <c r="B153" s="246"/>
      <c r="C153" s="246"/>
      <c r="D153" s="247"/>
      <c r="E153" s="248"/>
    </row>
    <row r="154" spans="1:5" hidden="1" x14ac:dyDescent="0.2">
      <c r="A154" s="251"/>
      <c r="B154" s="246"/>
      <c r="C154" s="246" t="s">
        <v>416</v>
      </c>
      <c r="D154" s="247">
        <v>751.94</v>
      </c>
      <c r="E154" s="248">
        <v>18</v>
      </c>
    </row>
    <row r="155" spans="1:5" hidden="1" x14ac:dyDescent="0.2">
      <c r="A155" s="251"/>
      <c r="B155" s="246"/>
      <c r="C155" s="246" t="s">
        <v>417</v>
      </c>
      <c r="D155" s="247">
        <v>747.36</v>
      </c>
      <c r="E155" s="248">
        <v>12</v>
      </c>
    </row>
    <row r="156" spans="1:5" hidden="1" x14ac:dyDescent="0.2">
      <c r="A156" s="251"/>
      <c r="B156" s="246"/>
      <c r="C156" s="246" t="s">
        <v>418</v>
      </c>
      <c r="D156" s="247">
        <v>491.83</v>
      </c>
      <c r="E156" s="248">
        <v>7</v>
      </c>
    </row>
    <row r="157" spans="1:5" hidden="1" x14ac:dyDescent="0.2">
      <c r="A157" s="252" t="s">
        <v>419</v>
      </c>
      <c r="B157" s="253"/>
      <c r="C157" s="253"/>
      <c r="D157" s="254">
        <f>SUM(D154:D156)</f>
        <v>1991.13</v>
      </c>
      <c r="E157" s="255"/>
    </row>
    <row r="158" spans="1:5" hidden="1" x14ac:dyDescent="0.2">
      <c r="A158" s="249" t="s">
        <v>420</v>
      </c>
      <c r="B158" s="246"/>
      <c r="C158" s="246" t="s">
        <v>421</v>
      </c>
      <c r="D158" s="247">
        <v>1610</v>
      </c>
      <c r="E158" s="248">
        <v>9</v>
      </c>
    </row>
    <row r="159" spans="1:5" hidden="1" x14ac:dyDescent="0.2">
      <c r="A159" s="250" t="s">
        <v>422</v>
      </c>
      <c r="B159" s="246"/>
      <c r="C159" s="246"/>
      <c r="D159" s="247"/>
      <c r="E159" s="248"/>
    </row>
    <row r="160" spans="1:5" hidden="1" x14ac:dyDescent="0.2">
      <c r="A160" s="251"/>
      <c r="B160" s="246"/>
      <c r="C160" s="246" t="s">
        <v>423</v>
      </c>
      <c r="D160" s="247">
        <v>767.53</v>
      </c>
      <c r="E160" s="248">
        <v>15</v>
      </c>
    </row>
    <row r="161" spans="1:5" hidden="1" x14ac:dyDescent="0.2">
      <c r="A161" s="251"/>
      <c r="B161" s="246"/>
      <c r="C161" s="246" t="s">
        <v>424</v>
      </c>
      <c r="D161" s="247">
        <v>734.42</v>
      </c>
      <c r="E161" s="248">
        <v>11</v>
      </c>
    </row>
    <row r="162" spans="1:5" hidden="1" x14ac:dyDescent="0.2">
      <c r="A162" s="251"/>
      <c r="B162" s="246"/>
      <c r="C162" s="246" t="s">
        <v>425</v>
      </c>
      <c r="D162" s="247">
        <v>719.59</v>
      </c>
      <c r="E162" s="248">
        <v>8</v>
      </c>
    </row>
    <row r="163" spans="1:5" hidden="1" x14ac:dyDescent="0.2">
      <c r="A163" s="251"/>
      <c r="B163" s="246"/>
      <c r="C163" s="246" t="s">
        <v>426</v>
      </c>
      <c r="D163" s="247">
        <v>600.53</v>
      </c>
      <c r="E163" s="248">
        <v>8</v>
      </c>
    </row>
    <row r="164" spans="1:5" hidden="1" x14ac:dyDescent="0.2">
      <c r="A164" s="251"/>
      <c r="B164" s="246"/>
      <c r="C164" s="246" t="s">
        <v>427</v>
      </c>
      <c r="D164" s="247">
        <v>497.14</v>
      </c>
      <c r="E164" s="248">
        <v>4</v>
      </c>
    </row>
    <row r="165" spans="1:5" hidden="1" x14ac:dyDescent="0.2">
      <c r="A165" s="251"/>
      <c r="B165" s="246"/>
      <c r="C165" s="246" t="s">
        <v>428</v>
      </c>
      <c r="D165" s="247">
        <v>285.64</v>
      </c>
      <c r="E165" s="248">
        <v>7</v>
      </c>
    </row>
    <row r="166" spans="1:5" hidden="1" x14ac:dyDescent="0.2">
      <c r="A166" s="252" t="s">
        <v>429</v>
      </c>
      <c r="B166" s="253"/>
      <c r="C166" s="253"/>
      <c r="D166" s="254">
        <f>SUM(D160:D165)</f>
        <v>3604.8499999999995</v>
      </c>
      <c r="E166" s="255"/>
    </row>
    <row r="167" spans="1:5" hidden="1" x14ac:dyDescent="0.2">
      <c r="A167" s="249" t="s">
        <v>430</v>
      </c>
      <c r="B167" s="246"/>
      <c r="C167" s="246" t="s">
        <v>431</v>
      </c>
      <c r="D167" s="247">
        <v>2650.2</v>
      </c>
      <c r="E167" s="248">
        <v>30</v>
      </c>
    </row>
    <row r="168" spans="1:5" hidden="1" x14ac:dyDescent="0.2">
      <c r="A168" s="250" t="s">
        <v>432</v>
      </c>
      <c r="B168" s="246"/>
      <c r="C168" s="246"/>
      <c r="D168" s="247"/>
      <c r="E168" s="248"/>
    </row>
    <row r="169" spans="1:5" hidden="1" x14ac:dyDescent="0.2">
      <c r="A169" s="251"/>
      <c r="B169" s="246"/>
      <c r="C169" s="246" t="s">
        <v>433</v>
      </c>
      <c r="D169" s="247">
        <v>1455.99</v>
      </c>
      <c r="E169" s="248">
        <v>18</v>
      </c>
    </row>
    <row r="170" spans="1:5" hidden="1" x14ac:dyDescent="0.2">
      <c r="A170" s="251"/>
      <c r="B170" s="246"/>
      <c r="C170" s="246" t="s">
        <v>434</v>
      </c>
      <c r="D170" s="247">
        <v>895.21</v>
      </c>
      <c r="E170" s="248">
        <v>8</v>
      </c>
    </row>
    <row r="171" spans="1:5" hidden="1" x14ac:dyDescent="0.2">
      <c r="A171" s="251"/>
      <c r="B171" s="246"/>
      <c r="C171" s="246" t="s">
        <v>435</v>
      </c>
      <c r="D171" s="247">
        <v>739.2</v>
      </c>
      <c r="E171" s="248">
        <v>13</v>
      </c>
    </row>
    <row r="172" spans="1:5" hidden="1" x14ac:dyDescent="0.2">
      <c r="A172" s="251"/>
      <c r="B172" s="246"/>
      <c r="C172" s="246" t="s">
        <v>436</v>
      </c>
      <c r="D172" s="247">
        <v>687.14</v>
      </c>
      <c r="E172" s="248">
        <v>8</v>
      </c>
    </row>
    <row r="173" spans="1:5" hidden="1" x14ac:dyDescent="0.2">
      <c r="A173" s="251"/>
      <c r="B173" s="246"/>
      <c r="C173" s="246" t="s">
        <v>437</v>
      </c>
      <c r="D173" s="247">
        <v>620.52</v>
      </c>
      <c r="E173" s="248">
        <v>12</v>
      </c>
    </row>
    <row r="174" spans="1:5" hidden="1" x14ac:dyDescent="0.2">
      <c r="A174" s="251"/>
      <c r="B174" s="246"/>
      <c r="C174" s="246" t="s">
        <v>438</v>
      </c>
      <c r="D174" s="247">
        <v>527.16999999999996</v>
      </c>
      <c r="E174" s="248">
        <v>9</v>
      </c>
    </row>
    <row r="175" spans="1:5" hidden="1" x14ac:dyDescent="0.2">
      <c r="A175" s="252" t="s">
        <v>439</v>
      </c>
      <c r="B175" s="253"/>
      <c r="C175" s="253"/>
      <c r="D175" s="254">
        <f>SUM(D169:D174)</f>
        <v>4925.2299999999996</v>
      </c>
      <c r="E175" s="255"/>
    </row>
    <row r="176" spans="1:5" hidden="1" x14ac:dyDescent="0.2">
      <c r="A176" s="253" t="s">
        <v>440</v>
      </c>
      <c r="B176" s="253"/>
      <c r="C176" s="253"/>
      <c r="D176" s="254">
        <f>SUM(D157:D158,D166:D167,D175)</f>
        <v>14781.41</v>
      </c>
      <c r="E176" s="255"/>
    </row>
    <row r="177" spans="1:5" x14ac:dyDescent="0.2">
      <c r="A177" s="245" t="s">
        <v>114</v>
      </c>
      <c r="B177" s="246"/>
      <c r="C177" s="246"/>
      <c r="D177" s="247">
        <v>478.2</v>
      </c>
      <c r="E177" s="248">
        <v>3</v>
      </c>
    </row>
    <row r="178" spans="1:5" hidden="1" x14ac:dyDescent="0.2">
      <c r="A178" s="249" t="s">
        <v>441</v>
      </c>
      <c r="B178" s="246"/>
      <c r="C178" s="246" t="s">
        <v>442</v>
      </c>
      <c r="D178" s="247">
        <v>478.2</v>
      </c>
      <c r="E178" s="248">
        <v>3</v>
      </c>
    </row>
    <row r="179" spans="1:5" hidden="1" x14ac:dyDescent="0.2">
      <c r="A179" s="253" t="s">
        <v>443</v>
      </c>
      <c r="B179" s="253"/>
      <c r="C179" s="253"/>
      <c r="D179" s="254">
        <f>SUM(D178)</f>
        <v>478.2</v>
      </c>
      <c r="E179" s="255"/>
    </row>
    <row r="180" spans="1:5" x14ac:dyDescent="0.2">
      <c r="A180" s="245" t="s">
        <v>113</v>
      </c>
      <c r="B180" s="246"/>
      <c r="C180" s="246"/>
      <c r="D180" s="261">
        <v>-4274.12</v>
      </c>
      <c r="E180" s="248">
        <v>-163</v>
      </c>
    </row>
    <row r="181" spans="1:5" hidden="1" x14ac:dyDescent="0.2">
      <c r="A181" s="250" t="s">
        <v>444</v>
      </c>
      <c r="B181" s="246"/>
      <c r="C181" s="246"/>
      <c r="D181" s="247"/>
      <c r="E181" s="248"/>
    </row>
    <row r="182" spans="1:5" hidden="1" x14ac:dyDescent="0.2">
      <c r="A182" s="251" t="s">
        <v>445</v>
      </c>
      <c r="B182" s="246"/>
      <c r="C182" s="246" t="s">
        <v>446</v>
      </c>
      <c r="D182" s="247">
        <v>-4274.12</v>
      </c>
      <c r="E182" s="248">
        <v>-164</v>
      </c>
    </row>
    <row r="183" spans="1:5" hidden="1" x14ac:dyDescent="0.2">
      <c r="A183" s="251" t="s">
        <v>447</v>
      </c>
      <c r="B183" s="246"/>
      <c r="C183" s="246" t="s">
        <v>448</v>
      </c>
      <c r="D183" s="247">
        <v>0</v>
      </c>
      <c r="E183" s="248">
        <v>1</v>
      </c>
    </row>
    <row r="184" spans="1:5" hidden="1" x14ac:dyDescent="0.2">
      <c r="A184" s="252" t="s">
        <v>449</v>
      </c>
      <c r="B184" s="253"/>
      <c r="C184" s="253"/>
      <c r="D184" s="254">
        <f>SUM(D182:D183)</f>
        <v>-4274.12</v>
      </c>
      <c r="E184" s="255"/>
    </row>
    <row r="185" spans="1:5" hidden="1" x14ac:dyDescent="0.2">
      <c r="A185" s="253" t="s">
        <v>450</v>
      </c>
      <c r="B185" s="253"/>
      <c r="C185" s="253"/>
      <c r="D185" s="254">
        <f>SUM(D184)</f>
        <v>-4274.12</v>
      </c>
      <c r="E185" s="255"/>
    </row>
    <row r="186" spans="1:5" x14ac:dyDescent="0.2">
      <c r="A186" s="245" t="s">
        <v>112</v>
      </c>
      <c r="B186" s="246"/>
      <c r="C186" s="246"/>
      <c r="D186" s="247">
        <v>314274.90000000002</v>
      </c>
      <c r="E186" s="248">
        <v>14195</v>
      </c>
    </row>
    <row r="187" spans="1:5" hidden="1" x14ac:dyDescent="0.2">
      <c r="A187" s="250" t="s">
        <v>451</v>
      </c>
      <c r="B187" s="246"/>
      <c r="C187" s="246"/>
      <c r="D187" s="247"/>
      <c r="E187" s="248"/>
    </row>
    <row r="188" spans="1:5" hidden="1" x14ac:dyDescent="0.2">
      <c r="A188" s="251"/>
      <c r="B188" s="246"/>
      <c r="C188" s="246" t="s">
        <v>452</v>
      </c>
      <c r="D188" s="247">
        <v>37832</v>
      </c>
      <c r="E188" s="248">
        <v>1280</v>
      </c>
    </row>
    <row r="189" spans="1:5" hidden="1" x14ac:dyDescent="0.2">
      <c r="A189" s="251"/>
      <c r="B189" s="246"/>
      <c r="C189" s="246" t="s">
        <v>453</v>
      </c>
      <c r="D189" s="247">
        <v>30764</v>
      </c>
      <c r="E189" s="248">
        <v>800</v>
      </c>
    </row>
    <row r="190" spans="1:5" hidden="1" x14ac:dyDescent="0.2">
      <c r="A190" s="251"/>
      <c r="B190" s="246"/>
      <c r="C190" s="246" t="s">
        <v>454</v>
      </c>
      <c r="D190" s="247">
        <v>27700</v>
      </c>
      <c r="E190" s="248">
        <v>1400</v>
      </c>
    </row>
    <row r="191" spans="1:5" hidden="1" x14ac:dyDescent="0.2">
      <c r="A191" s="251"/>
      <c r="B191" s="246"/>
      <c r="C191" s="246" t="s">
        <v>455</v>
      </c>
      <c r="D191" s="247">
        <v>27696.3</v>
      </c>
      <c r="E191" s="248">
        <v>910</v>
      </c>
    </row>
    <row r="192" spans="1:5" hidden="1" x14ac:dyDescent="0.2">
      <c r="A192" s="251"/>
      <c r="B192" s="246"/>
      <c r="C192" s="246" t="s">
        <v>456</v>
      </c>
      <c r="D192" s="247">
        <v>20072.7</v>
      </c>
      <c r="E192" s="248">
        <v>710</v>
      </c>
    </row>
    <row r="193" spans="1:5" hidden="1" x14ac:dyDescent="0.2">
      <c r="A193" s="251"/>
      <c r="B193" s="246"/>
      <c r="C193" s="246" t="s">
        <v>457</v>
      </c>
      <c r="D193" s="247">
        <v>19012.8</v>
      </c>
      <c r="E193" s="248">
        <v>1560</v>
      </c>
    </row>
    <row r="194" spans="1:5" hidden="1" x14ac:dyDescent="0.2">
      <c r="A194" s="251"/>
      <c r="B194" s="246"/>
      <c r="C194" s="246" t="s">
        <v>458</v>
      </c>
      <c r="D194" s="247">
        <v>18256</v>
      </c>
      <c r="E194" s="248">
        <v>880</v>
      </c>
    </row>
    <row r="195" spans="1:5" hidden="1" x14ac:dyDescent="0.2">
      <c r="A195" s="251"/>
      <c r="B195" s="246"/>
      <c r="C195" s="246" t="s">
        <v>459</v>
      </c>
      <c r="D195" s="247">
        <v>14725.2</v>
      </c>
      <c r="E195" s="248">
        <v>840</v>
      </c>
    </row>
    <row r="196" spans="1:5" hidden="1" x14ac:dyDescent="0.2">
      <c r="A196" s="251"/>
      <c r="B196" s="246"/>
      <c r="C196" s="246" t="s">
        <v>460</v>
      </c>
      <c r="D196" s="247">
        <v>13572.3</v>
      </c>
      <c r="E196" s="248">
        <v>510</v>
      </c>
    </row>
    <row r="197" spans="1:5" hidden="1" x14ac:dyDescent="0.2">
      <c r="A197" s="251"/>
      <c r="B197" s="246"/>
      <c r="C197" s="246" t="s">
        <v>461</v>
      </c>
      <c r="D197" s="247">
        <v>11963.5</v>
      </c>
      <c r="E197" s="248">
        <v>405</v>
      </c>
    </row>
    <row r="198" spans="1:5" hidden="1" x14ac:dyDescent="0.2">
      <c r="A198" s="251"/>
      <c r="B198" s="246"/>
      <c r="C198" s="246" t="s">
        <v>462</v>
      </c>
      <c r="D198" s="247">
        <v>11592</v>
      </c>
      <c r="E198" s="248">
        <v>280</v>
      </c>
    </row>
    <row r="199" spans="1:5" hidden="1" x14ac:dyDescent="0.2">
      <c r="A199" s="251"/>
      <c r="B199" s="246"/>
      <c r="C199" s="246" t="s">
        <v>463</v>
      </c>
      <c r="D199" s="247">
        <v>9202.5</v>
      </c>
      <c r="E199" s="248">
        <v>450</v>
      </c>
    </row>
    <row r="200" spans="1:5" hidden="1" x14ac:dyDescent="0.2">
      <c r="A200" s="251"/>
      <c r="B200" s="246"/>
      <c r="C200" s="246" t="s">
        <v>464</v>
      </c>
      <c r="D200" s="247">
        <v>9072</v>
      </c>
      <c r="E200" s="248">
        <v>480</v>
      </c>
    </row>
    <row r="201" spans="1:5" hidden="1" x14ac:dyDescent="0.2">
      <c r="A201" s="251"/>
      <c r="B201" s="246"/>
      <c r="C201" s="246" t="s">
        <v>465</v>
      </c>
      <c r="D201" s="247">
        <v>8520</v>
      </c>
      <c r="E201" s="248">
        <v>480</v>
      </c>
    </row>
    <row r="202" spans="1:5" hidden="1" x14ac:dyDescent="0.2">
      <c r="A202" s="251"/>
      <c r="B202" s="246"/>
      <c r="C202" s="246" t="s">
        <v>466</v>
      </c>
      <c r="D202" s="247">
        <v>8160</v>
      </c>
      <c r="E202" s="248">
        <v>600</v>
      </c>
    </row>
    <row r="203" spans="1:5" hidden="1" x14ac:dyDescent="0.2">
      <c r="A203" s="251"/>
      <c r="B203" s="246"/>
      <c r="C203" s="246" t="s">
        <v>467</v>
      </c>
      <c r="D203" s="247">
        <v>7939.2</v>
      </c>
      <c r="E203" s="248">
        <v>400</v>
      </c>
    </row>
    <row r="204" spans="1:5" hidden="1" x14ac:dyDescent="0.2">
      <c r="A204" s="251"/>
      <c r="B204" s="246"/>
      <c r="C204" s="246" t="s">
        <v>468</v>
      </c>
      <c r="D204" s="247">
        <v>7620</v>
      </c>
      <c r="E204" s="248">
        <v>600</v>
      </c>
    </row>
    <row r="205" spans="1:5" hidden="1" x14ac:dyDescent="0.2">
      <c r="A205" s="251"/>
      <c r="B205" s="246"/>
      <c r="C205" s="246" t="s">
        <v>469</v>
      </c>
      <c r="D205" s="247">
        <v>7001</v>
      </c>
      <c r="E205" s="248">
        <v>220</v>
      </c>
    </row>
    <row r="206" spans="1:5" hidden="1" x14ac:dyDescent="0.2">
      <c r="A206" s="251"/>
      <c r="B206" s="246"/>
      <c r="C206" s="246" t="s">
        <v>470</v>
      </c>
      <c r="D206" s="247">
        <v>5400</v>
      </c>
      <c r="E206" s="248">
        <v>240</v>
      </c>
    </row>
    <row r="207" spans="1:5" hidden="1" x14ac:dyDescent="0.2">
      <c r="A207" s="251"/>
      <c r="B207" s="246"/>
      <c r="C207" s="246" t="s">
        <v>471</v>
      </c>
      <c r="D207" s="247">
        <v>5063</v>
      </c>
      <c r="E207" s="248">
        <v>210</v>
      </c>
    </row>
    <row r="208" spans="1:5" hidden="1" x14ac:dyDescent="0.2">
      <c r="A208" s="251"/>
      <c r="B208" s="246"/>
      <c r="C208" s="246" t="s">
        <v>472</v>
      </c>
      <c r="D208" s="247">
        <v>3048</v>
      </c>
      <c r="E208" s="248">
        <v>240</v>
      </c>
    </row>
    <row r="209" spans="1:5" hidden="1" x14ac:dyDescent="0.2">
      <c r="A209" s="251"/>
      <c r="B209" s="246"/>
      <c r="C209" s="246" t="s">
        <v>473</v>
      </c>
      <c r="D209" s="247">
        <v>3048</v>
      </c>
      <c r="E209" s="248">
        <v>240</v>
      </c>
    </row>
    <row r="210" spans="1:5" hidden="1" x14ac:dyDescent="0.2">
      <c r="A210" s="251"/>
      <c r="B210" s="246"/>
      <c r="C210" s="246" t="s">
        <v>474</v>
      </c>
      <c r="D210" s="247">
        <v>2870.4</v>
      </c>
      <c r="E210" s="248">
        <v>240</v>
      </c>
    </row>
    <row r="211" spans="1:5" hidden="1" x14ac:dyDescent="0.2">
      <c r="A211" s="251"/>
      <c r="B211" s="246"/>
      <c r="C211" s="246" t="s">
        <v>475</v>
      </c>
      <c r="D211" s="247">
        <v>2848</v>
      </c>
      <c r="E211" s="248">
        <v>160</v>
      </c>
    </row>
    <row r="212" spans="1:5" hidden="1" x14ac:dyDescent="0.2">
      <c r="A212" s="251"/>
      <c r="B212" s="246"/>
      <c r="C212" s="246" t="s">
        <v>476</v>
      </c>
      <c r="D212" s="247">
        <v>1296</v>
      </c>
      <c r="E212" s="248">
        <v>60</v>
      </c>
    </row>
    <row r="213" spans="1:5" hidden="1" x14ac:dyDescent="0.2">
      <c r="A213" s="252" t="s">
        <v>477</v>
      </c>
      <c r="B213" s="253"/>
      <c r="C213" s="253"/>
      <c r="D213" s="254">
        <f>SUM(D188:D212)</f>
        <v>314274.90000000002</v>
      </c>
      <c r="E213" s="255"/>
    </row>
    <row r="214" spans="1:5" hidden="1" x14ac:dyDescent="0.2">
      <c r="A214" s="253" t="s">
        <v>478</v>
      </c>
      <c r="B214" s="253"/>
      <c r="C214" s="253"/>
      <c r="D214" s="254">
        <f>SUM(D213)</f>
        <v>314274.90000000002</v>
      </c>
      <c r="E214" s="255"/>
    </row>
    <row r="215" spans="1:5" x14ac:dyDescent="0.2">
      <c r="A215" s="245" t="s">
        <v>111</v>
      </c>
      <c r="B215" s="246"/>
      <c r="C215" s="246"/>
      <c r="D215" s="247">
        <v>369715.3199999978</v>
      </c>
      <c r="E215" s="248">
        <v>2786</v>
      </c>
    </row>
    <row r="216" spans="1:5" hidden="1" x14ac:dyDescent="0.2">
      <c r="A216" s="250" t="s">
        <v>479</v>
      </c>
      <c r="B216" s="246"/>
      <c r="C216" s="246"/>
      <c r="D216" s="247"/>
      <c r="E216" s="248"/>
    </row>
    <row r="217" spans="1:5" hidden="1" x14ac:dyDescent="0.2">
      <c r="A217" s="251"/>
      <c r="B217" s="246"/>
      <c r="C217" s="246" t="s">
        <v>2266</v>
      </c>
      <c r="D217" s="247">
        <v>1228.6400000000001</v>
      </c>
      <c r="E217" s="248">
        <v>3</v>
      </c>
    </row>
    <row r="218" spans="1:5" hidden="1" x14ac:dyDescent="0.2">
      <c r="A218" s="251"/>
      <c r="B218" s="246"/>
      <c r="C218" s="246" t="s">
        <v>2267</v>
      </c>
      <c r="D218" s="247">
        <v>1228.6400000000001</v>
      </c>
      <c r="E218" s="248">
        <v>2</v>
      </c>
    </row>
    <row r="219" spans="1:5" hidden="1" x14ac:dyDescent="0.2">
      <c r="A219" s="251"/>
      <c r="B219" s="246"/>
      <c r="C219" s="246" t="s">
        <v>480</v>
      </c>
      <c r="D219" s="247">
        <v>1101.52</v>
      </c>
      <c r="E219" s="248">
        <v>5</v>
      </c>
    </row>
    <row r="220" spans="1:5" hidden="1" x14ac:dyDescent="0.2">
      <c r="A220" s="251"/>
      <c r="B220" s="246"/>
      <c r="C220" s="246" t="s">
        <v>481</v>
      </c>
      <c r="D220" s="247">
        <v>1101.52</v>
      </c>
      <c r="E220" s="248">
        <v>6</v>
      </c>
    </row>
    <row r="221" spans="1:5" hidden="1" x14ac:dyDescent="0.2">
      <c r="A221" s="251"/>
      <c r="B221" s="246"/>
      <c r="C221" s="246" t="s">
        <v>482</v>
      </c>
      <c r="D221" s="247">
        <v>1090.3</v>
      </c>
      <c r="E221" s="248">
        <v>5</v>
      </c>
    </row>
    <row r="222" spans="1:5" hidden="1" x14ac:dyDescent="0.2">
      <c r="A222" s="251"/>
      <c r="B222" s="246"/>
      <c r="C222" s="246" t="s">
        <v>483</v>
      </c>
      <c r="D222" s="247">
        <v>1067.49</v>
      </c>
      <c r="E222" s="248">
        <v>5</v>
      </c>
    </row>
    <row r="223" spans="1:5" hidden="1" x14ac:dyDescent="0.2">
      <c r="A223" s="251"/>
      <c r="B223" s="246"/>
      <c r="C223" s="246" t="s">
        <v>2268</v>
      </c>
      <c r="D223" s="247">
        <v>847.37</v>
      </c>
      <c r="E223" s="248">
        <v>3</v>
      </c>
    </row>
    <row r="224" spans="1:5" hidden="1" x14ac:dyDescent="0.2">
      <c r="A224" s="251"/>
      <c r="B224" s="246"/>
      <c r="C224" s="246" t="s">
        <v>484</v>
      </c>
      <c r="D224" s="247">
        <v>847.29</v>
      </c>
      <c r="E224" s="248">
        <v>5</v>
      </c>
    </row>
    <row r="225" spans="1:5" hidden="1" x14ac:dyDescent="0.2">
      <c r="A225" s="251"/>
      <c r="B225" s="246"/>
      <c r="C225" s="246" t="s">
        <v>485</v>
      </c>
      <c r="D225" s="247">
        <v>847.2</v>
      </c>
      <c r="E225" s="248">
        <v>3</v>
      </c>
    </row>
    <row r="226" spans="1:5" hidden="1" x14ac:dyDescent="0.2">
      <c r="A226" s="251"/>
      <c r="B226" s="246"/>
      <c r="C226" s="246" t="s">
        <v>486</v>
      </c>
      <c r="D226" s="247">
        <v>834.49</v>
      </c>
      <c r="E226" s="248">
        <v>5</v>
      </c>
    </row>
    <row r="227" spans="1:5" hidden="1" x14ac:dyDescent="0.2">
      <c r="A227" s="251"/>
      <c r="B227" s="246"/>
      <c r="C227" s="246" t="s">
        <v>487</v>
      </c>
      <c r="D227" s="247">
        <v>779.41</v>
      </c>
      <c r="E227" s="248">
        <v>4</v>
      </c>
    </row>
    <row r="228" spans="1:5" hidden="1" x14ac:dyDescent="0.2">
      <c r="A228" s="251"/>
      <c r="B228" s="246"/>
      <c r="C228" s="246" t="s">
        <v>488</v>
      </c>
      <c r="D228" s="247">
        <v>764.51</v>
      </c>
      <c r="E228" s="248">
        <v>4</v>
      </c>
    </row>
    <row r="229" spans="1:5" hidden="1" x14ac:dyDescent="0.2">
      <c r="A229" s="251"/>
      <c r="B229" s="246"/>
      <c r="C229" s="246" t="s">
        <v>489</v>
      </c>
      <c r="D229" s="247">
        <v>720.76</v>
      </c>
      <c r="E229" s="248">
        <v>5</v>
      </c>
    </row>
    <row r="230" spans="1:5" hidden="1" x14ac:dyDescent="0.2">
      <c r="A230" s="251"/>
      <c r="B230" s="246"/>
      <c r="C230" s="246" t="s">
        <v>490</v>
      </c>
      <c r="D230" s="247">
        <v>694.75</v>
      </c>
      <c r="E230" s="248">
        <v>5</v>
      </c>
    </row>
    <row r="231" spans="1:5" hidden="1" x14ac:dyDescent="0.2">
      <c r="A231" s="251"/>
      <c r="B231" s="246"/>
      <c r="C231" s="246" t="s">
        <v>2269</v>
      </c>
      <c r="D231" s="247">
        <v>681.95</v>
      </c>
      <c r="E231" s="248">
        <v>3</v>
      </c>
    </row>
    <row r="232" spans="1:5" hidden="1" x14ac:dyDescent="0.2">
      <c r="A232" s="251"/>
      <c r="B232" s="246"/>
      <c r="C232" s="246" t="s">
        <v>491</v>
      </c>
      <c r="D232" s="247">
        <v>673.3</v>
      </c>
      <c r="E232" s="248">
        <v>5</v>
      </c>
    </row>
    <row r="233" spans="1:5" hidden="1" x14ac:dyDescent="0.2">
      <c r="A233" s="251"/>
      <c r="B233" s="246"/>
      <c r="C233" s="246" t="s">
        <v>492</v>
      </c>
      <c r="D233" s="247">
        <v>652.29</v>
      </c>
      <c r="E233" s="248">
        <v>3</v>
      </c>
    </row>
    <row r="234" spans="1:5" hidden="1" x14ac:dyDescent="0.2">
      <c r="A234" s="251"/>
      <c r="B234" s="246"/>
      <c r="C234" s="246" t="s">
        <v>493</v>
      </c>
      <c r="D234" s="247">
        <v>652.29</v>
      </c>
      <c r="E234" s="248">
        <v>5</v>
      </c>
    </row>
    <row r="235" spans="1:5" hidden="1" x14ac:dyDescent="0.2">
      <c r="A235" s="251"/>
      <c r="B235" s="246"/>
      <c r="C235" s="246" t="s">
        <v>494</v>
      </c>
      <c r="D235" s="247">
        <v>652.29</v>
      </c>
      <c r="E235" s="248">
        <v>3</v>
      </c>
    </row>
    <row r="236" spans="1:5" hidden="1" x14ac:dyDescent="0.2">
      <c r="A236" s="251"/>
      <c r="B236" s="246"/>
      <c r="C236" s="246" t="s">
        <v>495</v>
      </c>
      <c r="D236" s="247">
        <v>634.35</v>
      </c>
      <c r="E236" s="248">
        <v>4</v>
      </c>
    </row>
    <row r="237" spans="1:5" hidden="1" x14ac:dyDescent="0.2">
      <c r="A237" s="251"/>
      <c r="B237" s="246"/>
      <c r="C237" s="246" t="s">
        <v>496</v>
      </c>
      <c r="D237" s="247">
        <v>614.24</v>
      </c>
      <c r="E237" s="248">
        <v>2</v>
      </c>
    </row>
    <row r="238" spans="1:5" hidden="1" x14ac:dyDescent="0.2">
      <c r="A238" s="251"/>
      <c r="B238" s="246"/>
      <c r="C238" s="246" t="s">
        <v>497</v>
      </c>
      <c r="D238" s="247">
        <v>609.91</v>
      </c>
      <c r="E238" s="248">
        <v>3</v>
      </c>
    </row>
    <row r="239" spans="1:5" hidden="1" x14ac:dyDescent="0.2">
      <c r="A239" s="251"/>
      <c r="B239" s="246"/>
      <c r="C239" s="246" t="s">
        <v>498</v>
      </c>
      <c r="D239" s="247">
        <v>604.78</v>
      </c>
      <c r="E239" s="248">
        <v>4</v>
      </c>
    </row>
    <row r="240" spans="1:5" hidden="1" x14ac:dyDescent="0.2">
      <c r="A240" s="251"/>
      <c r="B240" s="246"/>
      <c r="C240" s="246" t="s">
        <v>499</v>
      </c>
      <c r="D240" s="247">
        <v>602.30999999999995</v>
      </c>
      <c r="E240" s="248">
        <v>5</v>
      </c>
    </row>
    <row r="241" spans="1:5" hidden="1" x14ac:dyDescent="0.2">
      <c r="A241" s="251"/>
      <c r="B241" s="246"/>
      <c r="C241" s="246" t="s">
        <v>500</v>
      </c>
      <c r="D241" s="247">
        <v>601.52</v>
      </c>
      <c r="E241" s="248">
        <v>2</v>
      </c>
    </row>
    <row r="242" spans="1:5" hidden="1" x14ac:dyDescent="0.2">
      <c r="A242" s="251"/>
      <c r="B242" s="246"/>
      <c r="C242" s="246" t="s">
        <v>501</v>
      </c>
      <c r="D242" s="247">
        <v>594.67999999999995</v>
      </c>
      <c r="E242" s="248">
        <v>3</v>
      </c>
    </row>
    <row r="243" spans="1:5" hidden="1" x14ac:dyDescent="0.2">
      <c r="A243" s="251"/>
      <c r="B243" s="246"/>
      <c r="C243" s="246" t="s">
        <v>502</v>
      </c>
      <c r="D243" s="247">
        <v>593.14</v>
      </c>
      <c r="E243" s="248">
        <v>1</v>
      </c>
    </row>
    <row r="244" spans="1:5" hidden="1" x14ac:dyDescent="0.2">
      <c r="A244" s="251"/>
      <c r="B244" s="246"/>
      <c r="C244" s="246" t="s">
        <v>503</v>
      </c>
      <c r="D244" s="247">
        <v>593.04999999999995</v>
      </c>
      <c r="E244" s="248">
        <v>2</v>
      </c>
    </row>
    <row r="245" spans="1:5" hidden="1" x14ac:dyDescent="0.2">
      <c r="A245" s="251"/>
      <c r="B245" s="246"/>
      <c r="C245" s="246" t="s">
        <v>504</v>
      </c>
      <c r="D245" s="247">
        <v>593.04999999999995</v>
      </c>
      <c r="E245" s="248">
        <v>3</v>
      </c>
    </row>
    <row r="246" spans="1:5" hidden="1" x14ac:dyDescent="0.2">
      <c r="A246" s="251"/>
      <c r="B246" s="246"/>
      <c r="C246" s="246" t="s">
        <v>505</v>
      </c>
      <c r="D246" s="247">
        <v>592.97</v>
      </c>
      <c r="E246" s="248">
        <v>3</v>
      </c>
    </row>
    <row r="247" spans="1:5" hidden="1" x14ac:dyDescent="0.2">
      <c r="A247" s="251"/>
      <c r="B247" s="246"/>
      <c r="C247" s="246" t="s">
        <v>2270</v>
      </c>
      <c r="D247" s="247">
        <v>584.66</v>
      </c>
      <c r="E247" s="248">
        <v>1</v>
      </c>
    </row>
    <row r="248" spans="1:5" hidden="1" x14ac:dyDescent="0.2">
      <c r="A248" s="251"/>
      <c r="B248" s="246"/>
      <c r="C248" s="246" t="s">
        <v>2271</v>
      </c>
      <c r="D248" s="247">
        <v>584.66</v>
      </c>
      <c r="E248" s="248">
        <v>1</v>
      </c>
    </row>
    <row r="249" spans="1:5" hidden="1" x14ac:dyDescent="0.2">
      <c r="A249" s="251"/>
      <c r="B249" s="246"/>
      <c r="C249" s="246" t="s">
        <v>507</v>
      </c>
      <c r="D249" s="247">
        <v>584.66</v>
      </c>
      <c r="E249" s="248">
        <v>1</v>
      </c>
    </row>
    <row r="250" spans="1:5" hidden="1" x14ac:dyDescent="0.2">
      <c r="A250" s="251"/>
      <c r="B250" s="246"/>
      <c r="C250" s="246" t="s">
        <v>506</v>
      </c>
      <c r="D250" s="247">
        <v>584.66</v>
      </c>
      <c r="E250" s="248">
        <v>1</v>
      </c>
    </row>
    <row r="251" spans="1:5" hidden="1" x14ac:dyDescent="0.2">
      <c r="A251" s="251"/>
      <c r="B251" s="246"/>
      <c r="C251" s="246" t="s">
        <v>508</v>
      </c>
      <c r="D251" s="247">
        <v>567.71</v>
      </c>
      <c r="E251" s="248">
        <v>1</v>
      </c>
    </row>
    <row r="252" spans="1:5" hidden="1" x14ac:dyDescent="0.2">
      <c r="A252" s="251"/>
      <c r="B252" s="246"/>
      <c r="C252" s="246" t="s">
        <v>509</v>
      </c>
      <c r="D252" s="247">
        <v>559.24</v>
      </c>
      <c r="E252" s="248">
        <v>1</v>
      </c>
    </row>
    <row r="253" spans="1:5" hidden="1" x14ac:dyDescent="0.2">
      <c r="A253" s="251"/>
      <c r="B253" s="246"/>
      <c r="C253" s="246" t="s">
        <v>510</v>
      </c>
      <c r="D253" s="247">
        <v>552.32000000000005</v>
      </c>
      <c r="E253" s="248">
        <v>3</v>
      </c>
    </row>
    <row r="254" spans="1:5" hidden="1" x14ac:dyDescent="0.2">
      <c r="A254" s="251"/>
      <c r="B254" s="246"/>
      <c r="C254" s="246" t="s">
        <v>511</v>
      </c>
      <c r="D254" s="247">
        <v>550.76</v>
      </c>
      <c r="E254" s="248">
        <v>3</v>
      </c>
    </row>
    <row r="255" spans="1:5" hidden="1" x14ac:dyDescent="0.2">
      <c r="A255" s="251"/>
      <c r="B255" s="246"/>
      <c r="C255" s="246" t="s">
        <v>512</v>
      </c>
      <c r="D255" s="247">
        <v>550.76</v>
      </c>
      <c r="E255" s="248">
        <v>3</v>
      </c>
    </row>
    <row r="256" spans="1:5" hidden="1" x14ac:dyDescent="0.2">
      <c r="A256" s="251"/>
      <c r="B256" s="246"/>
      <c r="C256" s="246" t="s">
        <v>513</v>
      </c>
      <c r="D256" s="247">
        <v>550.76</v>
      </c>
      <c r="E256" s="248">
        <v>3</v>
      </c>
    </row>
    <row r="257" spans="1:5" hidden="1" x14ac:dyDescent="0.2">
      <c r="A257" s="251"/>
      <c r="B257" s="246"/>
      <c r="C257" s="246" t="s">
        <v>514</v>
      </c>
      <c r="D257" s="247">
        <v>550.76</v>
      </c>
      <c r="E257" s="248">
        <v>2</v>
      </c>
    </row>
    <row r="258" spans="1:5" hidden="1" x14ac:dyDescent="0.2">
      <c r="A258" s="251"/>
      <c r="B258" s="246"/>
      <c r="C258" s="246" t="s">
        <v>515</v>
      </c>
      <c r="D258" s="247">
        <v>550.76</v>
      </c>
      <c r="E258" s="248">
        <v>2</v>
      </c>
    </row>
    <row r="259" spans="1:5" hidden="1" x14ac:dyDescent="0.2">
      <c r="A259" s="251"/>
      <c r="B259" s="246"/>
      <c r="C259" s="246" t="s">
        <v>516</v>
      </c>
      <c r="D259" s="247">
        <v>550.76</v>
      </c>
      <c r="E259" s="248">
        <v>3</v>
      </c>
    </row>
    <row r="260" spans="1:5" hidden="1" x14ac:dyDescent="0.2">
      <c r="A260" s="251"/>
      <c r="B260" s="246"/>
      <c r="C260" s="246" t="s">
        <v>517</v>
      </c>
      <c r="D260" s="247">
        <v>550.76</v>
      </c>
      <c r="E260" s="248">
        <v>4</v>
      </c>
    </row>
    <row r="261" spans="1:5" hidden="1" x14ac:dyDescent="0.2">
      <c r="A261" s="251"/>
      <c r="B261" s="246"/>
      <c r="C261" s="246" t="s">
        <v>518</v>
      </c>
      <c r="D261" s="247">
        <v>550.76</v>
      </c>
      <c r="E261" s="248">
        <v>3</v>
      </c>
    </row>
    <row r="262" spans="1:5" hidden="1" x14ac:dyDescent="0.2">
      <c r="A262" s="251"/>
      <c r="B262" s="246"/>
      <c r="C262" s="246" t="s">
        <v>519</v>
      </c>
      <c r="D262" s="247">
        <v>550.76</v>
      </c>
      <c r="E262" s="248">
        <v>3</v>
      </c>
    </row>
    <row r="263" spans="1:5" hidden="1" x14ac:dyDescent="0.2">
      <c r="A263" s="251"/>
      <c r="B263" s="246"/>
      <c r="C263" s="246" t="s">
        <v>520</v>
      </c>
      <c r="D263" s="247">
        <v>550.76</v>
      </c>
      <c r="E263" s="248">
        <v>3</v>
      </c>
    </row>
    <row r="264" spans="1:5" hidden="1" x14ac:dyDescent="0.2">
      <c r="A264" s="251"/>
      <c r="B264" s="246"/>
      <c r="C264" s="246" t="s">
        <v>521</v>
      </c>
      <c r="D264" s="247">
        <v>550.76</v>
      </c>
      <c r="E264" s="248">
        <v>3</v>
      </c>
    </row>
    <row r="265" spans="1:5" hidden="1" x14ac:dyDescent="0.2">
      <c r="A265" s="251"/>
      <c r="B265" s="246"/>
      <c r="C265" s="246" t="s">
        <v>522</v>
      </c>
      <c r="D265" s="247">
        <v>550.76</v>
      </c>
      <c r="E265" s="248">
        <v>3</v>
      </c>
    </row>
    <row r="266" spans="1:5" hidden="1" x14ac:dyDescent="0.2">
      <c r="A266" s="251"/>
      <c r="B266" s="246"/>
      <c r="C266" s="246" t="s">
        <v>523</v>
      </c>
      <c r="D266" s="247">
        <v>550.76</v>
      </c>
      <c r="E266" s="248">
        <v>3</v>
      </c>
    </row>
    <row r="267" spans="1:5" hidden="1" x14ac:dyDescent="0.2">
      <c r="A267" s="251"/>
      <c r="B267" s="246"/>
      <c r="C267" s="246" t="s">
        <v>524</v>
      </c>
      <c r="D267" s="247">
        <v>550.76</v>
      </c>
      <c r="E267" s="248">
        <v>3</v>
      </c>
    </row>
    <row r="268" spans="1:5" hidden="1" x14ac:dyDescent="0.2">
      <c r="A268" s="251"/>
      <c r="B268" s="246"/>
      <c r="C268" s="246" t="s">
        <v>525</v>
      </c>
      <c r="D268" s="247">
        <v>550.76</v>
      </c>
      <c r="E268" s="248">
        <v>4</v>
      </c>
    </row>
    <row r="269" spans="1:5" hidden="1" x14ac:dyDescent="0.2">
      <c r="A269" s="251"/>
      <c r="B269" s="246"/>
      <c r="C269" s="246" t="s">
        <v>526</v>
      </c>
      <c r="D269" s="247">
        <v>550.76</v>
      </c>
      <c r="E269" s="248">
        <v>3</v>
      </c>
    </row>
    <row r="270" spans="1:5" hidden="1" x14ac:dyDescent="0.2">
      <c r="A270" s="251"/>
      <c r="B270" s="246"/>
      <c r="C270" s="246" t="s">
        <v>527</v>
      </c>
      <c r="D270" s="247">
        <v>550.76</v>
      </c>
      <c r="E270" s="248">
        <v>3</v>
      </c>
    </row>
    <row r="271" spans="1:5" hidden="1" x14ac:dyDescent="0.2">
      <c r="A271" s="251"/>
      <c r="B271" s="246"/>
      <c r="C271" s="246" t="s">
        <v>528</v>
      </c>
      <c r="D271" s="247">
        <v>550.76</v>
      </c>
      <c r="E271" s="248">
        <v>3</v>
      </c>
    </row>
    <row r="272" spans="1:5" hidden="1" x14ac:dyDescent="0.2">
      <c r="A272" s="251"/>
      <c r="B272" s="246"/>
      <c r="C272" s="246" t="s">
        <v>529</v>
      </c>
      <c r="D272" s="247">
        <v>550.76</v>
      </c>
      <c r="E272" s="248">
        <v>3</v>
      </c>
    </row>
    <row r="273" spans="1:5" hidden="1" x14ac:dyDescent="0.2">
      <c r="A273" s="251"/>
      <c r="B273" s="246"/>
      <c r="C273" s="246" t="s">
        <v>530</v>
      </c>
      <c r="D273" s="247">
        <v>550.76</v>
      </c>
      <c r="E273" s="248">
        <v>4</v>
      </c>
    </row>
    <row r="274" spans="1:5" hidden="1" x14ac:dyDescent="0.2">
      <c r="A274" s="251"/>
      <c r="B274" s="246"/>
      <c r="C274" s="246" t="s">
        <v>531</v>
      </c>
      <c r="D274" s="247">
        <v>550.76</v>
      </c>
      <c r="E274" s="248">
        <v>3</v>
      </c>
    </row>
    <row r="275" spans="1:5" hidden="1" x14ac:dyDescent="0.2">
      <c r="A275" s="251"/>
      <c r="B275" s="246"/>
      <c r="C275" s="246" t="s">
        <v>532</v>
      </c>
      <c r="D275" s="247">
        <v>550.76</v>
      </c>
      <c r="E275" s="248">
        <v>2</v>
      </c>
    </row>
    <row r="276" spans="1:5" hidden="1" x14ac:dyDescent="0.2">
      <c r="A276" s="251"/>
      <c r="B276" s="246"/>
      <c r="C276" s="246" t="s">
        <v>533</v>
      </c>
      <c r="D276" s="247">
        <v>550.76</v>
      </c>
      <c r="E276" s="248">
        <v>3</v>
      </c>
    </row>
    <row r="277" spans="1:5" hidden="1" x14ac:dyDescent="0.2">
      <c r="A277" s="251"/>
      <c r="B277" s="246"/>
      <c r="C277" s="246" t="s">
        <v>534</v>
      </c>
      <c r="D277" s="247">
        <v>550.76</v>
      </c>
      <c r="E277" s="248">
        <v>4</v>
      </c>
    </row>
    <row r="278" spans="1:5" hidden="1" x14ac:dyDescent="0.2">
      <c r="A278" s="251"/>
      <c r="B278" s="246"/>
      <c r="C278" s="246" t="s">
        <v>535</v>
      </c>
      <c r="D278" s="247">
        <v>550.76</v>
      </c>
      <c r="E278" s="248">
        <v>3</v>
      </c>
    </row>
    <row r="279" spans="1:5" hidden="1" x14ac:dyDescent="0.2">
      <c r="A279" s="251"/>
      <c r="B279" s="246"/>
      <c r="C279" s="246" t="s">
        <v>536</v>
      </c>
      <c r="D279" s="247">
        <v>550.76</v>
      </c>
      <c r="E279" s="248">
        <v>3</v>
      </c>
    </row>
    <row r="280" spans="1:5" hidden="1" x14ac:dyDescent="0.2">
      <c r="A280" s="251"/>
      <c r="B280" s="246"/>
      <c r="C280" s="246" t="s">
        <v>537</v>
      </c>
      <c r="D280" s="247">
        <v>550.76</v>
      </c>
      <c r="E280" s="248">
        <v>3</v>
      </c>
    </row>
    <row r="281" spans="1:5" hidden="1" x14ac:dyDescent="0.2">
      <c r="A281" s="251"/>
      <c r="B281" s="246"/>
      <c r="C281" s="246" t="s">
        <v>538</v>
      </c>
      <c r="D281" s="247">
        <v>550.76</v>
      </c>
      <c r="E281" s="248">
        <v>3</v>
      </c>
    </row>
    <row r="282" spans="1:5" hidden="1" x14ac:dyDescent="0.2">
      <c r="A282" s="251"/>
      <c r="B282" s="246"/>
      <c r="C282" s="246" t="s">
        <v>539</v>
      </c>
      <c r="D282" s="247">
        <v>550.76</v>
      </c>
      <c r="E282" s="248">
        <v>3</v>
      </c>
    </row>
    <row r="283" spans="1:5" hidden="1" x14ac:dyDescent="0.2">
      <c r="A283" s="251"/>
      <c r="B283" s="246"/>
      <c r="C283" s="246" t="s">
        <v>540</v>
      </c>
      <c r="D283" s="247">
        <v>550.76</v>
      </c>
      <c r="E283" s="248">
        <v>4</v>
      </c>
    </row>
    <row r="284" spans="1:5" hidden="1" x14ac:dyDescent="0.2">
      <c r="A284" s="251"/>
      <c r="B284" s="246"/>
      <c r="C284" s="246" t="s">
        <v>541</v>
      </c>
      <c r="D284" s="247">
        <v>550.76</v>
      </c>
      <c r="E284" s="248">
        <v>3</v>
      </c>
    </row>
    <row r="285" spans="1:5" hidden="1" x14ac:dyDescent="0.2">
      <c r="A285" s="251"/>
      <c r="B285" s="246"/>
      <c r="C285" s="246" t="s">
        <v>542</v>
      </c>
      <c r="D285" s="247">
        <v>550.76</v>
      </c>
      <c r="E285" s="248">
        <v>3</v>
      </c>
    </row>
    <row r="286" spans="1:5" hidden="1" x14ac:dyDescent="0.2">
      <c r="A286" s="251"/>
      <c r="B286" s="246"/>
      <c r="C286" s="246" t="s">
        <v>543</v>
      </c>
      <c r="D286" s="247">
        <v>550.76</v>
      </c>
      <c r="E286" s="248">
        <v>3</v>
      </c>
    </row>
    <row r="287" spans="1:5" hidden="1" x14ac:dyDescent="0.2">
      <c r="A287" s="251"/>
      <c r="B287" s="246"/>
      <c r="C287" s="246" t="s">
        <v>544</v>
      </c>
      <c r="D287" s="247">
        <v>550.76</v>
      </c>
      <c r="E287" s="248">
        <v>3</v>
      </c>
    </row>
    <row r="288" spans="1:5" hidden="1" x14ac:dyDescent="0.2">
      <c r="A288" s="251"/>
      <c r="B288" s="246"/>
      <c r="C288" s="246" t="s">
        <v>545</v>
      </c>
      <c r="D288" s="247">
        <v>550.76</v>
      </c>
      <c r="E288" s="248">
        <v>3</v>
      </c>
    </row>
    <row r="289" spans="1:5" hidden="1" x14ac:dyDescent="0.2">
      <c r="A289" s="251"/>
      <c r="B289" s="246"/>
      <c r="C289" s="246" t="s">
        <v>546</v>
      </c>
      <c r="D289" s="247">
        <v>550.76</v>
      </c>
      <c r="E289" s="248">
        <v>3</v>
      </c>
    </row>
    <row r="290" spans="1:5" hidden="1" x14ac:dyDescent="0.2">
      <c r="A290" s="251"/>
      <c r="B290" s="246"/>
      <c r="C290" s="246" t="s">
        <v>547</v>
      </c>
      <c r="D290" s="247">
        <v>550.76</v>
      </c>
      <c r="E290" s="248">
        <v>3</v>
      </c>
    </row>
    <row r="291" spans="1:5" hidden="1" x14ac:dyDescent="0.2">
      <c r="A291" s="251"/>
      <c r="B291" s="246"/>
      <c r="C291" s="246" t="s">
        <v>548</v>
      </c>
      <c r="D291" s="247">
        <v>550.76</v>
      </c>
      <c r="E291" s="248">
        <v>3</v>
      </c>
    </row>
    <row r="292" spans="1:5" hidden="1" x14ac:dyDescent="0.2">
      <c r="A292" s="251"/>
      <c r="B292" s="246"/>
      <c r="C292" s="246" t="s">
        <v>549</v>
      </c>
      <c r="D292" s="247">
        <v>550.76</v>
      </c>
      <c r="E292" s="248">
        <v>3</v>
      </c>
    </row>
    <row r="293" spans="1:5" hidden="1" x14ac:dyDescent="0.2">
      <c r="A293" s="251"/>
      <c r="B293" s="246"/>
      <c r="C293" s="246" t="s">
        <v>550</v>
      </c>
      <c r="D293" s="247">
        <v>550.76</v>
      </c>
      <c r="E293" s="248">
        <v>3</v>
      </c>
    </row>
    <row r="294" spans="1:5" hidden="1" x14ac:dyDescent="0.2">
      <c r="A294" s="251"/>
      <c r="B294" s="246"/>
      <c r="C294" s="246" t="s">
        <v>551</v>
      </c>
      <c r="D294" s="247">
        <v>550.76</v>
      </c>
      <c r="E294" s="248">
        <v>3</v>
      </c>
    </row>
    <row r="295" spans="1:5" hidden="1" x14ac:dyDescent="0.2">
      <c r="A295" s="251"/>
      <c r="B295" s="246"/>
      <c r="C295" s="246" t="s">
        <v>552</v>
      </c>
      <c r="D295" s="247">
        <v>550.76</v>
      </c>
      <c r="E295" s="248">
        <v>3</v>
      </c>
    </row>
    <row r="296" spans="1:5" hidden="1" x14ac:dyDescent="0.2">
      <c r="A296" s="251"/>
      <c r="B296" s="246"/>
      <c r="C296" s="246" t="s">
        <v>553</v>
      </c>
      <c r="D296" s="247">
        <v>550.76</v>
      </c>
      <c r="E296" s="248">
        <v>3</v>
      </c>
    </row>
    <row r="297" spans="1:5" hidden="1" x14ac:dyDescent="0.2">
      <c r="A297" s="251"/>
      <c r="B297" s="246"/>
      <c r="C297" s="246" t="s">
        <v>2272</v>
      </c>
      <c r="D297" s="247">
        <v>550.67999999999995</v>
      </c>
      <c r="E297" s="248">
        <v>2</v>
      </c>
    </row>
    <row r="298" spans="1:5" hidden="1" x14ac:dyDescent="0.2">
      <c r="A298" s="251"/>
      <c r="B298" s="246"/>
      <c r="C298" s="246" t="s">
        <v>554</v>
      </c>
      <c r="D298" s="247">
        <v>548.91999999999996</v>
      </c>
      <c r="E298" s="248">
        <v>4</v>
      </c>
    </row>
    <row r="299" spans="1:5" hidden="1" x14ac:dyDescent="0.2">
      <c r="A299" s="251"/>
      <c r="B299" s="246"/>
      <c r="C299" s="246" t="s">
        <v>555</v>
      </c>
      <c r="D299" s="247">
        <v>539.01</v>
      </c>
      <c r="E299" s="248">
        <v>4</v>
      </c>
    </row>
    <row r="300" spans="1:5" hidden="1" x14ac:dyDescent="0.2">
      <c r="A300" s="251"/>
      <c r="B300" s="246"/>
      <c r="C300" s="246" t="s">
        <v>556</v>
      </c>
      <c r="D300" s="247">
        <v>535.58000000000004</v>
      </c>
      <c r="E300" s="248">
        <v>10</v>
      </c>
    </row>
    <row r="301" spans="1:5" hidden="1" x14ac:dyDescent="0.2">
      <c r="A301" s="251"/>
      <c r="B301" s="246"/>
      <c r="C301" s="246" t="s">
        <v>557</v>
      </c>
      <c r="D301" s="247">
        <v>533.75</v>
      </c>
      <c r="E301" s="248">
        <v>2</v>
      </c>
    </row>
    <row r="302" spans="1:5" hidden="1" x14ac:dyDescent="0.2">
      <c r="A302" s="251"/>
      <c r="B302" s="246"/>
      <c r="C302" s="246" t="s">
        <v>558</v>
      </c>
      <c r="D302" s="247">
        <v>533.75</v>
      </c>
      <c r="E302" s="248">
        <v>2</v>
      </c>
    </row>
    <row r="303" spans="1:5" hidden="1" x14ac:dyDescent="0.2">
      <c r="A303" s="251"/>
      <c r="B303" s="246"/>
      <c r="C303" s="246" t="s">
        <v>559</v>
      </c>
      <c r="D303" s="247">
        <v>533.75</v>
      </c>
      <c r="E303" s="248">
        <v>3</v>
      </c>
    </row>
    <row r="304" spans="1:5" hidden="1" x14ac:dyDescent="0.2">
      <c r="A304" s="251"/>
      <c r="B304" s="246"/>
      <c r="C304" s="246" t="s">
        <v>560</v>
      </c>
      <c r="D304" s="247">
        <v>533.75</v>
      </c>
      <c r="E304" s="248">
        <v>3</v>
      </c>
    </row>
    <row r="305" spans="1:5" hidden="1" x14ac:dyDescent="0.2">
      <c r="A305" s="251"/>
      <c r="B305" s="246"/>
      <c r="C305" s="246" t="s">
        <v>561</v>
      </c>
      <c r="D305" s="247">
        <v>533.75</v>
      </c>
      <c r="E305" s="248">
        <v>3</v>
      </c>
    </row>
    <row r="306" spans="1:5" hidden="1" x14ac:dyDescent="0.2">
      <c r="A306" s="251"/>
      <c r="B306" s="246"/>
      <c r="C306" s="246" t="s">
        <v>562</v>
      </c>
      <c r="D306" s="247">
        <v>533.75</v>
      </c>
      <c r="E306" s="248">
        <v>2</v>
      </c>
    </row>
    <row r="307" spans="1:5" hidden="1" x14ac:dyDescent="0.2">
      <c r="A307" s="251"/>
      <c r="B307" s="246"/>
      <c r="C307" s="246" t="s">
        <v>563</v>
      </c>
      <c r="D307" s="247">
        <v>533.75</v>
      </c>
      <c r="E307" s="248">
        <v>3</v>
      </c>
    </row>
    <row r="308" spans="1:5" hidden="1" x14ac:dyDescent="0.2">
      <c r="A308" s="251"/>
      <c r="B308" s="246"/>
      <c r="C308" s="246" t="s">
        <v>564</v>
      </c>
      <c r="D308" s="247">
        <v>533.75</v>
      </c>
      <c r="E308" s="248">
        <v>3</v>
      </c>
    </row>
    <row r="309" spans="1:5" hidden="1" x14ac:dyDescent="0.2">
      <c r="A309" s="251"/>
      <c r="B309" s="246"/>
      <c r="C309" s="246" t="s">
        <v>565</v>
      </c>
      <c r="D309" s="247">
        <v>533.75</v>
      </c>
      <c r="E309" s="248">
        <v>3</v>
      </c>
    </row>
    <row r="310" spans="1:5" hidden="1" x14ac:dyDescent="0.2">
      <c r="A310" s="251"/>
      <c r="B310" s="246"/>
      <c r="C310" s="246" t="s">
        <v>566</v>
      </c>
      <c r="D310" s="247">
        <v>533.75</v>
      </c>
      <c r="E310" s="248">
        <v>3</v>
      </c>
    </row>
    <row r="311" spans="1:5" hidden="1" x14ac:dyDescent="0.2">
      <c r="A311" s="251"/>
      <c r="B311" s="246"/>
      <c r="C311" s="246" t="s">
        <v>567</v>
      </c>
      <c r="D311" s="247">
        <v>533.75</v>
      </c>
      <c r="E311" s="248">
        <v>3</v>
      </c>
    </row>
    <row r="312" spans="1:5" hidden="1" x14ac:dyDescent="0.2">
      <c r="A312" s="251"/>
      <c r="B312" s="246"/>
      <c r="C312" s="246" t="s">
        <v>568</v>
      </c>
      <c r="D312" s="247">
        <v>533.75</v>
      </c>
      <c r="E312" s="248">
        <v>3</v>
      </c>
    </row>
    <row r="313" spans="1:5" hidden="1" x14ac:dyDescent="0.2">
      <c r="A313" s="251"/>
      <c r="B313" s="246"/>
      <c r="C313" s="246" t="s">
        <v>569</v>
      </c>
      <c r="D313" s="247">
        <v>533.75</v>
      </c>
      <c r="E313" s="248">
        <v>3</v>
      </c>
    </row>
    <row r="314" spans="1:5" hidden="1" x14ac:dyDescent="0.2">
      <c r="A314" s="251"/>
      <c r="B314" s="246"/>
      <c r="C314" s="246" t="s">
        <v>570</v>
      </c>
      <c r="D314" s="247">
        <v>533.75</v>
      </c>
      <c r="E314" s="248">
        <v>3</v>
      </c>
    </row>
    <row r="315" spans="1:5" hidden="1" x14ac:dyDescent="0.2">
      <c r="A315" s="251"/>
      <c r="B315" s="246"/>
      <c r="C315" s="246" t="s">
        <v>571</v>
      </c>
      <c r="D315" s="247">
        <v>533.75</v>
      </c>
      <c r="E315" s="248">
        <v>3</v>
      </c>
    </row>
    <row r="316" spans="1:5" hidden="1" x14ac:dyDescent="0.2">
      <c r="A316" s="251"/>
      <c r="B316" s="246"/>
      <c r="C316" s="246" t="s">
        <v>572</v>
      </c>
      <c r="D316" s="247">
        <v>533.75</v>
      </c>
      <c r="E316" s="248">
        <v>3</v>
      </c>
    </row>
    <row r="317" spans="1:5" hidden="1" x14ac:dyDescent="0.2">
      <c r="A317" s="251"/>
      <c r="B317" s="246"/>
      <c r="C317" s="246" t="s">
        <v>573</v>
      </c>
      <c r="D317" s="247">
        <v>533.75</v>
      </c>
      <c r="E317" s="248">
        <v>3</v>
      </c>
    </row>
    <row r="318" spans="1:5" hidden="1" x14ac:dyDescent="0.2">
      <c r="A318" s="251"/>
      <c r="B318" s="246"/>
      <c r="C318" s="246" t="s">
        <v>574</v>
      </c>
      <c r="D318" s="247">
        <v>533.75</v>
      </c>
      <c r="E318" s="248">
        <v>3</v>
      </c>
    </row>
    <row r="319" spans="1:5" hidden="1" x14ac:dyDescent="0.2">
      <c r="A319" s="251"/>
      <c r="B319" s="246"/>
      <c r="C319" s="246" t="s">
        <v>575</v>
      </c>
      <c r="D319" s="247">
        <v>533.75</v>
      </c>
      <c r="E319" s="248">
        <v>3</v>
      </c>
    </row>
    <row r="320" spans="1:5" hidden="1" x14ac:dyDescent="0.2">
      <c r="A320" s="251"/>
      <c r="B320" s="246"/>
      <c r="C320" s="246" t="s">
        <v>576</v>
      </c>
      <c r="D320" s="247">
        <v>533.75</v>
      </c>
      <c r="E320" s="248">
        <v>3</v>
      </c>
    </row>
    <row r="321" spans="1:5" hidden="1" x14ac:dyDescent="0.2">
      <c r="A321" s="251"/>
      <c r="B321" s="246"/>
      <c r="C321" s="246" t="s">
        <v>577</v>
      </c>
      <c r="D321" s="247">
        <v>533.75</v>
      </c>
      <c r="E321" s="248">
        <v>2</v>
      </c>
    </row>
    <row r="322" spans="1:5" hidden="1" x14ac:dyDescent="0.2">
      <c r="A322" s="251"/>
      <c r="B322" s="246"/>
      <c r="C322" s="246" t="s">
        <v>578</v>
      </c>
      <c r="D322" s="247">
        <v>533.75</v>
      </c>
      <c r="E322" s="248">
        <v>3</v>
      </c>
    </row>
    <row r="323" spans="1:5" hidden="1" x14ac:dyDescent="0.2">
      <c r="A323" s="251"/>
      <c r="B323" s="246"/>
      <c r="C323" s="246" t="s">
        <v>579</v>
      </c>
      <c r="D323" s="247">
        <v>533.75</v>
      </c>
      <c r="E323" s="248">
        <v>3</v>
      </c>
    </row>
    <row r="324" spans="1:5" hidden="1" x14ac:dyDescent="0.2">
      <c r="A324" s="251"/>
      <c r="B324" s="246"/>
      <c r="C324" s="246" t="s">
        <v>580</v>
      </c>
      <c r="D324" s="247">
        <v>533.75</v>
      </c>
      <c r="E324" s="248">
        <v>3</v>
      </c>
    </row>
    <row r="325" spans="1:5" hidden="1" x14ac:dyDescent="0.2">
      <c r="A325" s="251"/>
      <c r="B325" s="246"/>
      <c r="C325" s="246" t="s">
        <v>581</v>
      </c>
      <c r="D325" s="247">
        <v>526.19000000000005</v>
      </c>
      <c r="E325" s="248">
        <v>1</v>
      </c>
    </row>
    <row r="326" spans="1:5" hidden="1" x14ac:dyDescent="0.2">
      <c r="A326" s="251"/>
      <c r="B326" s="246"/>
      <c r="C326" s="246" t="s">
        <v>582</v>
      </c>
      <c r="D326" s="247">
        <v>526.04</v>
      </c>
      <c r="E326" s="248">
        <v>4</v>
      </c>
    </row>
    <row r="327" spans="1:5" hidden="1" x14ac:dyDescent="0.2">
      <c r="A327" s="251"/>
      <c r="B327" s="246"/>
      <c r="C327" s="246" t="s">
        <v>583</v>
      </c>
      <c r="D327" s="247">
        <v>520.97</v>
      </c>
      <c r="E327" s="248">
        <v>3</v>
      </c>
    </row>
    <row r="328" spans="1:5" hidden="1" x14ac:dyDescent="0.2">
      <c r="A328" s="251"/>
      <c r="B328" s="246"/>
      <c r="C328" s="246" t="s">
        <v>584</v>
      </c>
      <c r="D328" s="247">
        <v>508.22</v>
      </c>
      <c r="E328" s="248">
        <v>3</v>
      </c>
    </row>
    <row r="329" spans="1:5" hidden="1" x14ac:dyDescent="0.2">
      <c r="A329" s="251"/>
      <c r="B329" s="246"/>
      <c r="C329" s="246" t="s">
        <v>585</v>
      </c>
      <c r="D329" s="247">
        <v>507.76</v>
      </c>
      <c r="E329" s="248">
        <v>12</v>
      </c>
    </row>
    <row r="330" spans="1:5" hidden="1" x14ac:dyDescent="0.2">
      <c r="A330" s="251"/>
      <c r="B330" s="246"/>
      <c r="C330" s="246" t="s">
        <v>586</v>
      </c>
      <c r="D330" s="247">
        <v>504.09</v>
      </c>
      <c r="E330" s="248">
        <v>4</v>
      </c>
    </row>
    <row r="331" spans="1:5" hidden="1" x14ac:dyDescent="0.2">
      <c r="A331" s="251"/>
      <c r="B331" s="246"/>
      <c r="C331" s="246" t="s">
        <v>587</v>
      </c>
      <c r="D331" s="247">
        <v>495.69</v>
      </c>
      <c r="E331" s="248">
        <v>3</v>
      </c>
    </row>
    <row r="332" spans="1:5" hidden="1" x14ac:dyDescent="0.2">
      <c r="A332" s="251"/>
      <c r="B332" s="246"/>
      <c r="C332" s="246" t="s">
        <v>2273</v>
      </c>
      <c r="D332" s="247">
        <v>495.69</v>
      </c>
      <c r="E332" s="248">
        <v>2</v>
      </c>
    </row>
    <row r="333" spans="1:5" hidden="1" x14ac:dyDescent="0.2">
      <c r="A333" s="251"/>
      <c r="B333" s="246"/>
      <c r="C333" s="246" t="s">
        <v>588</v>
      </c>
      <c r="D333" s="247">
        <v>495.69</v>
      </c>
      <c r="E333" s="248">
        <v>3</v>
      </c>
    </row>
    <row r="334" spans="1:5" hidden="1" x14ac:dyDescent="0.2">
      <c r="A334" s="251"/>
      <c r="B334" s="246"/>
      <c r="C334" s="246" t="s">
        <v>589</v>
      </c>
      <c r="D334" s="247">
        <v>495.69</v>
      </c>
      <c r="E334" s="248">
        <v>3</v>
      </c>
    </row>
    <row r="335" spans="1:5" hidden="1" x14ac:dyDescent="0.2">
      <c r="A335" s="251"/>
      <c r="B335" s="246"/>
      <c r="C335" s="246" t="s">
        <v>590</v>
      </c>
      <c r="D335" s="247">
        <v>495.69</v>
      </c>
      <c r="E335" s="248">
        <v>3</v>
      </c>
    </row>
    <row r="336" spans="1:5" hidden="1" x14ac:dyDescent="0.2">
      <c r="A336" s="251"/>
      <c r="B336" s="246"/>
      <c r="C336" s="246" t="s">
        <v>591</v>
      </c>
      <c r="D336" s="247">
        <v>495.69</v>
      </c>
      <c r="E336" s="248">
        <v>3</v>
      </c>
    </row>
    <row r="337" spans="1:5" hidden="1" x14ac:dyDescent="0.2">
      <c r="A337" s="251"/>
      <c r="B337" s="246"/>
      <c r="C337" s="246" t="s">
        <v>592</v>
      </c>
      <c r="D337" s="247">
        <v>495.69</v>
      </c>
      <c r="E337" s="248">
        <v>3</v>
      </c>
    </row>
    <row r="338" spans="1:5" hidden="1" x14ac:dyDescent="0.2">
      <c r="A338" s="251"/>
      <c r="B338" s="246"/>
      <c r="C338" s="246" t="s">
        <v>593</v>
      </c>
      <c r="D338" s="247">
        <v>465.93</v>
      </c>
      <c r="E338" s="248">
        <v>2</v>
      </c>
    </row>
    <row r="339" spans="1:5" hidden="1" x14ac:dyDescent="0.2">
      <c r="A339" s="251"/>
      <c r="B339" s="246"/>
      <c r="C339" s="246" t="s">
        <v>594</v>
      </c>
      <c r="D339" s="247">
        <v>465.85</v>
      </c>
      <c r="E339" s="248">
        <v>3</v>
      </c>
    </row>
    <row r="340" spans="1:5" hidden="1" x14ac:dyDescent="0.2">
      <c r="A340" s="251"/>
      <c r="B340" s="246"/>
      <c r="C340" s="246" t="s">
        <v>595</v>
      </c>
      <c r="D340" s="247">
        <v>462.64</v>
      </c>
      <c r="E340" s="248">
        <v>4</v>
      </c>
    </row>
    <row r="341" spans="1:5" hidden="1" x14ac:dyDescent="0.2">
      <c r="A341" s="251"/>
      <c r="B341" s="246"/>
      <c r="C341" s="246" t="s">
        <v>596</v>
      </c>
      <c r="D341" s="247">
        <v>460.75</v>
      </c>
      <c r="E341" s="248">
        <v>5</v>
      </c>
    </row>
    <row r="342" spans="1:5" hidden="1" x14ac:dyDescent="0.2">
      <c r="A342" s="251"/>
      <c r="B342" s="246"/>
      <c r="C342" s="246" t="s">
        <v>597</v>
      </c>
      <c r="D342" s="247">
        <v>457.4</v>
      </c>
      <c r="E342" s="248">
        <v>4</v>
      </c>
    </row>
    <row r="343" spans="1:5" hidden="1" x14ac:dyDescent="0.2">
      <c r="A343" s="251"/>
      <c r="B343" s="246"/>
      <c r="C343" s="246" t="s">
        <v>598</v>
      </c>
      <c r="D343" s="247">
        <v>454</v>
      </c>
      <c r="E343" s="248">
        <v>3</v>
      </c>
    </row>
    <row r="344" spans="1:5" hidden="1" x14ac:dyDescent="0.2">
      <c r="A344" s="251"/>
      <c r="B344" s="246"/>
      <c r="C344" s="246" t="s">
        <v>599</v>
      </c>
      <c r="D344" s="247">
        <v>453.3</v>
      </c>
      <c r="E344" s="248">
        <v>1</v>
      </c>
    </row>
    <row r="345" spans="1:5" hidden="1" x14ac:dyDescent="0.2">
      <c r="A345" s="251"/>
      <c r="B345" s="246"/>
      <c r="C345" s="246" t="s">
        <v>600</v>
      </c>
      <c r="D345" s="247">
        <v>440.51</v>
      </c>
      <c r="E345" s="248">
        <v>3</v>
      </c>
    </row>
    <row r="346" spans="1:5" hidden="1" x14ac:dyDescent="0.2">
      <c r="A346" s="251"/>
      <c r="B346" s="246"/>
      <c r="C346" s="246" t="s">
        <v>601</v>
      </c>
      <c r="D346" s="247">
        <v>440.51</v>
      </c>
      <c r="E346" s="248">
        <v>2</v>
      </c>
    </row>
    <row r="347" spans="1:5" hidden="1" x14ac:dyDescent="0.2">
      <c r="A347" s="251"/>
      <c r="B347" s="246"/>
      <c r="C347" s="246" t="s">
        <v>602</v>
      </c>
      <c r="D347" s="247">
        <v>432.31</v>
      </c>
      <c r="E347" s="248">
        <v>12</v>
      </c>
    </row>
    <row r="348" spans="1:5" hidden="1" x14ac:dyDescent="0.2">
      <c r="A348" s="251"/>
      <c r="B348" s="246"/>
      <c r="C348" s="246" t="s">
        <v>603</v>
      </c>
      <c r="D348" s="247">
        <v>428.64</v>
      </c>
      <c r="E348" s="248">
        <v>2</v>
      </c>
    </row>
    <row r="349" spans="1:5" hidden="1" x14ac:dyDescent="0.2">
      <c r="A349" s="251"/>
      <c r="B349" s="246"/>
      <c r="C349" s="246" t="s">
        <v>604</v>
      </c>
      <c r="D349" s="247">
        <v>428.64</v>
      </c>
      <c r="E349" s="248">
        <v>2</v>
      </c>
    </row>
    <row r="350" spans="1:5" hidden="1" x14ac:dyDescent="0.2">
      <c r="A350" s="251"/>
      <c r="B350" s="246"/>
      <c r="C350" s="246" t="s">
        <v>605</v>
      </c>
      <c r="D350" s="247">
        <v>427.04</v>
      </c>
      <c r="E350" s="248">
        <v>1</v>
      </c>
    </row>
    <row r="351" spans="1:5" hidden="1" x14ac:dyDescent="0.2">
      <c r="A351" s="251"/>
      <c r="B351" s="246"/>
      <c r="C351" s="246" t="s">
        <v>606</v>
      </c>
      <c r="D351" s="247">
        <v>423.56</v>
      </c>
      <c r="E351" s="248">
        <v>2</v>
      </c>
    </row>
    <row r="352" spans="1:5" hidden="1" x14ac:dyDescent="0.2">
      <c r="A352" s="251"/>
      <c r="B352" s="246"/>
      <c r="C352" s="246" t="s">
        <v>607</v>
      </c>
      <c r="D352" s="247">
        <v>411.71</v>
      </c>
      <c r="E352" s="248">
        <v>3</v>
      </c>
    </row>
    <row r="353" spans="1:5" hidden="1" x14ac:dyDescent="0.2">
      <c r="A353" s="251"/>
      <c r="B353" s="246"/>
      <c r="C353" s="246" t="s">
        <v>608</v>
      </c>
      <c r="D353" s="247">
        <v>411.52</v>
      </c>
      <c r="E353" s="248">
        <v>4</v>
      </c>
    </row>
    <row r="354" spans="1:5" hidden="1" x14ac:dyDescent="0.2">
      <c r="A354" s="251"/>
      <c r="B354" s="246"/>
      <c r="C354" s="246" t="s">
        <v>609</v>
      </c>
      <c r="D354" s="247">
        <v>406.65</v>
      </c>
      <c r="E354" s="248">
        <v>2</v>
      </c>
    </row>
    <row r="355" spans="1:5" hidden="1" x14ac:dyDescent="0.2">
      <c r="A355" s="251"/>
      <c r="B355" s="246"/>
      <c r="C355" s="246" t="s">
        <v>610</v>
      </c>
      <c r="D355" s="247">
        <v>406.65</v>
      </c>
      <c r="E355" s="248">
        <v>2</v>
      </c>
    </row>
    <row r="356" spans="1:5" hidden="1" x14ac:dyDescent="0.2">
      <c r="A356" s="251"/>
      <c r="B356" s="246"/>
      <c r="C356" s="246" t="s">
        <v>611</v>
      </c>
      <c r="D356" s="247">
        <v>403.98</v>
      </c>
      <c r="E356" s="248">
        <v>3</v>
      </c>
    </row>
    <row r="357" spans="1:5" hidden="1" x14ac:dyDescent="0.2">
      <c r="A357" s="251"/>
      <c r="B357" s="246"/>
      <c r="C357" s="246" t="s">
        <v>612</v>
      </c>
      <c r="D357" s="247">
        <v>398.22</v>
      </c>
      <c r="E357" s="248">
        <v>1</v>
      </c>
    </row>
    <row r="358" spans="1:5" hidden="1" x14ac:dyDescent="0.2">
      <c r="A358" s="251"/>
      <c r="B358" s="246"/>
      <c r="C358" s="246" t="s">
        <v>613</v>
      </c>
      <c r="D358" s="247">
        <v>398.14</v>
      </c>
      <c r="E358" s="248">
        <v>2</v>
      </c>
    </row>
    <row r="359" spans="1:5" hidden="1" x14ac:dyDescent="0.2">
      <c r="A359" s="251"/>
      <c r="B359" s="246"/>
      <c r="C359" s="246" t="s">
        <v>614</v>
      </c>
      <c r="D359" s="247">
        <v>398.14</v>
      </c>
      <c r="E359" s="248">
        <v>2</v>
      </c>
    </row>
    <row r="360" spans="1:5" hidden="1" x14ac:dyDescent="0.2">
      <c r="A360" s="251"/>
      <c r="B360" s="246"/>
      <c r="C360" s="246" t="s">
        <v>615</v>
      </c>
      <c r="D360" s="247">
        <v>398.14</v>
      </c>
      <c r="E360" s="248">
        <v>2</v>
      </c>
    </row>
    <row r="361" spans="1:5" hidden="1" x14ac:dyDescent="0.2">
      <c r="A361" s="251"/>
      <c r="B361" s="246"/>
      <c r="C361" s="246" t="s">
        <v>616</v>
      </c>
      <c r="D361" s="247">
        <v>398.14</v>
      </c>
      <c r="E361" s="248">
        <v>3</v>
      </c>
    </row>
    <row r="362" spans="1:5" hidden="1" x14ac:dyDescent="0.2">
      <c r="A362" s="251"/>
      <c r="B362" s="246"/>
      <c r="C362" s="246" t="s">
        <v>617</v>
      </c>
      <c r="D362" s="247">
        <v>398.14</v>
      </c>
      <c r="E362" s="248">
        <v>2</v>
      </c>
    </row>
    <row r="363" spans="1:5" hidden="1" x14ac:dyDescent="0.2">
      <c r="A363" s="251"/>
      <c r="B363" s="246"/>
      <c r="C363" s="246" t="s">
        <v>618</v>
      </c>
      <c r="D363" s="247">
        <v>398.14</v>
      </c>
      <c r="E363" s="248">
        <v>2</v>
      </c>
    </row>
    <row r="364" spans="1:5" hidden="1" x14ac:dyDescent="0.2">
      <c r="A364" s="251"/>
      <c r="B364" s="246"/>
      <c r="C364" s="246" t="s">
        <v>619</v>
      </c>
      <c r="D364" s="247">
        <v>398.14</v>
      </c>
      <c r="E364" s="248">
        <v>2</v>
      </c>
    </row>
    <row r="365" spans="1:5" hidden="1" x14ac:dyDescent="0.2">
      <c r="A365" s="251"/>
      <c r="B365" s="246"/>
      <c r="C365" s="246" t="s">
        <v>620</v>
      </c>
      <c r="D365" s="247">
        <v>398.14</v>
      </c>
      <c r="E365" s="248">
        <v>2</v>
      </c>
    </row>
    <row r="366" spans="1:5" hidden="1" x14ac:dyDescent="0.2">
      <c r="A366" s="251"/>
      <c r="B366" s="246"/>
      <c r="C366" s="246" t="s">
        <v>621</v>
      </c>
      <c r="D366" s="247">
        <v>398.14</v>
      </c>
      <c r="E366" s="248">
        <v>3</v>
      </c>
    </row>
    <row r="367" spans="1:5" hidden="1" x14ac:dyDescent="0.2">
      <c r="A367" s="251"/>
      <c r="B367" s="246"/>
      <c r="C367" s="246" t="s">
        <v>622</v>
      </c>
      <c r="D367" s="247">
        <v>398.14</v>
      </c>
      <c r="E367" s="248">
        <v>2</v>
      </c>
    </row>
    <row r="368" spans="1:5" hidden="1" x14ac:dyDescent="0.2">
      <c r="A368" s="251"/>
      <c r="B368" s="246"/>
      <c r="C368" s="246" t="s">
        <v>623</v>
      </c>
      <c r="D368" s="247">
        <v>398.14</v>
      </c>
      <c r="E368" s="248">
        <v>2</v>
      </c>
    </row>
    <row r="369" spans="1:5" hidden="1" x14ac:dyDescent="0.2">
      <c r="A369" s="251"/>
      <c r="B369" s="246"/>
      <c r="C369" s="246" t="s">
        <v>624</v>
      </c>
      <c r="D369" s="247">
        <v>398.14</v>
      </c>
      <c r="E369" s="248">
        <v>2</v>
      </c>
    </row>
    <row r="370" spans="1:5" hidden="1" x14ac:dyDescent="0.2">
      <c r="A370" s="251"/>
      <c r="B370" s="246"/>
      <c r="C370" s="246" t="s">
        <v>625</v>
      </c>
      <c r="D370" s="247">
        <v>398.14</v>
      </c>
      <c r="E370" s="248">
        <v>2</v>
      </c>
    </row>
    <row r="371" spans="1:5" hidden="1" x14ac:dyDescent="0.2">
      <c r="A371" s="251"/>
      <c r="B371" s="246"/>
      <c r="C371" s="246" t="s">
        <v>626</v>
      </c>
      <c r="D371" s="247">
        <v>398.14</v>
      </c>
      <c r="E371" s="248">
        <v>2</v>
      </c>
    </row>
    <row r="372" spans="1:5" hidden="1" x14ac:dyDescent="0.2">
      <c r="A372" s="251"/>
      <c r="B372" s="246"/>
      <c r="C372" s="246" t="s">
        <v>627</v>
      </c>
      <c r="D372" s="247">
        <v>398.13</v>
      </c>
      <c r="E372" s="248">
        <v>3</v>
      </c>
    </row>
    <row r="373" spans="1:5" hidden="1" x14ac:dyDescent="0.2">
      <c r="A373" s="251"/>
      <c r="B373" s="246"/>
      <c r="C373" s="246" t="s">
        <v>628</v>
      </c>
      <c r="D373" s="247">
        <v>398.13</v>
      </c>
      <c r="E373" s="248">
        <v>2</v>
      </c>
    </row>
    <row r="374" spans="1:5" hidden="1" x14ac:dyDescent="0.2">
      <c r="A374" s="251"/>
      <c r="B374" s="246"/>
      <c r="C374" s="246" t="s">
        <v>629</v>
      </c>
      <c r="D374" s="247">
        <v>398.13</v>
      </c>
      <c r="E374" s="248">
        <v>2</v>
      </c>
    </row>
    <row r="375" spans="1:5" hidden="1" x14ac:dyDescent="0.2">
      <c r="A375" s="251"/>
      <c r="B375" s="246"/>
      <c r="C375" s="246" t="s">
        <v>630</v>
      </c>
      <c r="D375" s="247">
        <v>398.13</v>
      </c>
      <c r="E375" s="248">
        <v>3</v>
      </c>
    </row>
    <row r="376" spans="1:5" hidden="1" x14ac:dyDescent="0.2">
      <c r="A376" s="251"/>
      <c r="B376" s="246"/>
      <c r="C376" s="246" t="s">
        <v>631</v>
      </c>
      <c r="D376" s="247">
        <v>396.46</v>
      </c>
      <c r="E376" s="248">
        <v>3</v>
      </c>
    </row>
    <row r="377" spans="1:5" hidden="1" x14ac:dyDescent="0.2">
      <c r="A377" s="251"/>
      <c r="B377" s="246"/>
      <c r="C377" s="246" t="s">
        <v>632</v>
      </c>
      <c r="D377" s="247">
        <v>396.46</v>
      </c>
      <c r="E377" s="248">
        <v>2</v>
      </c>
    </row>
    <row r="378" spans="1:5" hidden="1" x14ac:dyDescent="0.2">
      <c r="A378" s="251"/>
      <c r="B378" s="246"/>
      <c r="C378" s="246" t="s">
        <v>633</v>
      </c>
      <c r="D378" s="247">
        <v>396.46</v>
      </c>
      <c r="E378" s="248">
        <v>2</v>
      </c>
    </row>
    <row r="379" spans="1:5" hidden="1" x14ac:dyDescent="0.2">
      <c r="A379" s="251"/>
      <c r="B379" s="246"/>
      <c r="C379" s="246" t="s">
        <v>634</v>
      </c>
      <c r="D379" s="247">
        <v>396.46</v>
      </c>
      <c r="E379" s="248">
        <v>3</v>
      </c>
    </row>
    <row r="380" spans="1:5" hidden="1" x14ac:dyDescent="0.2">
      <c r="A380" s="251"/>
      <c r="B380" s="246"/>
      <c r="C380" s="246" t="s">
        <v>635</v>
      </c>
      <c r="D380" s="247">
        <v>396.45</v>
      </c>
      <c r="E380" s="248">
        <v>3</v>
      </c>
    </row>
    <row r="381" spans="1:5" hidden="1" x14ac:dyDescent="0.2">
      <c r="A381" s="251"/>
      <c r="B381" s="246"/>
      <c r="C381" s="246" t="s">
        <v>636</v>
      </c>
      <c r="D381" s="247">
        <v>396.45</v>
      </c>
      <c r="E381" s="248">
        <v>2</v>
      </c>
    </row>
    <row r="382" spans="1:5" hidden="1" x14ac:dyDescent="0.2">
      <c r="A382" s="251"/>
      <c r="B382" s="246"/>
      <c r="C382" s="246" t="s">
        <v>637</v>
      </c>
      <c r="D382" s="247">
        <v>389.66</v>
      </c>
      <c r="E382" s="248">
        <v>2</v>
      </c>
    </row>
    <row r="383" spans="1:5" hidden="1" x14ac:dyDescent="0.2">
      <c r="A383" s="251"/>
      <c r="B383" s="246"/>
      <c r="C383" s="246" t="s">
        <v>2274</v>
      </c>
      <c r="D383" s="247">
        <v>388.75</v>
      </c>
      <c r="E383" s="248">
        <v>3</v>
      </c>
    </row>
    <row r="384" spans="1:5" hidden="1" x14ac:dyDescent="0.2">
      <c r="A384" s="251"/>
      <c r="B384" s="246"/>
      <c r="C384" s="246" t="s">
        <v>638</v>
      </c>
      <c r="D384" s="247">
        <v>388.75</v>
      </c>
      <c r="E384" s="248">
        <v>3</v>
      </c>
    </row>
    <row r="385" spans="1:5" hidden="1" x14ac:dyDescent="0.2">
      <c r="A385" s="251"/>
      <c r="B385" s="246"/>
      <c r="C385" s="246" t="s">
        <v>639</v>
      </c>
      <c r="D385" s="247">
        <v>385.85</v>
      </c>
      <c r="E385" s="248">
        <v>5</v>
      </c>
    </row>
    <row r="386" spans="1:5" hidden="1" x14ac:dyDescent="0.2">
      <c r="A386" s="251"/>
      <c r="B386" s="246"/>
      <c r="C386" s="246" t="s">
        <v>640</v>
      </c>
      <c r="D386" s="247">
        <v>384.66</v>
      </c>
      <c r="E386" s="248">
        <v>1</v>
      </c>
    </row>
    <row r="387" spans="1:5" hidden="1" x14ac:dyDescent="0.2">
      <c r="A387" s="251"/>
      <c r="B387" s="246"/>
      <c r="C387" s="246" t="s">
        <v>641</v>
      </c>
      <c r="D387" s="247">
        <v>383.73</v>
      </c>
      <c r="E387" s="248">
        <v>2</v>
      </c>
    </row>
    <row r="388" spans="1:5" hidden="1" x14ac:dyDescent="0.2">
      <c r="A388" s="251"/>
      <c r="B388" s="246"/>
      <c r="C388" s="246" t="s">
        <v>2275</v>
      </c>
      <c r="D388" s="247">
        <v>381.28</v>
      </c>
      <c r="E388" s="248">
        <v>1</v>
      </c>
    </row>
    <row r="389" spans="1:5" hidden="1" x14ac:dyDescent="0.2">
      <c r="A389" s="251"/>
      <c r="B389" s="246"/>
      <c r="C389" s="246" t="s">
        <v>2276</v>
      </c>
      <c r="D389" s="247">
        <v>381.27</v>
      </c>
      <c r="E389" s="248">
        <v>1</v>
      </c>
    </row>
    <row r="390" spans="1:5" hidden="1" x14ac:dyDescent="0.2">
      <c r="A390" s="251"/>
      <c r="B390" s="246"/>
      <c r="C390" s="246" t="s">
        <v>643</v>
      </c>
      <c r="D390" s="247">
        <v>381.27</v>
      </c>
      <c r="E390" s="248">
        <v>1</v>
      </c>
    </row>
    <row r="391" spans="1:5" hidden="1" x14ac:dyDescent="0.2">
      <c r="A391" s="251"/>
      <c r="B391" s="246"/>
      <c r="C391" s="246" t="s">
        <v>644</v>
      </c>
      <c r="D391" s="247">
        <v>381.27</v>
      </c>
      <c r="E391" s="248">
        <v>1</v>
      </c>
    </row>
    <row r="392" spans="1:5" hidden="1" x14ac:dyDescent="0.2">
      <c r="A392" s="251"/>
      <c r="B392" s="246"/>
      <c r="C392" s="246" t="s">
        <v>645</v>
      </c>
      <c r="D392" s="247">
        <v>381.27</v>
      </c>
      <c r="E392" s="248">
        <v>1</v>
      </c>
    </row>
    <row r="393" spans="1:5" hidden="1" x14ac:dyDescent="0.2">
      <c r="A393" s="251"/>
      <c r="B393" s="246"/>
      <c r="C393" s="246" t="s">
        <v>646</v>
      </c>
      <c r="D393" s="247">
        <v>381.27</v>
      </c>
      <c r="E393" s="248">
        <v>1</v>
      </c>
    </row>
    <row r="394" spans="1:5" hidden="1" x14ac:dyDescent="0.2">
      <c r="A394" s="251"/>
      <c r="B394" s="246"/>
      <c r="C394" s="246" t="s">
        <v>647</v>
      </c>
      <c r="D394" s="247">
        <v>381.27</v>
      </c>
      <c r="E394" s="248">
        <v>1</v>
      </c>
    </row>
    <row r="395" spans="1:5" hidden="1" x14ac:dyDescent="0.2">
      <c r="A395" s="251"/>
      <c r="B395" s="246"/>
      <c r="C395" s="246" t="s">
        <v>648</v>
      </c>
      <c r="D395" s="247">
        <v>381.27</v>
      </c>
      <c r="E395" s="248">
        <v>1</v>
      </c>
    </row>
    <row r="396" spans="1:5" hidden="1" x14ac:dyDescent="0.2">
      <c r="A396" s="251"/>
      <c r="B396" s="246"/>
      <c r="C396" s="246" t="s">
        <v>649</v>
      </c>
      <c r="D396" s="247">
        <v>381.27</v>
      </c>
      <c r="E396" s="248">
        <v>1</v>
      </c>
    </row>
    <row r="397" spans="1:5" hidden="1" x14ac:dyDescent="0.2">
      <c r="A397" s="251"/>
      <c r="B397" s="246"/>
      <c r="C397" s="246" t="s">
        <v>642</v>
      </c>
      <c r="D397" s="247">
        <v>381.27</v>
      </c>
      <c r="E397" s="248">
        <v>1</v>
      </c>
    </row>
    <row r="398" spans="1:5" hidden="1" x14ac:dyDescent="0.2">
      <c r="A398" s="251"/>
      <c r="B398" s="246"/>
      <c r="C398" s="246" t="s">
        <v>650</v>
      </c>
      <c r="D398" s="247">
        <v>381.2</v>
      </c>
      <c r="E398" s="248">
        <v>2</v>
      </c>
    </row>
    <row r="399" spans="1:5" hidden="1" x14ac:dyDescent="0.2">
      <c r="A399" s="251"/>
      <c r="B399" s="246"/>
      <c r="C399" s="246" t="s">
        <v>651</v>
      </c>
      <c r="D399" s="247">
        <v>381.19</v>
      </c>
      <c r="E399" s="248">
        <v>2</v>
      </c>
    </row>
    <row r="400" spans="1:5" hidden="1" x14ac:dyDescent="0.2">
      <c r="A400" s="251"/>
      <c r="B400" s="246"/>
      <c r="C400" s="246" t="s">
        <v>652</v>
      </c>
      <c r="D400" s="247">
        <v>381.18</v>
      </c>
      <c r="E400" s="248">
        <v>3</v>
      </c>
    </row>
    <row r="401" spans="1:5" hidden="1" x14ac:dyDescent="0.2">
      <c r="A401" s="251"/>
      <c r="B401" s="246"/>
      <c r="C401" s="246" t="s">
        <v>653</v>
      </c>
      <c r="D401" s="247">
        <v>381.18</v>
      </c>
      <c r="E401" s="248">
        <v>2</v>
      </c>
    </row>
    <row r="402" spans="1:5" hidden="1" x14ac:dyDescent="0.2">
      <c r="A402" s="251"/>
      <c r="B402" s="246"/>
      <c r="C402" s="246" t="s">
        <v>654</v>
      </c>
      <c r="D402" s="247">
        <v>381.18</v>
      </c>
      <c r="E402" s="248">
        <v>2</v>
      </c>
    </row>
    <row r="403" spans="1:5" hidden="1" x14ac:dyDescent="0.2">
      <c r="A403" s="251"/>
      <c r="B403" s="246"/>
      <c r="C403" s="246" t="s">
        <v>655</v>
      </c>
      <c r="D403" s="247">
        <v>368.47</v>
      </c>
      <c r="E403" s="248">
        <v>2</v>
      </c>
    </row>
    <row r="404" spans="1:5" hidden="1" x14ac:dyDescent="0.2">
      <c r="A404" s="251"/>
      <c r="B404" s="246"/>
      <c r="C404" s="246" t="s">
        <v>656</v>
      </c>
      <c r="D404" s="247">
        <v>365.83</v>
      </c>
      <c r="E404" s="248">
        <v>4</v>
      </c>
    </row>
    <row r="405" spans="1:5" hidden="1" x14ac:dyDescent="0.2">
      <c r="A405" s="251"/>
      <c r="B405" s="246"/>
      <c r="C405" s="246" t="s">
        <v>657</v>
      </c>
      <c r="D405" s="247">
        <v>364.32</v>
      </c>
      <c r="E405" s="248">
        <v>1</v>
      </c>
    </row>
    <row r="406" spans="1:5" hidden="1" x14ac:dyDescent="0.2">
      <c r="A406" s="251"/>
      <c r="B406" s="246"/>
      <c r="C406" s="246" t="s">
        <v>2277</v>
      </c>
      <c r="D406" s="247">
        <v>364.32</v>
      </c>
      <c r="E406" s="248">
        <v>1</v>
      </c>
    </row>
    <row r="407" spans="1:5" hidden="1" x14ac:dyDescent="0.2">
      <c r="A407" s="251"/>
      <c r="B407" s="246"/>
      <c r="C407" s="246" t="s">
        <v>2278</v>
      </c>
      <c r="D407" s="247">
        <v>364.15</v>
      </c>
      <c r="E407" s="248">
        <v>3</v>
      </c>
    </row>
    <row r="408" spans="1:5" hidden="1" x14ac:dyDescent="0.2">
      <c r="A408" s="251"/>
      <c r="B408" s="246"/>
      <c r="C408" s="246" t="s">
        <v>2279</v>
      </c>
      <c r="D408" s="247">
        <v>362.37</v>
      </c>
      <c r="E408" s="248">
        <v>4</v>
      </c>
    </row>
    <row r="409" spans="1:5" hidden="1" x14ac:dyDescent="0.2">
      <c r="A409" s="251"/>
      <c r="B409" s="246"/>
      <c r="C409" s="246" t="s">
        <v>658</v>
      </c>
      <c r="D409" s="247">
        <v>358.32</v>
      </c>
      <c r="E409" s="248">
        <v>2</v>
      </c>
    </row>
    <row r="410" spans="1:5" hidden="1" x14ac:dyDescent="0.2">
      <c r="A410" s="251"/>
      <c r="B410" s="246"/>
      <c r="C410" s="246" t="s">
        <v>659</v>
      </c>
      <c r="D410" s="247">
        <v>358.32</v>
      </c>
      <c r="E410" s="248">
        <v>3</v>
      </c>
    </row>
    <row r="411" spans="1:5" hidden="1" x14ac:dyDescent="0.2">
      <c r="A411" s="251"/>
      <c r="B411" s="246"/>
      <c r="C411" s="246" t="s">
        <v>660</v>
      </c>
      <c r="D411" s="247">
        <v>355.71</v>
      </c>
      <c r="E411" s="248">
        <v>3</v>
      </c>
    </row>
    <row r="412" spans="1:5" hidden="1" x14ac:dyDescent="0.2">
      <c r="A412" s="251"/>
      <c r="B412" s="246"/>
      <c r="C412" s="246" t="s">
        <v>661</v>
      </c>
      <c r="D412" s="247">
        <v>353.83</v>
      </c>
      <c r="E412" s="248">
        <v>5</v>
      </c>
    </row>
    <row r="413" spans="1:5" hidden="1" x14ac:dyDescent="0.2">
      <c r="A413" s="251"/>
      <c r="B413" s="246"/>
      <c r="C413" s="246" t="s">
        <v>662</v>
      </c>
      <c r="D413" s="247">
        <v>351.61</v>
      </c>
      <c r="E413" s="248">
        <v>1</v>
      </c>
    </row>
    <row r="414" spans="1:5" hidden="1" x14ac:dyDescent="0.2">
      <c r="A414" s="251"/>
      <c r="B414" s="246"/>
      <c r="C414" s="246" t="s">
        <v>663</v>
      </c>
      <c r="D414" s="247">
        <v>351.52</v>
      </c>
      <c r="E414" s="248">
        <v>2</v>
      </c>
    </row>
    <row r="415" spans="1:5" hidden="1" x14ac:dyDescent="0.2">
      <c r="A415" s="251"/>
      <c r="B415" s="246"/>
      <c r="C415" s="246" t="s">
        <v>664</v>
      </c>
      <c r="D415" s="247">
        <v>345.56</v>
      </c>
      <c r="E415" s="248">
        <v>3</v>
      </c>
    </row>
    <row r="416" spans="1:5" hidden="1" x14ac:dyDescent="0.2">
      <c r="A416" s="251"/>
      <c r="B416" s="246"/>
      <c r="C416" s="246" t="s">
        <v>665</v>
      </c>
      <c r="D416" s="247">
        <v>345.2</v>
      </c>
      <c r="E416" s="248">
        <v>4</v>
      </c>
    </row>
    <row r="417" spans="1:5" hidden="1" x14ac:dyDescent="0.2">
      <c r="A417" s="251"/>
      <c r="B417" s="246"/>
      <c r="C417" s="246" t="s">
        <v>666</v>
      </c>
      <c r="D417" s="247">
        <v>343.14</v>
      </c>
      <c r="E417" s="248">
        <v>1</v>
      </c>
    </row>
    <row r="418" spans="1:5" hidden="1" x14ac:dyDescent="0.2">
      <c r="A418" s="251"/>
      <c r="B418" s="246"/>
      <c r="C418" s="246" t="s">
        <v>667</v>
      </c>
      <c r="D418" s="247">
        <v>343.14</v>
      </c>
      <c r="E418" s="248">
        <v>1</v>
      </c>
    </row>
    <row r="419" spans="1:5" hidden="1" x14ac:dyDescent="0.2">
      <c r="A419" s="251"/>
      <c r="B419" s="246"/>
      <c r="C419" s="246" t="s">
        <v>668</v>
      </c>
      <c r="D419" s="247">
        <v>343.14</v>
      </c>
      <c r="E419" s="248">
        <v>1</v>
      </c>
    </row>
    <row r="420" spans="1:5" hidden="1" x14ac:dyDescent="0.2">
      <c r="A420" s="251"/>
      <c r="B420" s="246"/>
      <c r="C420" s="246" t="s">
        <v>669</v>
      </c>
      <c r="D420" s="247">
        <v>343.14</v>
      </c>
      <c r="E420" s="248">
        <v>1</v>
      </c>
    </row>
    <row r="421" spans="1:5" hidden="1" x14ac:dyDescent="0.2">
      <c r="A421" s="251"/>
      <c r="B421" s="246"/>
      <c r="C421" s="246" t="s">
        <v>670</v>
      </c>
      <c r="D421" s="247">
        <v>343.14</v>
      </c>
      <c r="E421" s="248">
        <v>1</v>
      </c>
    </row>
    <row r="422" spans="1:5" hidden="1" x14ac:dyDescent="0.2">
      <c r="A422" s="251"/>
      <c r="B422" s="246"/>
      <c r="C422" s="246" t="s">
        <v>671</v>
      </c>
      <c r="D422" s="247">
        <v>343.14</v>
      </c>
      <c r="E422" s="248">
        <v>1</v>
      </c>
    </row>
    <row r="423" spans="1:5" hidden="1" x14ac:dyDescent="0.2">
      <c r="A423" s="251"/>
      <c r="B423" s="246"/>
      <c r="C423" s="246" t="s">
        <v>672</v>
      </c>
      <c r="D423" s="247">
        <v>342.92</v>
      </c>
      <c r="E423" s="248">
        <v>2</v>
      </c>
    </row>
    <row r="424" spans="1:5" hidden="1" x14ac:dyDescent="0.2">
      <c r="A424" s="251"/>
      <c r="B424" s="246"/>
      <c r="C424" s="246" t="s">
        <v>673</v>
      </c>
      <c r="D424" s="247">
        <v>338.9</v>
      </c>
      <c r="E424" s="248">
        <v>1</v>
      </c>
    </row>
    <row r="425" spans="1:5" hidden="1" x14ac:dyDescent="0.2">
      <c r="A425" s="251"/>
      <c r="B425" s="246"/>
      <c r="C425" s="246" t="s">
        <v>674</v>
      </c>
      <c r="D425" s="247">
        <v>338.9</v>
      </c>
      <c r="E425" s="248">
        <v>1</v>
      </c>
    </row>
    <row r="426" spans="1:5" hidden="1" x14ac:dyDescent="0.2">
      <c r="A426" s="251"/>
      <c r="B426" s="246"/>
      <c r="C426" s="246" t="s">
        <v>675</v>
      </c>
      <c r="D426" s="247">
        <v>338.9</v>
      </c>
      <c r="E426" s="248">
        <v>1</v>
      </c>
    </row>
    <row r="427" spans="1:5" hidden="1" x14ac:dyDescent="0.2">
      <c r="A427" s="251"/>
      <c r="B427" s="246"/>
      <c r="C427" s="246" t="s">
        <v>676</v>
      </c>
      <c r="D427" s="247">
        <v>338.9</v>
      </c>
      <c r="E427" s="248">
        <v>1</v>
      </c>
    </row>
    <row r="428" spans="1:5" hidden="1" x14ac:dyDescent="0.2">
      <c r="A428" s="251"/>
      <c r="B428" s="246"/>
      <c r="C428" s="246" t="s">
        <v>677</v>
      </c>
      <c r="D428" s="247">
        <v>338.9</v>
      </c>
      <c r="E428" s="248">
        <v>1</v>
      </c>
    </row>
    <row r="429" spans="1:5" hidden="1" x14ac:dyDescent="0.2">
      <c r="A429" s="251"/>
      <c r="B429" s="246"/>
      <c r="C429" s="246" t="s">
        <v>678</v>
      </c>
      <c r="D429" s="247">
        <v>338.9</v>
      </c>
      <c r="E429" s="248">
        <v>1</v>
      </c>
    </row>
    <row r="430" spans="1:5" hidden="1" x14ac:dyDescent="0.2">
      <c r="A430" s="251"/>
      <c r="B430" s="246"/>
      <c r="C430" s="246" t="s">
        <v>679</v>
      </c>
      <c r="D430" s="247">
        <v>338.9</v>
      </c>
      <c r="E430" s="248">
        <v>1</v>
      </c>
    </row>
    <row r="431" spans="1:5" hidden="1" x14ac:dyDescent="0.2">
      <c r="A431" s="251"/>
      <c r="B431" s="246"/>
      <c r="C431" s="246" t="s">
        <v>680</v>
      </c>
      <c r="D431" s="247">
        <v>338.9</v>
      </c>
      <c r="E431" s="248">
        <v>1</v>
      </c>
    </row>
    <row r="432" spans="1:5" hidden="1" x14ac:dyDescent="0.2">
      <c r="A432" s="251"/>
      <c r="B432" s="246"/>
      <c r="C432" s="246" t="s">
        <v>2280</v>
      </c>
      <c r="D432" s="247">
        <v>338.9</v>
      </c>
      <c r="E432" s="248">
        <v>1</v>
      </c>
    </row>
    <row r="433" spans="1:5" hidden="1" x14ac:dyDescent="0.2">
      <c r="A433" s="251"/>
      <c r="B433" s="246"/>
      <c r="C433" s="246" t="s">
        <v>681</v>
      </c>
      <c r="D433" s="247">
        <v>338.9</v>
      </c>
      <c r="E433" s="248">
        <v>1</v>
      </c>
    </row>
    <row r="434" spans="1:5" hidden="1" x14ac:dyDescent="0.2">
      <c r="A434" s="251"/>
      <c r="B434" s="246"/>
      <c r="C434" s="246" t="s">
        <v>682</v>
      </c>
      <c r="D434" s="247">
        <v>338.9</v>
      </c>
      <c r="E434" s="248">
        <v>1</v>
      </c>
    </row>
    <row r="435" spans="1:5" hidden="1" x14ac:dyDescent="0.2">
      <c r="A435" s="251"/>
      <c r="B435" s="246"/>
      <c r="C435" s="246" t="s">
        <v>683</v>
      </c>
      <c r="D435" s="247">
        <v>338.81</v>
      </c>
      <c r="E435" s="248">
        <v>2</v>
      </c>
    </row>
    <row r="436" spans="1:5" hidden="1" x14ac:dyDescent="0.2">
      <c r="A436" s="251"/>
      <c r="B436" s="246"/>
      <c r="C436" s="246" t="s">
        <v>684</v>
      </c>
      <c r="D436" s="247">
        <v>338.81</v>
      </c>
      <c r="E436" s="248">
        <v>2</v>
      </c>
    </row>
    <row r="437" spans="1:5" hidden="1" x14ac:dyDescent="0.2">
      <c r="A437" s="251"/>
      <c r="B437" s="246"/>
      <c r="C437" s="246" t="s">
        <v>685</v>
      </c>
      <c r="D437" s="247">
        <v>332.92</v>
      </c>
      <c r="E437" s="248">
        <v>5</v>
      </c>
    </row>
    <row r="438" spans="1:5" hidden="1" x14ac:dyDescent="0.2">
      <c r="A438" s="251"/>
      <c r="B438" s="246"/>
      <c r="C438" s="246" t="s">
        <v>686</v>
      </c>
      <c r="D438" s="247">
        <v>326.95999999999998</v>
      </c>
      <c r="E438" s="248">
        <v>2</v>
      </c>
    </row>
    <row r="439" spans="1:5" hidden="1" x14ac:dyDescent="0.2">
      <c r="A439" s="251"/>
      <c r="B439" s="246"/>
      <c r="C439" s="246" t="s">
        <v>687</v>
      </c>
      <c r="D439" s="247">
        <v>323.92</v>
      </c>
      <c r="E439" s="248">
        <v>2</v>
      </c>
    </row>
    <row r="440" spans="1:5" hidden="1" x14ac:dyDescent="0.2">
      <c r="A440" s="251"/>
      <c r="B440" s="246"/>
      <c r="C440" s="246" t="s">
        <v>688</v>
      </c>
      <c r="D440" s="247">
        <v>321.63</v>
      </c>
      <c r="E440" s="248">
        <v>3</v>
      </c>
    </row>
    <row r="441" spans="1:5" hidden="1" x14ac:dyDescent="0.2">
      <c r="A441" s="251"/>
      <c r="B441" s="246"/>
      <c r="C441" s="246" t="s">
        <v>689</v>
      </c>
      <c r="D441" s="247">
        <v>320.19</v>
      </c>
      <c r="E441" s="248">
        <v>2</v>
      </c>
    </row>
    <row r="442" spans="1:5" hidden="1" x14ac:dyDescent="0.2">
      <c r="A442" s="251"/>
      <c r="B442" s="246"/>
      <c r="C442" s="246" t="s">
        <v>690</v>
      </c>
      <c r="D442" s="247">
        <v>320.18</v>
      </c>
      <c r="E442" s="248">
        <v>2</v>
      </c>
    </row>
    <row r="443" spans="1:5" hidden="1" x14ac:dyDescent="0.2">
      <c r="A443" s="251"/>
      <c r="B443" s="246"/>
      <c r="C443" s="246" t="s">
        <v>691</v>
      </c>
      <c r="D443" s="247">
        <v>320.17</v>
      </c>
      <c r="E443" s="248">
        <v>3</v>
      </c>
    </row>
    <row r="444" spans="1:5" hidden="1" x14ac:dyDescent="0.2">
      <c r="A444" s="251"/>
      <c r="B444" s="246"/>
      <c r="C444" s="246" t="s">
        <v>692</v>
      </c>
      <c r="D444" s="247">
        <v>317.37</v>
      </c>
      <c r="E444" s="248">
        <v>5</v>
      </c>
    </row>
    <row r="445" spans="1:5" hidden="1" x14ac:dyDescent="0.2">
      <c r="A445" s="251"/>
      <c r="B445" s="246"/>
      <c r="C445" s="246" t="s">
        <v>693</v>
      </c>
      <c r="D445" s="247">
        <v>317.13</v>
      </c>
      <c r="E445" s="248">
        <v>1</v>
      </c>
    </row>
    <row r="446" spans="1:5" hidden="1" x14ac:dyDescent="0.2">
      <c r="A446" s="251"/>
      <c r="B446" s="246"/>
      <c r="C446" s="246" t="s">
        <v>694</v>
      </c>
      <c r="D446" s="247">
        <v>316.37</v>
      </c>
      <c r="E446" s="248">
        <v>3</v>
      </c>
    </row>
    <row r="447" spans="1:5" hidden="1" x14ac:dyDescent="0.2">
      <c r="A447" s="251"/>
      <c r="B447" s="246"/>
      <c r="C447" s="246" t="s">
        <v>695</v>
      </c>
      <c r="D447" s="247">
        <v>315.08</v>
      </c>
      <c r="E447" s="248">
        <v>2</v>
      </c>
    </row>
    <row r="448" spans="1:5" hidden="1" x14ac:dyDescent="0.2">
      <c r="A448" s="251"/>
      <c r="B448" s="246"/>
      <c r="C448" s="246" t="s">
        <v>696</v>
      </c>
      <c r="D448" s="247">
        <v>314.91000000000003</v>
      </c>
      <c r="E448" s="248">
        <v>4</v>
      </c>
    </row>
    <row r="449" spans="1:5" hidden="1" x14ac:dyDescent="0.2">
      <c r="A449" s="251"/>
      <c r="B449" s="246"/>
      <c r="C449" s="246" t="s">
        <v>697</v>
      </c>
      <c r="D449" s="247">
        <v>313.39</v>
      </c>
      <c r="E449" s="248">
        <v>2</v>
      </c>
    </row>
    <row r="450" spans="1:5" hidden="1" x14ac:dyDescent="0.2">
      <c r="A450" s="251"/>
      <c r="B450" s="246"/>
      <c r="C450" s="246" t="s">
        <v>698</v>
      </c>
      <c r="D450" s="247">
        <v>309.07</v>
      </c>
      <c r="E450" s="248">
        <v>3</v>
      </c>
    </row>
    <row r="451" spans="1:5" hidden="1" x14ac:dyDescent="0.2">
      <c r="A451" s="251"/>
      <c r="B451" s="246"/>
      <c r="C451" s="246" t="s">
        <v>699</v>
      </c>
      <c r="D451" s="247">
        <v>308.3</v>
      </c>
      <c r="E451" s="248">
        <v>2</v>
      </c>
    </row>
    <row r="452" spans="1:5" hidden="1" x14ac:dyDescent="0.2">
      <c r="A452" s="251"/>
      <c r="B452" s="246"/>
      <c r="C452" s="246" t="s">
        <v>700</v>
      </c>
      <c r="D452" s="247">
        <v>308.13</v>
      </c>
      <c r="E452" s="248">
        <v>4</v>
      </c>
    </row>
    <row r="453" spans="1:5" hidden="1" x14ac:dyDescent="0.2">
      <c r="A453" s="251"/>
      <c r="B453" s="246"/>
      <c r="C453" s="246" t="s">
        <v>701</v>
      </c>
      <c r="D453" s="247">
        <v>305.01</v>
      </c>
      <c r="E453" s="248">
        <v>1</v>
      </c>
    </row>
    <row r="454" spans="1:5" hidden="1" x14ac:dyDescent="0.2">
      <c r="A454" s="251"/>
      <c r="B454" s="246"/>
      <c r="C454" s="246" t="s">
        <v>702</v>
      </c>
      <c r="D454" s="247">
        <v>305.01</v>
      </c>
      <c r="E454" s="248">
        <v>1</v>
      </c>
    </row>
    <row r="455" spans="1:5" hidden="1" x14ac:dyDescent="0.2">
      <c r="A455" s="251"/>
      <c r="B455" s="246"/>
      <c r="C455" s="246" t="s">
        <v>703</v>
      </c>
      <c r="D455" s="247">
        <v>305.01</v>
      </c>
      <c r="E455" s="248">
        <v>1</v>
      </c>
    </row>
    <row r="456" spans="1:5" hidden="1" x14ac:dyDescent="0.2">
      <c r="A456" s="251"/>
      <c r="B456" s="246"/>
      <c r="C456" s="246" t="s">
        <v>704</v>
      </c>
      <c r="D456" s="247">
        <v>305.01</v>
      </c>
      <c r="E456" s="248">
        <v>1</v>
      </c>
    </row>
    <row r="457" spans="1:5" hidden="1" x14ac:dyDescent="0.2">
      <c r="A457" s="251"/>
      <c r="B457" s="246"/>
      <c r="C457" s="246" t="s">
        <v>705</v>
      </c>
      <c r="D457" s="247">
        <v>304.93</v>
      </c>
      <c r="E457" s="248">
        <v>2</v>
      </c>
    </row>
    <row r="458" spans="1:5" hidden="1" x14ac:dyDescent="0.2">
      <c r="A458" s="251"/>
      <c r="B458" s="246"/>
      <c r="C458" s="246" t="s">
        <v>706</v>
      </c>
      <c r="D458" s="247">
        <v>304.93</v>
      </c>
      <c r="E458" s="248">
        <v>2</v>
      </c>
    </row>
    <row r="459" spans="1:5" hidden="1" x14ac:dyDescent="0.2">
      <c r="A459" s="251"/>
      <c r="B459" s="246"/>
      <c r="C459" s="246" t="s">
        <v>707</v>
      </c>
      <c r="D459" s="247">
        <v>304.91000000000003</v>
      </c>
      <c r="E459" s="248">
        <v>2</v>
      </c>
    </row>
    <row r="460" spans="1:5" hidden="1" x14ac:dyDescent="0.2">
      <c r="A460" s="251"/>
      <c r="B460" s="246"/>
      <c r="C460" s="246" t="s">
        <v>708</v>
      </c>
      <c r="D460" s="247">
        <v>304.77999999999997</v>
      </c>
      <c r="E460" s="248">
        <v>4</v>
      </c>
    </row>
    <row r="461" spans="1:5" hidden="1" x14ac:dyDescent="0.2">
      <c r="A461" s="251"/>
      <c r="B461" s="246"/>
      <c r="C461" s="246" t="s">
        <v>709</v>
      </c>
      <c r="D461" s="247">
        <v>300.76</v>
      </c>
      <c r="E461" s="248">
        <v>1</v>
      </c>
    </row>
    <row r="462" spans="1:5" hidden="1" x14ac:dyDescent="0.2">
      <c r="A462" s="251"/>
      <c r="B462" s="246"/>
      <c r="C462" s="246" t="s">
        <v>710</v>
      </c>
      <c r="D462" s="247">
        <v>300.76</v>
      </c>
      <c r="E462" s="248">
        <v>1</v>
      </c>
    </row>
    <row r="463" spans="1:5" hidden="1" x14ac:dyDescent="0.2">
      <c r="A463" s="251"/>
      <c r="B463" s="246"/>
      <c r="C463" s="246" t="s">
        <v>711</v>
      </c>
      <c r="D463" s="247">
        <v>300.76</v>
      </c>
      <c r="E463" s="248">
        <v>1</v>
      </c>
    </row>
    <row r="464" spans="1:5" hidden="1" x14ac:dyDescent="0.2">
      <c r="A464" s="251"/>
      <c r="B464" s="246"/>
      <c r="C464" s="246" t="s">
        <v>712</v>
      </c>
      <c r="D464" s="247">
        <v>296.52999999999997</v>
      </c>
      <c r="E464" s="248">
        <v>2</v>
      </c>
    </row>
    <row r="465" spans="1:5" hidden="1" x14ac:dyDescent="0.2">
      <c r="A465" s="251"/>
      <c r="B465" s="246"/>
      <c r="C465" s="246" t="s">
        <v>713</v>
      </c>
      <c r="D465" s="247">
        <v>296.52999999999997</v>
      </c>
      <c r="E465" s="248">
        <v>2</v>
      </c>
    </row>
    <row r="466" spans="1:5" hidden="1" x14ac:dyDescent="0.2">
      <c r="A466" s="251"/>
      <c r="B466" s="246"/>
      <c r="C466" s="246" t="s">
        <v>714</v>
      </c>
      <c r="D466" s="247">
        <v>296.52999999999997</v>
      </c>
      <c r="E466" s="248">
        <v>2</v>
      </c>
    </row>
    <row r="467" spans="1:5" hidden="1" x14ac:dyDescent="0.2">
      <c r="A467" s="251"/>
      <c r="B467" s="246"/>
      <c r="C467" s="246" t="s">
        <v>715</v>
      </c>
      <c r="D467" s="247">
        <v>296.52999999999997</v>
      </c>
      <c r="E467" s="248">
        <v>2</v>
      </c>
    </row>
    <row r="468" spans="1:5" hidden="1" x14ac:dyDescent="0.2">
      <c r="A468" s="251"/>
      <c r="B468" s="246"/>
      <c r="C468" s="246" t="s">
        <v>716</v>
      </c>
      <c r="D468" s="247">
        <v>296.52999999999997</v>
      </c>
      <c r="E468" s="248">
        <v>1</v>
      </c>
    </row>
    <row r="469" spans="1:5" hidden="1" x14ac:dyDescent="0.2">
      <c r="A469" s="251"/>
      <c r="B469" s="246"/>
      <c r="C469" s="246" t="s">
        <v>717</v>
      </c>
      <c r="D469" s="247">
        <v>296.52999999999997</v>
      </c>
      <c r="E469" s="248">
        <v>1</v>
      </c>
    </row>
    <row r="470" spans="1:5" hidden="1" x14ac:dyDescent="0.2">
      <c r="A470" s="251"/>
      <c r="B470" s="246"/>
      <c r="C470" s="246" t="s">
        <v>718</v>
      </c>
      <c r="D470" s="247">
        <v>296.52999999999997</v>
      </c>
      <c r="E470" s="248">
        <v>2</v>
      </c>
    </row>
    <row r="471" spans="1:5" hidden="1" x14ac:dyDescent="0.2">
      <c r="A471" s="251"/>
      <c r="B471" s="246"/>
      <c r="C471" s="246" t="s">
        <v>719</v>
      </c>
      <c r="D471" s="247">
        <v>296.52999999999997</v>
      </c>
      <c r="E471" s="248">
        <v>2</v>
      </c>
    </row>
    <row r="472" spans="1:5" hidden="1" x14ac:dyDescent="0.2">
      <c r="A472" s="251"/>
      <c r="B472" s="246"/>
      <c r="C472" s="246" t="s">
        <v>720</v>
      </c>
      <c r="D472" s="247">
        <v>296.52999999999997</v>
      </c>
      <c r="E472" s="248">
        <v>1</v>
      </c>
    </row>
    <row r="473" spans="1:5" hidden="1" x14ac:dyDescent="0.2">
      <c r="A473" s="251"/>
      <c r="B473" s="246"/>
      <c r="C473" s="246" t="s">
        <v>721</v>
      </c>
      <c r="D473" s="247">
        <v>296.52999999999997</v>
      </c>
      <c r="E473" s="248">
        <v>1</v>
      </c>
    </row>
    <row r="474" spans="1:5" hidden="1" x14ac:dyDescent="0.2">
      <c r="A474" s="251"/>
      <c r="B474" s="246"/>
      <c r="C474" s="246" t="s">
        <v>722</v>
      </c>
      <c r="D474" s="247">
        <v>296.52999999999997</v>
      </c>
      <c r="E474" s="248">
        <v>2</v>
      </c>
    </row>
    <row r="475" spans="1:5" hidden="1" x14ac:dyDescent="0.2">
      <c r="A475" s="251"/>
      <c r="B475" s="246"/>
      <c r="C475" s="246" t="s">
        <v>723</v>
      </c>
      <c r="D475" s="247">
        <v>296.52999999999997</v>
      </c>
      <c r="E475" s="248">
        <v>2</v>
      </c>
    </row>
    <row r="476" spans="1:5" hidden="1" x14ac:dyDescent="0.2">
      <c r="A476" s="251"/>
      <c r="B476" s="246"/>
      <c r="C476" s="246" t="s">
        <v>724</v>
      </c>
      <c r="D476" s="247">
        <v>296.52999999999997</v>
      </c>
      <c r="E476" s="248">
        <v>2</v>
      </c>
    </row>
    <row r="477" spans="1:5" hidden="1" x14ac:dyDescent="0.2">
      <c r="A477" s="251"/>
      <c r="B477" s="246"/>
      <c r="C477" s="246" t="s">
        <v>725</v>
      </c>
      <c r="D477" s="247">
        <v>296.52999999999997</v>
      </c>
      <c r="E477" s="248">
        <v>2</v>
      </c>
    </row>
    <row r="478" spans="1:5" hidden="1" x14ac:dyDescent="0.2">
      <c r="A478" s="251"/>
      <c r="B478" s="246"/>
      <c r="C478" s="246" t="s">
        <v>726</v>
      </c>
      <c r="D478" s="247">
        <v>296.52999999999997</v>
      </c>
      <c r="E478" s="248">
        <v>2</v>
      </c>
    </row>
    <row r="479" spans="1:5" hidden="1" x14ac:dyDescent="0.2">
      <c r="A479" s="251"/>
      <c r="B479" s="246"/>
      <c r="C479" s="246" t="s">
        <v>727</v>
      </c>
      <c r="D479" s="247">
        <v>296.52999999999997</v>
      </c>
      <c r="E479" s="248">
        <v>2</v>
      </c>
    </row>
    <row r="480" spans="1:5" hidden="1" x14ac:dyDescent="0.2">
      <c r="A480" s="251"/>
      <c r="B480" s="246"/>
      <c r="C480" s="246" t="s">
        <v>2281</v>
      </c>
      <c r="D480" s="247">
        <v>296.52999999999997</v>
      </c>
      <c r="E480" s="248">
        <v>2</v>
      </c>
    </row>
    <row r="481" spans="1:5" hidden="1" x14ac:dyDescent="0.2">
      <c r="A481" s="251"/>
      <c r="B481" s="246"/>
      <c r="C481" s="246" t="s">
        <v>728</v>
      </c>
      <c r="D481" s="247">
        <v>296.52999999999997</v>
      </c>
      <c r="E481" s="248">
        <v>2</v>
      </c>
    </row>
    <row r="482" spans="1:5" hidden="1" x14ac:dyDescent="0.2">
      <c r="A482" s="251"/>
      <c r="B482" s="246"/>
      <c r="C482" s="246" t="s">
        <v>729</v>
      </c>
      <c r="D482" s="247">
        <v>296.52999999999997</v>
      </c>
      <c r="E482" s="248">
        <v>2</v>
      </c>
    </row>
    <row r="483" spans="1:5" hidden="1" x14ac:dyDescent="0.2">
      <c r="A483" s="251"/>
      <c r="B483" s="246"/>
      <c r="C483" s="246" t="s">
        <v>730</v>
      </c>
      <c r="D483" s="247">
        <v>296.52999999999997</v>
      </c>
      <c r="E483" s="248">
        <v>2</v>
      </c>
    </row>
    <row r="484" spans="1:5" hidden="1" x14ac:dyDescent="0.2">
      <c r="A484" s="251"/>
      <c r="B484" s="246"/>
      <c r="C484" s="246" t="s">
        <v>731</v>
      </c>
      <c r="D484" s="247">
        <v>296.52999999999997</v>
      </c>
      <c r="E484" s="248">
        <v>2</v>
      </c>
    </row>
    <row r="485" spans="1:5" hidden="1" x14ac:dyDescent="0.2">
      <c r="A485" s="251"/>
      <c r="B485" s="246"/>
      <c r="C485" s="246" t="s">
        <v>732</v>
      </c>
      <c r="D485" s="247">
        <v>296.52999999999997</v>
      </c>
      <c r="E485" s="248">
        <v>2</v>
      </c>
    </row>
    <row r="486" spans="1:5" hidden="1" x14ac:dyDescent="0.2">
      <c r="A486" s="251"/>
      <c r="B486" s="246"/>
      <c r="C486" s="246" t="s">
        <v>733</v>
      </c>
      <c r="D486" s="247">
        <v>296.52999999999997</v>
      </c>
      <c r="E486" s="248">
        <v>2</v>
      </c>
    </row>
    <row r="487" spans="1:5" hidden="1" x14ac:dyDescent="0.2">
      <c r="A487" s="251"/>
      <c r="B487" s="246"/>
      <c r="C487" s="246" t="s">
        <v>734</v>
      </c>
      <c r="D487" s="247">
        <v>296.52999999999997</v>
      </c>
      <c r="E487" s="248">
        <v>2</v>
      </c>
    </row>
    <row r="488" spans="1:5" hidden="1" x14ac:dyDescent="0.2">
      <c r="A488" s="251"/>
      <c r="B488" s="246"/>
      <c r="C488" s="246" t="s">
        <v>735</v>
      </c>
      <c r="D488" s="247">
        <v>296.52999999999997</v>
      </c>
      <c r="E488" s="248">
        <v>2</v>
      </c>
    </row>
    <row r="489" spans="1:5" hidden="1" x14ac:dyDescent="0.2">
      <c r="A489" s="251"/>
      <c r="B489" s="246"/>
      <c r="C489" s="246" t="s">
        <v>736</v>
      </c>
      <c r="D489" s="247">
        <v>296.52999999999997</v>
      </c>
      <c r="E489" s="248">
        <v>2</v>
      </c>
    </row>
    <row r="490" spans="1:5" hidden="1" x14ac:dyDescent="0.2">
      <c r="A490" s="251"/>
      <c r="B490" s="246"/>
      <c r="C490" s="246" t="s">
        <v>737</v>
      </c>
      <c r="D490" s="247">
        <v>296.52999999999997</v>
      </c>
      <c r="E490" s="248">
        <v>2</v>
      </c>
    </row>
    <row r="491" spans="1:5" hidden="1" x14ac:dyDescent="0.2">
      <c r="A491" s="251"/>
      <c r="B491" s="246"/>
      <c r="C491" s="246" t="s">
        <v>738</v>
      </c>
      <c r="D491" s="247">
        <v>296.52999999999997</v>
      </c>
      <c r="E491" s="248">
        <v>2</v>
      </c>
    </row>
    <row r="492" spans="1:5" hidden="1" x14ac:dyDescent="0.2">
      <c r="A492" s="251"/>
      <c r="B492" s="246"/>
      <c r="C492" s="246" t="s">
        <v>739</v>
      </c>
      <c r="D492" s="247">
        <v>296.52999999999997</v>
      </c>
      <c r="E492" s="248">
        <v>3</v>
      </c>
    </row>
    <row r="493" spans="1:5" hidden="1" x14ac:dyDescent="0.2">
      <c r="A493" s="251"/>
      <c r="B493" s="246"/>
      <c r="C493" s="246" t="s">
        <v>740</v>
      </c>
      <c r="D493" s="247">
        <v>296.52999999999997</v>
      </c>
      <c r="E493" s="248">
        <v>2</v>
      </c>
    </row>
    <row r="494" spans="1:5" hidden="1" x14ac:dyDescent="0.2">
      <c r="A494" s="251"/>
      <c r="B494" s="246"/>
      <c r="C494" s="246" t="s">
        <v>741</v>
      </c>
      <c r="D494" s="247">
        <v>296.52999999999997</v>
      </c>
      <c r="E494" s="248">
        <v>2</v>
      </c>
    </row>
    <row r="495" spans="1:5" hidden="1" x14ac:dyDescent="0.2">
      <c r="A495" s="251"/>
      <c r="B495" s="246"/>
      <c r="C495" s="246" t="s">
        <v>742</v>
      </c>
      <c r="D495" s="247">
        <v>296.52999999999997</v>
      </c>
      <c r="E495" s="248">
        <v>2</v>
      </c>
    </row>
    <row r="496" spans="1:5" hidden="1" x14ac:dyDescent="0.2">
      <c r="A496" s="251"/>
      <c r="B496" s="246"/>
      <c r="C496" s="246" t="s">
        <v>743</v>
      </c>
      <c r="D496" s="247">
        <v>296.52999999999997</v>
      </c>
      <c r="E496" s="248">
        <v>2</v>
      </c>
    </row>
    <row r="497" spans="1:5" hidden="1" x14ac:dyDescent="0.2">
      <c r="A497" s="251"/>
      <c r="B497" s="246"/>
      <c r="C497" s="246" t="s">
        <v>744</v>
      </c>
      <c r="D497" s="247">
        <v>296.52999999999997</v>
      </c>
      <c r="E497" s="248">
        <v>1</v>
      </c>
    </row>
    <row r="498" spans="1:5" hidden="1" x14ac:dyDescent="0.2">
      <c r="A498" s="251"/>
      <c r="B498" s="246"/>
      <c r="C498" s="246" t="s">
        <v>745</v>
      </c>
      <c r="D498" s="247">
        <v>296.52999999999997</v>
      </c>
      <c r="E498" s="248">
        <v>3</v>
      </c>
    </row>
    <row r="499" spans="1:5" hidden="1" x14ac:dyDescent="0.2">
      <c r="A499" s="251"/>
      <c r="B499" s="246"/>
      <c r="C499" s="246" t="s">
        <v>746</v>
      </c>
      <c r="D499" s="247">
        <v>296.52999999999997</v>
      </c>
      <c r="E499" s="248">
        <v>2</v>
      </c>
    </row>
    <row r="500" spans="1:5" hidden="1" x14ac:dyDescent="0.2">
      <c r="A500" s="251"/>
      <c r="B500" s="246"/>
      <c r="C500" s="246" t="s">
        <v>747</v>
      </c>
      <c r="D500" s="247">
        <v>296.52999999999997</v>
      </c>
      <c r="E500" s="248">
        <v>2</v>
      </c>
    </row>
    <row r="501" spans="1:5" hidden="1" x14ac:dyDescent="0.2">
      <c r="A501" s="251"/>
      <c r="B501" s="246"/>
      <c r="C501" s="246" t="s">
        <v>748</v>
      </c>
      <c r="D501" s="247">
        <v>296.52999999999997</v>
      </c>
      <c r="E501" s="248">
        <v>2</v>
      </c>
    </row>
    <row r="502" spans="1:5" hidden="1" x14ac:dyDescent="0.2">
      <c r="A502" s="251"/>
      <c r="B502" s="246"/>
      <c r="C502" s="246" t="s">
        <v>749</v>
      </c>
      <c r="D502" s="247">
        <v>296.52999999999997</v>
      </c>
      <c r="E502" s="248">
        <v>1</v>
      </c>
    </row>
    <row r="503" spans="1:5" hidden="1" x14ac:dyDescent="0.2">
      <c r="A503" s="251"/>
      <c r="B503" s="246"/>
      <c r="C503" s="246" t="s">
        <v>750</v>
      </c>
      <c r="D503" s="247">
        <v>296.52999999999997</v>
      </c>
      <c r="E503" s="248">
        <v>2</v>
      </c>
    </row>
    <row r="504" spans="1:5" hidden="1" x14ac:dyDescent="0.2">
      <c r="A504" s="251"/>
      <c r="B504" s="246"/>
      <c r="C504" s="246" t="s">
        <v>751</v>
      </c>
      <c r="D504" s="247">
        <v>296.52999999999997</v>
      </c>
      <c r="E504" s="248">
        <v>2</v>
      </c>
    </row>
    <row r="505" spans="1:5" hidden="1" x14ac:dyDescent="0.2">
      <c r="A505" s="251"/>
      <c r="B505" s="246"/>
      <c r="C505" s="246" t="s">
        <v>752</v>
      </c>
      <c r="D505" s="247">
        <v>296.52999999999997</v>
      </c>
      <c r="E505" s="248">
        <v>2</v>
      </c>
    </row>
    <row r="506" spans="1:5" hidden="1" x14ac:dyDescent="0.2">
      <c r="A506" s="251"/>
      <c r="B506" s="246"/>
      <c r="C506" s="246" t="s">
        <v>753</v>
      </c>
      <c r="D506" s="247">
        <v>296.52999999999997</v>
      </c>
      <c r="E506" s="248">
        <v>2</v>
      </c>
    </row>
    <row r="507" spans="1:5" hidden="1" x14ac:dyDescent="0.2">
      <c r="A507" s="251"/>
      <c r="B507" s="246"/>
      <c r="C507" s="246" t="s">
        <v>754</v>
      </c>
      <c r="D507" s="247">
        <v>296.52999999999997</v>
      </c>
      <c r="E507" s="248">
        <v>2</v>
      </c>
    </row>
    <row r="508" spans="1:5" hidden="1" x14ac:dyDescent="0.2">
      <c r="A508" s="251"/>
      <c r="B508" s="246"/>
      <c r="C508" s="246" t="s">
        <v>755</v>
      </c>
      <c r="D508" s="247">
        <v>296.52999999999997</v>
      </c>
      <c r="E508" s="248">
        <v>2</v>
      </c>
    </row>
    <row r="509" spans="1:5" hidden="1" x14ac:dyDescent="0.2">
      <c r="A509" s="251"/>
      <c r="B509" s="246"/>
      <c r="C509" s="246" t="s">
        <v>756</v>
      </c>
      <c r="D509" s="247">
        <v>296.52999999999997</v>
      </c>
      <c r="E509" s="248">
        <v>2</v>
      </c>
    </row>
    <row r="510" spans="1:5" hidden="1" x14ac:dyDescent="0.2">
      <c r="A510" s="251"/>
      <c r="B510" s="246"/>
      <c r="C510" s="246" t="s">
        <v>757</v>
      </c>
      <c r="D510" s="247">
        <v>296.52999999999997</v>
      </c>
      <c r="E510" s="248">
        <v>1</v>
      </c>
    </row>
    <row r="511" spans="1:5" hidden="1" x14ac:dyDescent="0.2">
      <c r="A511" s="251"/>
      <c r="B511" s="246"/>
      <c r="C511" s="246" t="s">
        <v>758</v>
      </c>
      <c r="D511" s="247">
        <v>296.52999999999997</v>
      </c>
      <c r="E511" s="248">
        <v>1</v>
      </c>
    </row>
    <row r="512" spans="1:5" hidden="1" x14ac:dyDescent="0.2">
      <c r="A512" s="251"/>
      <c r="B512" s="246"/>
      <c r="C512" s="246" t="s">
        <v>759</v>
      </c>
      <c r="D512" s="247">
        <v>296.52999999999997</v>
      </c>
      <c r="E512" s="248">
        <v>2</v>
      </c>
    </row>
    <row r="513" spans="1:5" hidden="1" x14ac:dyDescent="0.2">
      <c r="A513" s="251"/>
      <c r="B513" s="246"/>
      <c r="C513" s="246" t="s">
        <v>760</v>
      </c>
      <c r="D513" s="247">
        <v>296.52999999999997</v>
      </c>
      <c r="E513" s="248">
        <v>2</v>
      </c>
    </row>
    <row r="514" spans="1:5" hidden="1" x14ac:dyDescent="0.2">
      <c r="A514" s="251"/>
      <c r="B514" s="246"/>
      <c r="C514" s="246" t="s">
        <v>761</v>
      </c>
      <c r="D514" s="247">
        <v>296.52999999999997</v>
      </c>
      <c r="E514" s="248">
        <v>2</v>
      </c>
    </row>
    <row r="515" spans="1:5" hidden="1" x14ac:dyDescent="0.2">
      <c r="A515" s="251"/>
      <c r="B515" s="246"/>
      <c r="C515" s="246" t="s">
        <v>762</v>
      </c>
      <c r="D515" s="247">
        <v>296.52999999999997</v>
      </c>
      <c r="E515" s="248">
        <v>3</v>
      </c>
    </row>
    <row r="516" spans="1:5" hidden="1" x14ac:dyDescent="0.2">
      <c r="A516" s="251"/>
      <c r="B516" s="246"/>
      <c r="C516" s="246" t="s">
        <v>763</v>
      </c>
      <c r="D516" s="247">
        <v>296.52999999999997</v>
      </c>
      <c r="E516" s="248">
        <v>2</v>
      </c>
    </row>
    <row r="517" spans="1:5" hidden="1" x14ac:dyDescent="0.2">
      <c r="A517" s="251"/>
      <c r="B517" s="246"/>
      <c r="C517" s="246" t="s">
        <v>764</v>
      </c>
      <c r="D517" s="247">
        <v>296.52999999999997</v>
      </c>
      <c r="E517" s="248">
        <v>2</v>
      </c>
    </row>
    <row r="518" spans="1:5" hidden="1" x14ac:dyDescent="0.2">
      <c r="A518" s="251"/>
      <c r="B518" s="246"/>
      <c r="C518" s="246" t="s">
        <v>765</v>
      </c>
      <c r="D518" s="247">
        <v>296.52999999999997</v>
      </c>
      <c r="E518" s="248">
        <v>2</v>
      </c>
    </row>
    <row r="519" spans="1:5" hidden="1" x14ac:dyDescent="0.2">
      <c r="A519" s="251"/>
      <c r="B519" s="246"/>
      <c r="C519" s="246" t="s">
        <v>766</v>
      </c>
      <c r="D519" s="247">
        <v>296.52999999999997</v>
      </c>
      <c r="E519" s="248">
        <v>2</v>
      </c>
    </row>
    <row r="520" spans="1:5" hidden="1" x14ac:dyDescent="0.2">
      <c r="A520" s="251"/>
      <c r="B520" s="246"/>
      <c r="C520" s="246" t="s">
        <v>767</v>
      </c>
      <c r="D520" s="247">
        <v>296.52999999999997</v>
      </c>
      <c r="E520" s="248">
        <v>2</v>
      </c>
    </row>
    <row r="521" spans="1:5" hidden="1" x14ac:dyDescent="0.2">
      <c r="A521" s="251"/>
      <c r="B521" s="246"/>
      <c r="C521" s="246" t="s">
        <v>768</v>
      </c>
      <c r="D521" s="247">
        <v>296.52999999999997</v>
      </c>
      <c r="E521" s="248">
        <v>1</v>
      </c>
    </row>
    <row r="522" spans="1:5" hidden="1" x14ac:dyDescent="0.2">
      <c r="A522" s="251"/>
      <c r="B522" s="246"/>
      <c r="C522" s="246" t="s">
        <v>769</v>
      </c>
      <c r="D522" s="247">
        <v>296.52999999999997</v>
      </c>
      <c r="E522" s="248">
        <v>2</v>
      </c>
    </row>
    <row r="523" spans="1:5" hidden="1" x14ac:dyDescent="0.2">
      <c r="A523" s="251"/>
      <c r="B523" s="246"/>
      <c r="C523" s="246" t="s">
        <v>770</v>
      </c>
      <c r="D523" s="247">
        <v>296.52999999999997</v>
      </c>
      <c r="E523" s="248">
        <v>2</v>
      </c>
    </row>
    <row r="524" spans="1:5" hidden="1" x14ac:dyDescent="0.2">
      <c r="A524" s="251"/>
      <c r="B524" s="246"/>
      <c r="C524" s="246" t="s">
        <v>771</v>
      </c>
      <c r="D524" s="247">
        <v>296.52999999999997</v>
      </c>
      <c r="E524" s="248">
        <v>1</v>
      </c>
    </row>
    <row r="525" spans="1:5" hidden="1" x14ac:dyDescent="0.2">
      <c r="A525" s="251"/>
      <c r="B525" s="246"/>
      <c r="C525" s="246" t="s">
        <v>772</v>
      </c>
      <c r="D525" s="247">
        <v>296.52999999999997</v>
      </c>
      <c r="E525" s="248">
        <v>1</v>
      </c>
    </row>
    <row r="526" spans="1:5" hidden="1" x14ac:dyDescent="0.2">
      <c r="A526" s="251"/>
      <c r="B526" s="246"/>
      <c r="C526" s="246" t="s">
        <v>773</v>
      </c>
      <c r="D526" s="247">
        <v>296.52999999999997</v>
      </c>
      <c r="E526" s="248">
        <v>3</v>
      </c>
    </row>
    <row r="527" spans="1:5" hidden="1" x14ac:dyDescent="0.2">
      <c r="A527" s="251"/>
      <c r="B527" s="246"/>
      <c r="C527" s="246" t="s">
        <v>774</v>
      </c>
      <c r="D527" s="247">
        <v>296.52999999999997</v>
      </c>
      <c r="E527" s="248">
        <v>2</v>
      </c>
    </row>
    <row r="528" spans="1:5" hidden="1" x14ac:dyDescent="0.2">
      <c r="A528" s="251"/>
      <c r="B528" s="246"/>
      <c r="C528" s="246" t="s">
        <v>775</v>
      </c>
      <c r="D528" s="247">
        <v>296.52999999999997</v>
      </c>
      <c r="E528" s="248">
        <v>2</v>
      </c>
    </row>
    <row r="529" spans="1:5" hidden="1" x14ac:dyDescent="0.2">
      <c r="A529" s="251"/>
      <c r="B529" s="246"/>
      <c r="C529" s="246" t="s">
        <v>776</v>
      </c>
      <c r="D529" s="247">
        <v>296.52999999999997</v>
      </c>
      <c r="E529" s="248">
        <v>2</v>
      </c>
    </row>
    <row r="530" spans="1:5" hidden="1" x14ac:dyDescent="0.2">
      <c r="A530" s="251"/>
      <c r="B530" s="246"/>
      <c r="C530" s="246" t="s">
        <v>777</v>
      </c>
      <c r="D530" s="247">
        <v>296.52999999999997</v>
      </c>
      <c r="E530" s="248">
        <v>3</v>
      </c>
    </row>
    <row r="531" spans="1:5" hidden="1" x14ac:dyDescent="0.2">
      <c r="A531" s="251"/>
      <c r="B531" s="246"/>
      <c r="C531" s="246" t="s">
        <v>778</v>
      </c>
      <c r="D531" s="247">
        <v>296.52999999999997</v>
      </c>
      <c r="E531" s="248">
        <v>2</v>
      </c>
    </row>
    <row r="532" spans="1:5" hidden="1" x14ac:dyDescent="0.2">
      <c r="A532" s="251"/>
      <c r="B532" s="246"/>
      <c r="C532" s="246" t="s">
        <v>779</v>
      </c>
      <c r="D532" s="247">
        <v>296.52999999999997</v>
      </c>
      <c r="E532" s="248">
        <v>2</v>
      </c>
    </row>
    <row r="533" spans="1:5" hidden="1" x14ac:dyDescent="0.2">
      <c r="A533" s="251"/>
      <c r="B533" s="246"/>
      <c r="C533" s="246" t="s">
        <v>780</v>
      </c>
      <c r="D533" s="247">
        <v>296.52999999999997</v>
      </c>
      <c r="E533" s="248">
        <v>2</v>
      </c>
    </row>
    <row r="534" spans="1:5" hidden="1" x14ac:dyDescent="0.2">
      <c r="A534" s="251"/>
      <c r="B534" s="246"/>
      <c r="C534" s="246" t="s">
        <v>2282</v>
      </c>
      <c r="D534" s="247">
        <v>296.52999999999997</v>
      </c>
      <c r="E534" s="248">
        <v>2</v>
      </c>
    </row>
    <row r="535" spans="1:5" hidden="1" x14ac:dyDescent="0.2">
      <c r="A535" s="251"/>
      <c r="B535" s="246"/>
      <c r="C535" s="246" t="s">
        <v>781</v>
      </c>
      <c r="D535" s="247">
        <v>296.52999999999997</v>
      </c>
      <c r="E535" s="248">
        <v>2</v>
      </c>
    </row>
    <row r="536" spans="1:5" hidden="1" x14ac:dyDescent="0.2">
      <c r="A536" s="251"/>
      <c r="B536" s="246"/>
      <c r="C536" s="246" t="s">
        <v>782</v>
      </c>
      <c r="D536" s="247">
        <v>296.52999999999997</v>
      </c>
      <c r="E536" s="248">
        <v>2</v>
      </c>
    </row>
    <row r="537" spans="1:5" hidden="1" x14ac:dyDescent="0.2">
      <c r="A537" s="251"/>
      <c r="B537" s="246"/>
      <c r="C537" s="246" t="s">
        <v>783</v>
      </c>
      <c r="D537" s="247">
        <v>296.52999999999997</v>
      </c>
      <c r="E537" s="248">
        <v>2</v>
      </c>
    </row>
    <row r="538" spans="1:5" hidden="1" x14ac:dyDescent="0.2">
      <c r="A538" s="251"/>
      <c r="B538" s="246"/>
      <c r="C538" s="246" t="s">
        <v>784</v>
      </c>
      <c r="D538" s="247">
        <v>296.52999999999997</v>
      </c>
      <c r="E538" s="248">
        <v>2</v>
      </c>
    </row>
    <row r="539" spans="1:5" hidden="1" x14ac:dyDescent="0.2">
      <c r="A539" s="251"/>
      <c r="B539" s="246"/>
      <c r="C539" s="246" t="s">
        <v>785</v>
      </c>
      <c r="D539" s="247">
        <v>296.52999999999997</v>
      </c>
      <c r="E539" s="248">
        <v>2</v>
      </c>
    </row>
    <row r="540" spans="1:5" hidden="1" x14ac:dyDescent="0.2">
      <c r="A540" s="251"/>
      <c r="B540" s="246"/>
      <c r="C540" s="246" t="s">
        <v>786</v>
      </c>
      <c r="D540" s="247">
        <v>296.52999999999997</v>
      </c>
      <c r="E540" s="248">
        <v>2</v>
      </c>
    </row>
    <row r="541" spans="1:5" hidden="1" x14ac:dyDescent="0.2">
      <c r="A541" s="251"/>
      <c r="B541" s="246"/>
      <c r="C541" s="246" t="s">
        <v>787</v>
      </c>
      <c r="D541" s="247">
        <v>296.52999999999997</v>
      </c>
      <c r="E541" s="248">
        <v>1</v>
      </c>
    </row>
    <row r="542" spans="1:5" hidden="1" x14ac:dyDescent="0.2">
      <c r="A542" s="251"/>
      <c r="B542" s="246"/>
      <c r="C542" s="246" t="s">
        <v>788</v>
      </c>
      <c r="D542" s="247">
        <v>296.52</v>
      </c>
      <c r="E542" s="248">
        <v>3</v>
      </c>
    </row>
    <row r="543" spans="1:5" hidden="1" x14ac:dyDescent="0.2">
      <c r="A543" s="251"/>
      <c r="B543" s="246"/>
      <c r="C543" s="246" t="s">
        <v>789</v>
      </c>
      <c r="D543" s="247">
        <v>296.52</v>
      </c>
      <c r="E543" s="248">
        <v>2</v>
      </c>
    </row>
    <row r="544" spans="1:5" hidden="1" x14ac:dyDescent="0.2">
      <c r="A544" s="251"/>
      <c r="B544" s="246"/>
      <c r="C544" s="246" t="s">
        <v>790</v>
      </c>
      <c r="D544" s="247">
        <v>296.52</v>
      </c>
      <c r="E544" s="248">
        <v>2</v>
      </c>
    </row>
    <row r="545" spans="1:5" hidden="1" x14ac:dyDescent="0.2">
      <c r="A545" s="251"/>
      <c r="B545" s="246"/>
      <c r="C545" s="246" t="s">
        <v>791</v>
      </c>
      <c r="D545" s="247">
        <v>296.52</v>
      </c>
      <c r="E545" s="248">
        <v>2</v>
      </c>
    </row>
    <row r="546" spans="1:5" hidden="1" x14ac:dyDescent="0.2">
      <c r="A546" s="251"/>
      <c r="B546" s="246"/>
      <c r="C546" s="246" t="s">
        <v>792</v>
      </c>
      <c r="D546" s="247">
        <v>296.52</v>
      </c>
      <c r="E546" s="248">
        <v>2</v>
      </c>
    </row>
    <row r="547" spans="1:5" hidden="1" x14ac:dyDescent="0.2">
      <c r="A547" s="251"/>
      <c r="B547" s="246"/>
      <c r="C547" s="246" t="s">
        <v>793</v>
      </c>
      <c r="D547" s="247">
        <v>296.52</v>
      </c>
      <c r="E547" s="248">
        <v>2</v>
      </c>
    </row>
    <row r="548" spans="1:5" hidden="1" x14ac:dyDescent="0.2">
      <c r="A548" s="251"/>
      <c r="B548" s="246"/>
      <c r="C548" s="246" t="s">
        <v>794</v>
      </c>
      <c r="D548" s="247">
        <v>296.52</v>
      </c>
      <c r="E548" s="248">
        <v>2</v>
      </c>
    </row>
    <row r="549" spans="1:5" hidden="1" x14ac:dyDescent="0.2">
      <c r="A549" s="251"/>
      <c r="B549" s="246"/>
      <c r="C549" s="246" t="s">
        <v>795</v>
      </c>
      <c r="D549" s="247">
        <v>296.52</v>
      </c>
      <c r="E549" s="248">
        <v>2</v>
      </c>
    </row>
    <row r="550" spans="1:5" hidden="1" x14ac:dyDescent="0.2">
      <c r="A550" s="251"/>
      <c r="B550" s="246"/>
      <c r="C550" s="246" t="s">
        <v>796</v>
      </c>
      <c r="D550" s="247">
        <v>296.52</v>
      </c>
      <c r="E550" s="248">
        <v>2</v>
      </c>
    </row>
    <row r="551" spans="1:5" hidden="1" x14ac:dyDescent="0.2">
      <c r="A551" s="251"/>
      <c r="B551" s="246"/>
      <c r="C551" s="246" t="s">
        <v>797</v>
      </c>
      <c r="D551" s="247">
        <v>296.52</v>
      </c>
      <c r="E551" s="248">
        <v>2</v>
      </c>
    </row>
    <row r="552" spans="1:5" hidden="1" x14ac:dyDescent="0.2">
      <c r="A552" s="251"/>
      <c r="B552" s="246"/>
      <c r="C552" s="246" t="s">
        <v>798</v>
      </c>
      <c r="D552" s="247">
        <v>296.52</v>
      </c>
      <c r="E552" s="248">
        <v>2</v>
      </c>
    </row>
    <row r="553" spans="1:5" hidden="1" x14ac:dyDescent="0.2">
      <c r="A553" s="251"/>
      <c r="B553" s="246"/>
      <c r="C553" s="246" t="s">
        <v>799</v>
      </c>
      <c r="D553" s="247">
        <v>296.52</v>
      </c>
      <c r="E553" s="248">
        <v>1</v>
      </c>
    </row>
    <row r="554" spans="1:5" hidden="1" x14ac:dyDescent="0.2">
      <c r="A554" s="251"/>
      <c r="B554" s="246"/>
      <c r="C554" s="246" t="s">
        <v>800</v>
      </c>
      <c r="D554" s="247">
        <v>296.52</v>
      </c>
      <c r="E554" s="248">
        <v>2</v>
      </c>
    </row>
    <row r="555" spans="1:5" hidden="1" x14ac:dyDescent="0.2">
      <c r="A555" s="251"/>
      <c r="B555" s="246"/>
      <c r="C555" s="246" t="s">
        <v>801</v>
      </c>
      <c r="D555" s="247">
        <v>296.52</v>
      </c>
      <c r="E555" s="248">
        <v>2</v>
      </c>
    </row>
    <row r="556" spans="1:5" hidden="1" x14ac:dyDescent="0.2">
      <c r="A556" s="251"/>
      <c r="B556" s="246"/>
      <c r="C556" s="246" t="s">
        <v>802</v>
      </c>
      <c r="D556" s="247">
        <v>296.52</v>
      </c>
      <c r="E556" s="248">
        <v>2</v>
      </c>
    </row>
    <row r="557" spans="1:5" hidden="1" x14ac:dyDescent="0.2">
      <c r="A557" s="251"/>
      <c r="B557" s="246"/>
      <c r="C557" s="246" t="s">
        <v>803</v>
      </c>
      <c r="D557" s="247">
        <v>296.52</v>
      </c>
      <c r="E557" s="248">
        <v>2</v>
      </c>
    </row>
    <row r="558" spans="1:5" hidden="1" x14ac:dyDescent="0.2">
      <c r="A558" s="251"/>
      <c r="B558" s="246"/>
      <c r="C558" s="246" t="s">
        <v>804</v>
      </c>
      <c r="D558" s="247">
        <v>296.52</v>
      </c>
      <c r="E558" s="248">
        <v>2</v>
      </c>
    </row>
    <row r="559" spans="1:5" hidden="1" x14ac:dyDescent="0.2">
      <c r="A559" s="251"/>
      <c r="B559" s="246"/>
      <c r="C559" s="246" t="s">
        <v>805</v>
      </c>
      <c r="D559" s="247">
        <v>296.52</v>
      </c>
      <c r="E559" s="248">
        <v>2</v>
      </c>
    </row>
    <row r="560" spans="1:5" hidden="1" x14ac:dyDescent="0.2">
      <c r="A560" s="251"/>
      <c r="B560" s="246"/>
      <c r="C560" s="246" t="s">
        <v>806</v>
      </c>
      <c r="D560" s="247">
        <v>296.52</v>
      </c>
      <c r="E560" s="248">
        <v>2</v>
      </c>
    </row>
    <row r="561" spans="1:5" hidden="1" x14ac:dyDescent="0.2">
      <c r="A561" s="251"/>
      <c r="B561" s="246"/>
      <c r="C561" s="246" t="s">
        <v>807</v>
      </c>
      <c r="D561" s="247">
        <v>296.52</v>
      </c>
      <c r="E561" s="248">
        <v>2</v>
      </c>
    </row>
    <row r="562" spans="1:5" hidden="1" x14ac:dyDescent="0.2">
      <c r="A562" s="251"/>
      <c r="B562" s="246"/>
      <c r="C562" s="246" t="s">
        <v>808</v>
      </c>
      <c r="D562" s="247">
        <v>296.52</v>
      </c>
      <c r="E562" s="248">
        <v>2</v>
      </c>
    </row>
    <row r="563" spans="1:5" hidden="1" x14ac:dyDescent="0.2">
      <c r="A563" s="251"/>
      <c r="B563" s="246"/>
      <c r="C563" s="246" t="s">
        <v>809</v>
      </c>
      <c r="D563" s="247">
        <v>296.52</v>
      </c>
      <c r="E563" s="248">
        <v>1</v>
      </c>
    </row>
    <row r="564" spans="1:5" hidden="1" x14ac:dyDescent="0.2">
      <c r="A564" s="251"/>
      <c r="B564" s="246"/>
      <c r="C564" s="246" t="s">
        <v>810</v>
      </c>
      <c r="D564" s="247">
        <v>296.52</v>
      </c>
      <c r="E564" s="248">
        <v>1</v>
      </c>
    </row>
    <row r="565" spans="1:5" hidden="1" x14ac:dyDescent="0.2">
      <c r="A565" s="251"/>
      <c r="B565" s="246"/>
      <c r="C565" s="246" t="s">
        <v>811</v>
      </c>
      <c r="D565" s="247">
        <v>296.52</v>
      </c>
      <c r="E565" s="248">
        <v>2</v>
      </c>
    </row>
    <row r="566" spans="1:5" hidden="1" x14ac:dyDescent="0.2">
      <c r="A566" s="251"/>
      <c r="B566" s="246"/>
      <c r="C566" s="246" t="s">
        <v>812</v>
      </c>
      <c r="D566" s="247">
        <v>296.52</v>
      </c>
      <c r="E566" s="248">
        <v>2</v>
      </c>
    </row>
    <row r="567" spans="1:5" hidden="1" x14ac:dyDescent="0.2">
      <c r="A567" s="251"/>
      <c r="B567" s="246"/>
      <c r="C567" s="246" t="s">
        <v>813</v>
      </c>
      <c r="D567" s="247">
        <v>296.52</v>
      </c>
      <c r="E567" s="248">
        <v>2</v>
      </c>
    </row>
    <row r="568" spans="1:5" hidden="1" x14ac:dyDescent="0.2">
      <c r="A568" s="251"/>
      <c r="B568" s="246"/>
      <c r="C568" s="246" t="s">
        <v>814</v>
      </c>
      <c r="D568" s="247">
        <v>296.52</v>
      </c>
      <c r="E568" s="248">
        <v>2</v>
      </c>
    </row>
    <row r="569" spans="1:5" hidden="1" x14ac:dyDescent="0.2">
      <c r="A569" s="251"/>
      <c r="B569" s="246"/>
      <c r="C569" s="246" t="s">
        <v>2283</v>
      </c>
      <c r="D569" s="247">
        <v>296.52</v>
      </c>
      <c r="E569" s="248">
        <v>1</v>
      </c>
    </row>
    <row r="570" spans="1:5" hidden="1" x14ac:dyDescent="0.2">
      <c r="A570" s="251"/>
      <c r="B570" s="246"/>
      <c r="C570" s="246" t="s">
        <v>815</v>
      </c>
      <c r="D570" s="247">
        <v>296.52</v>
      </c>
      <c r="E570" s="248">
        <v>2</v>
      </c>
    </row>
    <row r="571" spans="1:5" hidden="1" x14ac:dyDescent="0.2">
      <c r="A571" s="251"/>
      <c r="B571" s="246"/>
      <c r="C571" s="246" t="s">
        <v>816</v>
      </c>
      <c r="D571" s="247">
        <v>296.52</v>
      </c>
      <c r="E571" s="248">
        <v>3</v>
      </c>
    </row>
    <row r="572" spans="1:5" hidden="1" x14ac:dyDescent="0.2">
      <c r="A572" s="251"/>
      <c r="B572" s="246"/>
      <c r="C572" s="246" t="s">
        <v>817</v>
      </c>
      <c r="D572" s="247">
        <v>296.52</v>
      </c>
      <c r="E572" s="248">
        <v>1</v>
      </c>
    </row>
    <row r="573" spans="1:5" hidden="1" x14ac:dyDescent="0.2">
      <c r="A573" s="251"/>
      <c r="B573" s="246"/>
      <c r="C573" s="246" t="s">
        <v>818</v>
      </c>
      <c r="D573" s="247">
        <v>296.52</v>
      </c>
      <c r="E573" s="248">
        <v>2</v>
      </c>
    </row>
    <row r="574" spans="1:5" hidden="1" x14ac:dyDescent="0.2">
      <c r="A574" s="251"/>
      <c r="B574" s="246"/>
      <c r="C574" s="246" t="s">
        <v>819</v>
      </c>
      <c r="D574" s="247">
        <v>296.52</v>
      </c>
      <c r="E574" s="248">
        <v>2</v>
      </c>
    </row>
    <row r="575" spans="1:5" hidden="1" x14ac:dyDescent="0.2">
      <c r="A575" s="251"/>
      <c r="B575" s="246"/>
      <c r="C575" s="246" t="s">
        <v>820</v>
      </c>
      <c r="D575" s="247">
        <v>296.52</v>
      </c>
      <c r="E575" s="248">
        <v>2</v>
      </c>
    </row>
    <row r="576" spans="1:5" hidden="1" x14ac:dyDescent="0.2">
      <c r="A576" s="251"/>
      <c r="B576" s="246"/>
      <c r="C576" s="246" t="s">
        <v>821</v>
      </c>
      <c r="D576" s="247">
        <v>296.52</v>
      </c>
      <c r="E576" s="248">
        <v>1</v>
      </c>
    </row>
    <row r="577" spans="1:5" hidden="1" x14ac:dyDescent="0.2">
      <c r="A577" s="251"/>
      <c r="B577" s="246"/>
      <c r="C577" s="246" t="s">
        <v>822</v>
      </c>
      <c r="D577" s="247">
        <v>296.52</v>
      </c>
      <c r="E577" s="248">
        <v>4</v>
      </c>
    </row>
    <row r="578" spans="1:5" hidden="1" x14ac:dyDescent="0.2">
      <c r="A578" s="251"/>
      <c r="B578" s="246"/>
      <c r="C578" s="246" t="s">
        <v>823</v>
      </c>
      <c r="D578" s="247">
        <v>296.52</v>
      </c>
      <c r="E578" s="248">
        <v>3</v>
      </c>
    </row>
    <row r="579" spans="1:5" hidden="1" x14ac:dyDescent="0.2">
      <c r="A579" s="251"/>
      <c r="B579" s="246"/>
      <c r="C579" s="246" t="s">
        <v>824</v>
      </c>
      <c r="D579" s="247">
        <v>296.52</v>
      </c>
      <c r="E579" s="248">
        <v>2</v>
      </c>
    </row>
    <row r="580" spans="1:5" hidden="1" x14ac:dyDescent="0.2">
      <c r="A580" s="251"/>
      <c r="B580" s="246"/>
      <c r="C580" s="246" t="s">
        <v>825</v>
      </c>
      <c r="D580" s="247">
        <v>296.52</v>
      </c>
      <c r="E580" s="248">
        <v>2</v>
      </c>
    </row>
    <row r="581" spans="1:5" hidden="1" x14ac:dyDescent="0.2">
      <c r="A581" s="251"/>
      <c r="B581" s="246"/>
      <c r="C581" s="246" t="s">
        <v>826</v>
      </c>
      <c r="D581" s="247">
        <v>296.52</v>
      </c>
      <c r="E581" s="248">
        <v>1</v>
      </c>
    </row>
    <row r="582" spans="1:5" hidden="1" x14ac:dyDescent="0.2">
      <c r="A582" s="251"/>
      <c r="B582" s="246"/>
      <c r="C582" s="246" t="s">
        <v>827</v>
      </c>
      <c r="D582" s="247">
        <v>296.52</v>
      </c>
      <c r="E582" s="248">
        <v>1</v>
      </c>
    </row>
    <row r="583" spans="1:5" hidden="1" x14ac:dyDescent="0.2">
      <c r="A583" s="251"/>
      <c r="B583" s="246"/>
      <c r="C583" s="246" t="s">
        <v>828</v>
      </c>
      <c r="D583" s="247">
        <v>296.52</v>
      </c>
      <c r="E583" s="248">
        <v>2</v>
      </c>
    </row>
    <row r="584" spans="1:5" hidden="1" x14ac:dyDescent="0.2">
      <c r="A584" s="251"/>
      <c r="B584" s="246"/>
      <c r="C584" s="246" t="s">
        <v>829</v>
      </c>
      <c r="D584" s="247">
        <v>296.52</v>
      </c>
      <c r="E584" s="248">
        <v>1</v>
      </c>
    </row>
    <row r="585" spans="1:5" hidden="1" x14ac:dyDescent="0.2">
      <c r="A585" s="251"/>
      <c r="B585" s="246"/>
      <c r="C585" s="246" t="s">
        <v>830</v>
      </c>
      <c r="D585" s="247">
        <v>296.52</v>
      </c>
      <c r="E585" s="248">
        <v>2</v>
      </c>
    </row>
    <row r="586" spans="1:5" hidden="1" x14ac:dyDescent="0.2">
      <c r="A586" s="251"/>
      <c r="B586" s="246"/>
      <c r="C586" s="246" t="s">
        <v>831</v>
      </c>
      <c r="D586" s="247">
        <v>296.52</v>
      </c>
      <c r="E586" s="248">
        <v>2</v>
      </c>
    </row>
    <row r="587" spans="1:5" hidden="1" x14ac:dyDescent="0.2">
      <c r="A587" s="251"/>
      <c r="B587" s="246"/>
      <c r="C587" s="246" t="s">
        <v>832</v>
      </c>
      <c r="D587" s="247">
        <v>294.25</v>
      </c>
      <c r="E587" s="248">
        <v>2</v>
      </c>
    </row>
    <row r="588" spans="1:5" hidden="1" x14ac:dyDescent="0.2">
      <c r="A588" s="251"/>
      <c r="B588" s="246"/>
      <c r="C588" s="246" t="s">
        <v>833</v>
      </c>
      <c r="D588" s="247">
        <v>291.52999999999997</v>
      </c>
      <c r="E588" s="248">
        <v>3</v>
      </c>
    </row>
    <row r="589" spans="1:5" hidden="1" x14ac:dyDescent="0.2">
      <c r="A589" s="251"/>
      <c r="B589" s="246"/>
      <c r="C589" s="246" t="s">
        <v>834</v>
      </c>
      <c r="D589" s="247">
        <v>291.52999999999997</v>
      </c>
      <c r="E589" s="248">
        <v>3</v>
      </c>
    </row>
    <row r="590" spans="1:5" hidden="1" x14ac:dyDescent="0.2">
      <c r="A590" s="251"/>
      <c r="B590" s="246"/>
      <c r="C590" s="246" t="s">
        <v>835</v>
      </c>
      <c r="D590" s="247">
        <v>291.52999999999997</v>
      </c>
      <c r="E590" s="248">
        <v>3</v>
      </c>
    </row>
    <row r="591" spans="1:5" hidden="1" x14ac:dyDescent="0.2">
      <c r="A591" s="251"/>
      <c r="B591" s="246"/>
      <c r="C591" s="246" t="s">
        <v>836</v>
      </c>
      <c r="D591" s="247">
        <v>291.52999999999997</v>
      </c>
      <c r="E591" s="248">
        <v>3</v>
      </c>
    </row>
    <row r="592" spans="1:5" hidden="1" x14ac:dyDescent="0.2">
      <c r="A592" s="251"/>
      <c r="B592" s="246"/>
      <c r="C592" s="246" t="s">
        <v>837</v>
      </c>
      <c r="D592" s="247">
        <v>291.52999999999997</v>
      </c>
      <c r="E592" s="248">
        <v>3</v>
      </c>
    </row>
    <row r="593" spans="1:5" hidden="1" x14ac:dyDescent="0.2">
      <c r="A593" s="251"/>
      <c r="B593" s="246"/>
      <c r="C593" s="246" t="s">
        <v>838</v>
      </c>
      <c r="D593" s="247">
        <v>291.52999999999997</v>
      </c>
      <c r="E593" s="248">
        <v>3</v>
      </c>
    </row>
    <row r="594" spans="1:5" hidden="1" x14ac:dyDescent="0.2">
      <c r="A594" s="251"/>
      <c r="B594" s="246"/>
      <c r="C594" s="246" t="s">
        <v>839</v>
      </c>
      <c r="D594" s="247">
        <v>291.52999999999997</v>
      </c>
      <c r="E594" s="248">
        <v>3</v>
      </c>
    </row>
    <row r="595" spans="1:5" hidden="1" x14ac:dyDescent="0.2">
      <c r="A595" s="251"/>
      <c r="B595" s="246"/>
      <c r="C595" s="246" t="s">
        <v>840</v>
      </c>
      <c r="D595" s="247">
        <v>291.52999999999997</v>
      </c>
      <c r="E595" s="248">
        <v>3</v>
      </c>
    </row>
    <row r="596" spans="1:5" hidden="1" x14ac:dyDescent="0.2">
      <c r="A596" s="251"/>
      <c r="B596" s="246"/>
      <c r="C596" s="246" t="s">
        <v>841</v>
      </c>
      <c r="D596" s="247">
        <v>291.52999999999997</v>
      </c>
      <c r="E596" s="248">
        <v>3</v>
      </c>
    </row>
    <row r="597" spans="1:5" hidden="1" x14ac:dyDescent="0.2">
      <c r="A597" s="251"/>
      <c r="B597" s="246"/>
      <c r="C597" s="246" t="s">
        <v>842</v>
      </c>
      <c r="D597" s="247">
        <v>291.52999999999997</v>
      </c>
      <c r="E597" s="248">
        <v>3</v>
      </c>
    </row>
    <row r="598" spans="1:5" hidden="1" x14ac:dyDescent="0.2">
      <c r="A598" s="251"/>
      <c r="B598" s="246"/>
      <c r="C598" s="246" t="s">
        <v>843</v>
      </c>
      <c r="D598" s="247">
        <v>291.52999999999997</v>
      </c>
      <c r="E598" s="248">
        <v>3</v>
      </c>
    </row>
    <row r="599" spans="1:5" hidden="1" x14ac:dyDescent="0.2">
      <c r="A599" s="251"/>
      <c r="B599" s="246"/>
      <c r="C599" s="246" t="s">
        <v>844</v>
      </c>
      <c r="D599" s="247">
        <v>291.52999999999997</v>
      </c>
      <c r="E599" s="248">
        <v>3</v>
      </c>
    </row>
    <row r="600" spans="1:5" hidden="1" x14ac:dyDescent="0.2">
      <c r="A600" s="251"/>
      <c r="B600" s="246"/>
      <c r="C600" s="246" t="s">
        <v>845</v>
      </c>
      <c r="D600" s="247">
        <v>291.52999999999997</v>
      </c>
      <c r="E600" s="248">
        <v>3</v>
      </c>
    </row>
    <row r="601" spans="1:5" hidden="1" x14ac:dyDescent="0.2">
      <c r="A601" s="251"/>
      <c r="B601" s="246"/>
      <c r="C601" s="246" t="s">
        <v>846</v>
      </c>
      <c r="D601" s="247">
        <v>287.97000000000003</v>
      </c>
      <c r="E601" s="248">
        <v>2</v>
      </c>
    </row>
    <row r="602" spans="1:5" hidden="1" x14ac:dyDescent="0.2">
      <c r="A602" s="251"/>
      <c r="B602" s="246"/>
      <c r="C602" s="246" t="s">
        <v>847</v>
      </c>
      <c r="D602" s="247">
        <v>287.97000000000003</v>
      </c>
      <c r="E602" s="248">
        <v>2</v>
      </c>
    </row>
    <row r="603" spans="1:5" hidden="1" x14ac:dyDescent="0.2">
      <c r="A603" s="251"/>
      <c r="B603" s="246"/>
      <c r="C603" s="246" t="s">
        <v>848</v>
      </c>
      <c r="D603" s="247">
        <v>287.97000000000003</v>
      </c>
      <c r="E603" s="248">
        <v>2</v>
      </c>
    </row>
    <row r="604" spans="1:5" hidden="1" x14ac:dyDescent="0.2">
      <c r="A604" s="251"/>
      <c r="B604" s="246"/>
      <c r="C604" s="246" t="s">
        <v>849</v>
      </c>
      <c r="D604" s="247">
        <v>287.97000000000003</v>
      </c>
      <c r="E604" s="248">
        <v>2</v>
      </c>
    </row>
    <row r="605" spans="1:5" hidden="1" x14ac:dyDescent="0.2">
      <c r="A605" s="251"/>
      <c r="B605" s="246"/>
      <c r="C605" s="246" t="s">
        <v>850</v>
      </c>
      <c r="D605" s="247">
        <v>287.97000000000003</v>
      </c>
      <c r="E605" s="248">
        <v>2</v>
      </c>
    </row>
    <row r="606" spans="1:5" hidden="1" x14ac:dyDescent="0.2">
      <c r="A606" s="251"/>
      <c r="B606" s="246"/>
      <c r="C606" s="246" t="s">
        <v>851</v>
      </c>
      <c r="D606" s="247">
        <v>287.97000000000003</v>
      </c>
      <c r="E606" s="248">
        <v>2</v>
      </c>
    </row>
    <row r="607" spans="1:5" hidden="1" x14ac:dyDescent="0.2">
      <c r="A607" s="251"/>
      <c r="B607" s="246"/>
      <c r="C607" s="246" t="s">
        <v>852</v>
      </c>
      <c r="D607" s="247">
        <v>287.97000000000003</v>
      </c>
      <c r="E607" s="248">
        <v>2</v>
      </c>
    </row>
    <row r="608" spans="1:5" hidden="1" x14ac:dyDescent="0.2">
      <c r="A608" s="251"/>
      <c r="B608" s="246"/>
      <c r="C608" s="246" t="s">
        <v>853</v>
      </c>
      <c r="D608" s="247">
        <v>287.97000000000003</v>
      </c>
      <c r="E608" s="248">
        <v>2</v>
      </c>
    </row>
    <row r="609" spans="1:5" hidden="1" x14ac:dyDescent="0.2">
      <c r="A609" s="251"/>
      <c r="B609" s="246"/>
      <c r="C609" s="246" t="s">
        <v>854</v>
      </c>
      <c r="D609" s="247">
        <v>287.97000000000003</v>
      </c>
      <c r="E609" s="248">
        <v>2</v>
      </c>
    </row>
    <row r="610" spans="1:5" hidden="1" x14ac:dyDescent="0.2">
      <c r="A610" s="251"/>
      <c r="B610" s="246"/>
      <c r="C610" s="246" t="s">
        <v>2284</v>
      </c>
      <c r="D610" s="247">
        <v>287.95999999999998</v>
      </c>
      <c r="E610" s="248">
        <v>2</v>
      </c>
    </row>
    <row r="611" spans="1:5" hidden="1" x14ac:dyDescent="0.2">
      <c r="A611" s="251"/>
      <c r="B611" s="246"/>
      <c r="C611" s="246" t="s">
        <v>856</v>
      </c>
      <c r="D611" s="247">
        <v>287.95999999999998</v>
      </c>
      <c r="E611" s="248">
        <v>2</v>
      </c>
    </row>
    <row r="612" spans="1:5" hidden="1" x14ac:dyDescent="0.2">
      <c r="A612" s="251"/>
      <c r="B612" s="246"/>
      <c r="C612" s="246" t="s">
        <v>857</v>
      </c>
      <c r="D612" s="247">
        <v>287.95999999999998</v>
      </c>
      <c r="E612" s="248">
        <v>2</v>
      </c>
    </row>
    <row r="613" spans="1:5" hidden="1" x14ac:dyDescent="0.2">
      <c r="A613" s="251"/>
      <c r="B613" s="246"/>
      <c r="C613" s="246" t="s">
        <v>858</v>
      </c>
      <c r="D613" s="247">
        <v>287.95999999999998</v>
      </c>
      <c r="E613" s="248">
        <v>2</v>
      </c>
    </row>
    <row r="614" spans="1:5" hidden="1" x14ac:dyDescent="0.2">
      <c r="A614" s="251"/>
      <c r="B614" s="246"/>
      <c r="C614" s="246" t="s">
        <v>859</v>
      </c>
      <c r="D614" s="247">
        <v>287.95999999999998</v>
      </c>
      <c r="E614" s="248">
        <v>2</v>
      </c>
    </row>
    <row r="615" spans="1:5" hidden="1" x14ac:dyDescent="0.2">
      <c r="A615" s="251"/>
      <c r="B615" s="246"/>
      <c r="C615" s="246" t="s">
        <v>860</v>
      </c>
      <c r="D615" s="247">
        <v>287.95999999999998</v>
      </c>
      <c r="E615" s="248">
        <v>2</v>
      </c>
    </row>
    <row r="616" spans="1:5" hidden="1" x14ac:dyDescent="0.2">
      <c r="A616" s="251"/>
      <c r="B616" s="246"/>
      <c r="C616" s="246" t="s">
        <v>2285</v>
      </c>
      <c r="D616" s="247">
        <v>287.95999999999998</v>
      </c>
      <c r="E616" s="248">
        <v>2</v>
      </c>
    </row>
    <row r="617" spans="1:5" hidden="1" x14ac:dyDescent="0.2">
      <c r="A617" s="251"/>
      <c r="B617" s="246"/>
      <c r="C617" s="246" t="s">
        <v>855</v>
      </c>
      <c r="D617" s="247">
        <v>287.95999999999998</v>
      </c>
      <c r="E617" s="248">
        <v>2</v>
      </c>
    </row>
    <row r="618" spans="1:5" hidden="1" x14ac:dyDescent="0.2">
      <c r="A618" s="251"/>
      <c r="B618" s="246"/>
      <c r="C618" s="246" t="s">
        <v>861</v>
      </c>
      <c r="D618" s="247">
        <v>287.88</v>
      </c>
      <c r="E618" s="248">
        <v>3</v>
      </c>
    </row>
    <row r="619" spans="1:5" hidden="1" x14ac:dyDescent="0.2">
      <c r="A619" s="251"/>
      <c r="B619" s="246"/>
      <c r="C619" s="246" t="s">
        <v>862</v>
      </c>
      <c r="D619" s="247">
        <v>285.70999999999998</v>
      </c>
      <c r="E619" s="248">
        <v>4</v>
      </c>
    </row>
    <row r="620" spans="1:5" hidden="1" x14ac:dyDescent="0.2">
      <c r="A620" s="251"/>
      <c r="B620" s="246"/>
      <c r="C620" s="246" t="s">
        <v>2286</v>
      </c>
      <c r="D620" s="247">
        <v>285.25</v>
      </c>
      <c r="E620" s="248">
        <v>4</v>
      </c>
    </row>
    <row r="621" spans="1:5" hidden="1" x14ac:dyDescent="0.2">
      <c r="A621" s="251"/>
      <c r="B621" s="246"/>
      <c r="C621" s="246" t="s">
        <v>863</v>
      </c>
      <c r="D621" s="247">
        <v>284.58999999999997</v>
      </c>
      <c r="E621" s="248">
        <v>2</v>
      </c>
    </row>
    <row r="622" spans="1:5" hidden="1" x14ac:dyDescent="0.2">
      <c r="A622" s="251"/>
      <c r="B622" s="246"/>
      <c r="C622" s="246" t="s">
        <v>864</v>
      </c>
      <c r="D622" s="247">
        <v>283.98</v>
      </c>
      <c r="E622" s="248">
        <v>9</v>
      </c>
    </row>
    <row r="623" spans="1:5" hidden="1" x14ac:dyDescent="0.2">
      <c r="A623" s="251"/>
      <c r="B623" s="246"/>
      <c r="C623" s="246" t="s">
        <v>865</v>
      </c>
      <c r="D623" s="247">
        <v>283.81</v>
      </c>
      <c r="E623" s="248">
        <v>1</v>
      </c>
    </row>
    <row r="624" spans="1:5" hidden="1" x14ac:dyDescent="0.2">
      <c r="A624" s="251"/>
      <c r="B624" s="246"/>
      <c r="C624" s="246" t="s">
        <v>866</v>
      </c>
      <c r="D624" s="247">
        <v>283.81</v>
      </c>
      <c r="E624" s="248">
        <v>1</v>
      </c>
    </row>
    <row r="625" spans="1:5" hidden="1" x14ac:dyDescent="0.2">
      <c r="A625" s="251"/>
      <c r="B625" s="246"/>
      <c r="C625" s="246" t="s">
        <v>867</v>
      </c>
      <c r="D625" s="247">
        <v>283.81</v>
      </c>
      <c r="E625" s="248">
        <v>1</v>
      </c>
    </row>
    <row r="626" spans="1:5" hidden="1" x14ac:dyDescent="0.2">
      <c r="A626" s="251"/>
      <c r="B626" s="246"/>
      <c r="C626" s="246" t="s">
        <v>868</v>
      </c>
      <c r="D626" s="247">
        <v>283.81</v>
      </c>
      <c r="E626" s="248">
        <v>1</v>
      </c>
    </row>
    <row r="627" spans="1:5" hidden="1" x14ac:dyDescent="0.2">
      <c r="A627" s="251"/>
      <c r="B627" s="246"/>
      <c r="C627" s="246" t="s">
        <v>869</v>
      </c>
      <c r="D627" s="247">
        <v>282.37</v>
      </c>
      <c r="E627" s="248">
        <v>8</v>
      </c>
    </row>
    <row r="628" spans="1:5" hidden="1" x14ac:dyDescent="0.2">
      <c r="A628" s="251"/>
      <c r="B628" s="246"/>
      <c r="C628" s="246" t="s">
        <v>870</v>
      </c>
      <c r="D628" s="247">
        <v>282.05</v>
      </c>
      <c r="E628" s="248">
        <v>2</v>
      </c>
    </row>
    <row r="629" spans="1:5" hidden="1" x14ac:dyDescent="0.2">
      <c r="A629" s="251"/>
      <c r="B629" s="246"/>
      <c r="C629" s="246" t="s">
        <v>871</v>
      </c>
      <c r="D629" s="247">
        <v>281.89999999999998</v>
      </c>
      <c r="E629" s="248">
        <v>4</v>
      </c>
    </row>
    <row r="630" spans="1:5" hidden="1" x14ac:dyDescent="0.2">
      <c r="A630" s="251"/>
      <c r="B630" s="246"/>
      <c r="C630" s="246" t="s">
        <v>872</v>
      </c>
      <c r="D630" s="247">
        <v>281.7</v>
      </c>
      <c r="E630" s="248">
        <v>2</v>
      </c>
    </row>
    <row r="631" spans="1:5" hidden="1" x14ac:dyDescent="0.2">
      <c r="A631" s="251"/>
      <c r="B631" s="246"/>
      <c r="C631" s="246" t="s">
        <v>873</v>
      </c>
      <c r="D631" s="247">
        <v>281.10000000000002</v>
      </c>
      <c r="E631" s="248">
        <v>3</v>
      </c>
    </row>
    <row r="632" spans="1:5" hidden="1" x14ac:dyDescent="0.2">
      <c r="A632" s="251"/>
      <c r="B632" s="246"/>
      <c r="C632" s="246" t="s">
        <v>874</v>
      </c>
      <c r="D632" s="247">
        <v>279.51</v>
      </c>
      <c r="E632" s="248">
        <v>2</v>
      </c>
    </row>
    <row r="633" spans="1:5" hidden="1" x14ac:dyDescent="0.2">
      <c r="A633" s="251"/>
      <c r="B633" s="246"/>
      <c r="C633" s="246" t="s">
        <v>875</v>
      </c>
      <c r="D633" s="247">
        <v>279.49</v>
      </c>
      <c r="E633" s="248">
        <v>2</v>
      </c>
    </row>
    <row r="634" spans="1:5" hidden="1" x14ac:dyDescent="0.2">
      <c r="A634" s="251"/>
      <c r="B634" s="246"/>
      <c r="C634" s="246" t="s">
        <v>876</v>
      </c>
      <c r="D634" s="247">
        <v>277.39999999999998</v>
      </c>
      <c r="E634" s="248">
        <v>3</v>
      </c>
    </row>
    <row r="635" spans="1:5" hidden="1" x14ac:dyDescent="0.2">
      <c r="A635" s="251"/>
      <c r="B635" s="246"/>
      <c r="C635" s="246" t="s">
        <v>877</v>
      </c>
      <c r="D635" s="247">
        <v>271.05</v>
      </c>
      <c r="E635" s="248">
        <v>2</v>
      </c>
    </row>
    <row r="636" spans="1:5" hidden="1" x14ac:dyDescent="0.2">
      <c r="A636" s="251"/>
      <c r="B636" s="246"/>
      <c r="C636" s="246" t="s">
        <v>878</v>
      </c>
      <c r="D636" s="247">
        <v>271.05</v>
      </c>
      <c r="E636" s="248">
        <v>2</v>
      </c>
    </row>
    <row r="637" spans="1:5" hidden="1" x14ac:dyDescent="0.2">
      <c r="A637" s="251"/>
      <c r="B637" s="246"/>
      <c r="C637" s="246" t="s">
        <v>879</v>
      </c>
      <c r="D637" s="247">
        <v>271.05</v>
      </c>
      <c r="E637" s="248">
        <v>2</v>
      </c>
    </row>
    <row r="638" spans="1:5" hidden="1" x14ac:dyDescent="0.2">
      <c r="A638" s="251"/>
      <c r="B638" s="246"/>
      <c r="C638" s="246" t="s">
        <v>880</v>
      </c>
      <c r="D638" s="247">
        <v>271.05</v>
      </c>
      <c r="E638" s="248">
        <v>2</v>
      </c>
    </row>
    <row r="639" spans="1:5" hidden="1" x14ac:dyDescent="0.2">
      <c r="A639" s="251"/>
      <c r="B639" s="246"/>
      <c r="C639" s="246" t="s">
        <v>881</v>
      </c>
      <c r="D639" s="247">
        <v>271.05</v>
      </c>
      <c r="E639" s="248">
        <v>2</v>
      </c>
    </row>
    <row r="640" spans="1:5" hidden="1" x14ac:dyDescent="0.2">
      <c r="A640" s="251"/>
      <c r="B640" s="246"/>
      <c r="C640" s="246" t="s">
        <v>882</v>
      </c>
      <c r="D640" s="247">
        <v>270.83999999999997</v>
      </c>
      <c r="E640" s="248">
        <v>4</v>
      </c>
    </row>
    <row r="641" spans="1:5" hidden="1" x14ac:dyDescent="0.2">
      <c r="A641" s="251"/>
      <c r="B641" s="246"/>
      <c r="C641" s="246" t="s">
        <v>883</v>
      </c>
      <c r="D641" s="247">
        <v>269.24</v>
      </c>
      <c r="E641" s="248">
        <v>3</v>
      </c>
    </row>
    <row r="642" spans="1:5" hidden="1" x14ac:dyDescent="0.2">
      <c r="A642" s="251"/>
      <c r="B642" s="246"/>
      <c r="C642" s="246" t="s">
        <v>884</v>
      </c>
      <c r="D642" s="247">
        <v>268.17</v>
      </c>
      <c r="E642" s="248">
        <v>4</v>
      </c>
    </row>
    <row r="643" spans="1:5" hidden="1" x14ac:dyDescent="0.2">
      <c r="A643" s="251"/>
      <c r="B643" s="246"/>
      <c r="C643" s="246" t="s">
        <v>885</v>
      </c>
      <c r="D643" s="247">
        <v>267.14</v>
      </c>
      <c r="E643" s="248">
        <v>4</v>
      </c>
    </row>
    <row r="644" spans="1:5" hidden="1" x14ac:dyDescent="0.2">
      <c r="A644" s="251"/>
      <c r="B644" s="246"/>
      <c r="C644" s="246" t="s">
        <v>886</v>
      </c>
      <c r="D644" s="247">
        <v>266.87</v>
      </c>
      <c r="E644" s="248">
        <v>1</v>
      </c>
    </row>
    <row r="645" spans="1:5" hidden="1" x14ac:dyDescent="0.2">
      <c r="A645" s="251"/>
      <c r="B645" s="246"/>
      <c r="C645" s="246" t="s">
        <v>887</v>
      </c>
      <c r="D645" s="247">
        <v>266.87</v>
      </c>
      <c r="E645" s="248">
        <v>2</v>
      </c>
    </row>
    <row r="646" spans="1:5" hidden="1" x14ac:dyDescent="0.2">
      <c r="A646" s="251"/>
      <c r="B646" s="246"/>
      <c r="C646" s="246" t="s">
        <v>888</v>
      </c>
      <c r="D646" s="247">
        <v>266.87</v>
      </c>
      <c r="E646" s="248">
        <v>2</v>
      </c>
    </row>
    <row r="647" spans="1:5" hidden="1" x14ac:dyDescent="0.2">
      <c r="A647" s="251"/>
      <c r="B647" s="246"/>
      <c r="C647" s="246" t="s">
        <v>889</v>
      </c>
      <c r="D647" s="247">
        <v>266.87</v>
      </c>
      <c r="E647" s="248">
        <v>2</v>
      </c>
    </row>
    <row r="648" spans="1:5" hidden="1" x14ac:dyDescent="0.2">
      <c r="A648" s="251"/>
      <c r="B648" s="246"/>
      <c r="C648" s="246" t="s">
        <v>890</v>
      </c>
      <c r="D648" s="247">
        <v>266.87</v>
      </c>
      <c r="E648" s="248">
        <v>2</v>
      </c>
    </row>
    <row r="649" spans="1:5" hidden="1" x14ac:dyDescent="0.2">
      <c r="A649" s="251"/>
      <c r="B649" s="246"/>
      <c r="C649" s="246" t="s">
        <v>891</v>
      </c>
      <c r="D649" s="247">
        <v>266.87</v>
      </c>
      <c r="E649" s="248">
        <v>2</v>
      </c>
    </row>
    <row r="650" spans="1:5" hidden="1" x14ac:dyDescent="0.2">
      <c r="A650" s="251"/>
      <c r="B650" s="246"/>
      <c r="C650" s="246" t="s">
        <v>892</v>
      </c>
      <c r="D650" s="247">
        <v>266.87</v>
      </c>
      <c r="E650" s="248">
        <v>1</v>
      </c>
    </row>
    <row r="651" spans="1:5" hidden="1" x14ac:dyDescent="0.2">
      <c r="A651" s="251"/>
      <c r="B651" s="246"/>
      <c r="C651" s="246" t="s">
        <v>893</v>
      </c>
      <c r="D651" s="247">
        <v>266.87</v>
      </c>
      <c r="E651" s="248">
        <v>2</v>
      </c>
    </row>
    <row r="652" spans="1:5" hidden="1" x14ac:dyDescent="0.2">
      <c r="A652" s="251"/>
      <c r="B652" s="246"/>
      <c r="C652" s="246" t="s">
        <v>894</v>
      </c>
      <c r="D652" s="247">
        <v>266.87</v>
      </c>
      <c r="E652" s="248">
        <v>2</v>
      </c>
    </row>
    <row r="653" spans="1:5" hidden="1" x14ac:dyDescent="0.2">
      <c r="A653" s="251"/>
      <c r="B653" s="246"/>
      <c r="C653" s="246" t="s">
        <v>895</v>
      </c>
      <c r="D653" s="247">
        <v>266.87</v>
      </c>
      <c r="E653" s="248">
        <v>2</v>
      </c>
    </row>
    <row r="654" spans="1:5" hidden="1" x14ac:dyDescent="0.2">
      <c r="A654" s="251"/>
      <c r="B654" s="246"/>
      <c r="C654" s="246" t="s">
        <v>896</v>
      </c>
      <c r="D654" s="247">
        <v>266.87</v>
      </c>
      <c r="E654" s="248">
        <v>2</v>
      </c>
    </row>
    <row r="655" spans="1:5" hidden="1" x14ac:dyDescent="0.2">
      <c r="A655" s="251"/>
      <c r="B655" s="246"/>
      <c r="C655" s="246" t="s">
        <v>897</v>
      </c>
      <c r="D655" s="247">
        <v>266.87</v>
      </c>
      <c r="E655" s="248">
        <v>2</v>
      </c>
    </row>
    <row r="656" spans="1:5" hidden="1" x14ac:dyDescent="0.2">
      <c r="A656" s="251"/>
      <c r="B656" s="246"/>
      <c r="C656" s="246" t="s">
        <v>898</v>
      </c>
      <c r="D656" s="247">
        <v>266.87</v>
      </c>
      <c r="E656" s="248">
        <v>2</v>
      </c>
    </row>
    <row r="657" spans="1:5" hidden="1" x14ac:dyDescent="0.2">
      <c r="A657" s="251"/>
      <c r="B657" s="246"/>
      <c r="C657" s="246" t="s">
        <v>899</v>
      </c>
      <c r="D657" s="247">
        <v>266.87</v>
      </c>
      <c r="E657" s="248">
        <v>2</v>
      </c>
    </row>
    <row r="658" spans="1:5" hidden="1" x14ac:dyDescent="0.2">
      <c r="A658" s="251"/>
      <c r="B658" s="246"/>
      <c r="C658" s="246" t="s">
        <v>900</v>
      </c>
      <c r="D658" s="247">
        <v>266.87</v>
      </c>
      <c r="E658" s="248">
        <v>2</v>
      </c>
    </row>
    <row r="659" spans="1:5" hidden="1" x14ac:dyDescent="0.2">
      <c r="A659" s="251"/>
      <c r="B659" s="246"/>
      <c r="C659" s="246" t="s">
        <v>901</v>
      </c>
      <c r="D659" s="247">
        <v>266.87</v>
      </c>
      <c r="E659" s="248">
        <v>2</v>
      </c>
    </row>
    <row r="660" spans="1:5" hidden="1" x14ac:dyDescent="0.2">
      <c r="A660" s="251"/>
      <c r="B660" s="246"/>
      <c r="C660" s="246" t="s">
        <v>902</v>
      </c>
      <c r="D660" s="247">
        <v>266.87</v>
      </c>
      <c r="E660" s="248">
        <v>2</v>
      </c>
    </row>
    <row r="661" spans="1:5" hidden="1" x14ac:dyDescent="0.2">
      <c r="A661" s="251"/>
      <c r="B661" s="246"/>
      <c r="C661" s="246" t="s">
        <v>903</v>
      </c>
      <c r="D661" s="247">
        <v>266.87</v>
      </c>
      <c r="E661" s="248">
        <v>2</v>
      </c>
    </row>
    <row r="662" spans="1:5" hidden="1" x14ac:dyDescent="0.2">
      <c r="A662" s="251"/>
      <c r="B662" s="246"/>
      <c r="C662" s="246" t="s">
        <v>904</v>
      </c>
      <c r="D662" s="247">
        <v>266.87</v>
      </c>
      <c r="E662" s="248">
        <v>2</v>
      </c>
    </row>
    <row r="663" spans="1:5" hidden="1" x14ac:dyDescent="0.2">
      <c r="A663" s="251"/>
      <c r="B663" s="246"/>
      <c r="C663" s="246" t="s">
        <v>905</v>
      </c>
      <c r="D663" s="247">
        <v>266.87</v>
      </c>
      <c r="E663" s="248">
        <v>2</v>
      </c>
    </row>
    <row r="664" spans="1:5" hidden="1" x14ac:dyDescent="0.2">
      <c r="A664" s="251"/>
      <c r="B664" s="246"/>
      <c r="C664" s="246" t="s">
        <v>906</v>
      </c>
      <c r="D664" s="247">
        <v>266.87</v>
      </c>
      <c r="E664" s="248">
        <v>2</v>
      </c>
    </row>
    <row r="665" spans="1:5" hidden="1" x14ac:dyDescent="0.2">
      <c r="A665" s="251"/>
      <c r="B665" s="246"/>
      <c r="C665" s="246" t="s">
        <v>907</v>
      </c>
      <c r="D665" s="247">
        <v>266.87</v>
      </c>
      <c r="E665" s="248">
        <v>2</v>
      </c>
    </row>
    <row r="666" spans="1:5" hidden="1" x14ac:dyDescent="0.2">
      <c r="A666" s="251"/>
      <c r="B666" s="246"/>
      <c r="C666" s="246" t="s">
        <v>908</v>
      </c>
      <c r="D666" s="247">
        <v>266.87</v>
      </c>
      <c r="E666" s="248">
        <v>2</v>
      </c>
    </row>
    <row r="667" spans="1:5" hidden="1" x14ac:dyDescent="0.2">
      <c r="A667" s="251"/>
      <c r="B667" s="246"/>
      <c r="C667" s="246" t="s">
        <v>909</v>
      </c>
      <c r="D667" s="247">
        <v>266.87</v>
      </c>
      <c r="E667" s="248">
        <v>2</v>
      </c>
    </row>
    <row r="668" spans="1:5" hidden="1" x14ac:dyDescent="0.2">
      <c r="A668" s="251"/>
      <c r="B668" s="246"/>
      <c r="C668" s="246" t="s">
        <v>910</v>
      </c>
      <c r="D668" s="247">
        <v>266.87</v>
      </c>
      <c r="E668" s="248">
        <v>2</v>
      </c>
    </row>
    <row r="669" spans="1:5" hidden="1" x14ac:dyDescent="0.2">
      <c r="A669" s="251"/>
      <c r="B669" s="246"/>
      <c r="C669" s="246" t="s">
        <v>911</v>
      </c>
      <c r="D669" s="247">
        <v>266.87</v>
      </c>
      <c r="E669" s="248">
        <v>2</v>
      </c>
    </row>
    <row r="670" spans="1:5" hidden="1" x14ac:dyDescent="0.2">
      <c r="A670" s="251"/>
      <c r="B670" s="246"/>
      <c r="C670" s="246" t="s">
        <v>912</v>
      </c>
      <c r="D670" s="247">
        <v>266.87</v>
      </c>
      <c r="E670" s="248">
        <v>2</v>
      </c>
    </row>
    <row r="671" spans="1:5" hidden="1" x14ac:dyDescent="0.2">
      <c r="A671" s="251"/>
      <c r="B671" s="246"/>
      <c r="C671" s="246" t="s">
        <v>913</v>
      </c>
      <c r="D671" s="247">
        <v>266.87</v>
      </c>
      <c r="E671" s="248">
        <v>1</v>
      </c>
    </row>
    <row r="672" spans="1:5" hidden="1" x14ac:dyDescent="0.2">
      <c r="A672" s="251"/>
      <c r="B672" s="246"/>
      <c r="C672" s="246" t="s">
        <v>914</v>
      </c>
      <c r="D672" s="247">
        <v>266.87</v>
      </c>
      <c r="E672" s="248">
        <v>2</v>
      </c>
    </row>
    <row r="673" spans="1:5" hidden="1" x14ac:dyDescent="0.2">
      <c r="A673" s="251"/>
      <c r="B673" s="246"/>
      <c r="C673" s="246" t="s">
        <v>915</v>
      </c>
      <c r="D673" s="247">
        <v>266.87</v>
      </c>
      <c r="E673" s="248">
        <v>2</v>
      </c>
    </row>
    <row r="674" spans="1:5" hidden="1" x14ac:dyDescent="0.2">
      <c r="A674" s="251"/>
      <c r="B674" s="246"/>
      <c r="C674" s="246" t="s">
        <v>916</v>
      </c>
      <c r="D674" s="247">
        <v>266.87</v>
      </c>
      <c r="E674" s="248">
        <v>2</v>
      </c>
    </row>
    <row r="675" spans="1:5" hidden="1" x14ac:dyDescent="0.2">
      <c r="A675" s="251"/>
      <c r="B675" s="246"/>
      <c r="C675" s="246" t="s">
        <v>917</v>
      </c>
      <c r="D675" s="247">
        <v>266.87</v>
      </c>
      <c r="E675" s="248">
        <v>2</v>
      </c>
    </row>
    <row r="676" spans="1:5" hidden="1" x14ac:dyDescent="0.2">
      <c r="A676" s="251"/>
      <c r="B676" s="246"/>
      <c r="C676" s="246" t="s">
        <v>918</v>
      </c>
      <c r="D676" s="247">
        <v>266.87</v>
      </c>
      <c r="E676" s="248">
        <v>2</v>
      </c>
    </row>
    <row r="677" spans="1:5" hidden="1" x14ac:dyDescent="0.2">
      <c r="A677" s="251"/>
      <c r="B677" s="246"/>
      <c r="C677" s="246" t="s">
        <v>919</v>
      </c>
      <c r="D677" s="247">
        <v>266.87</v>
      </c>
      <c r="E677" s="248">
        <v>2</v>
      </c>
    </row>
    <row r="678" spans="1:5" hidden="1" x14ac:dyDescent="0.2">
      <c r="A678" s="251"/>
      <c r="B678" s="246"/>
      <c r="C678" s="246" t="s">
        <v>920</v>
      </c>
      <c r="D678" s="247">
        <v>266.87</v>
      </c>
      <c r="E678" s="248">
        <v>3</v>
      </c>
    </row>
    <row r="679" spans="1:5" hidden="1" x14ac:dyDescent="0.2">
      <c r="A679" s="251"/>
      <c r="B679" s="246"/>
      <c r="C679" s="246" t="s">
        <v>921</v>
      </c>
      <c r="D679" s="247">
        <v>266.87</v>
      </c>
      <c r="E679" s="248">
        <v>2</v>
      </c>
    </row>
    <row r="680" spans="1:5" hidden="1" x14ac:dyDescent="0.2">
      <c r="A680" s="251"/>
      <c r="B680" s="246"/>
      <c r="C680" s="246" t="s">
        <v>922</v>
      </c>
      <c r="D680" s="247">
        <v>266.87</v>
      </c>
      <c r="E680" s="248">
        <v>2</v>
      </c>
    </row>
    <row r="681" spans="1:5" hidden="1" x14ac:dyDescent="0.2">
      <c r="A681" s="251"/>
      <c r="B681" s="246"/>
      <c r="C681" s="246" t="s">
        <v>923</v>
      </c>
      <c r="D681" s="247">
        <v>266.87</v>
      </c>
      <c r="E681" s="248">
        <v>2</v>
      </c>
    </row>
    <row r="682" spans="1:5" hidden="1" x14ac:dyDescent="0.2">
      <c r="A682" s="251"/>
      <c r="B682" s="246"/>
      <c r="C682" s="246" t="s">
        <v>924</v>
      </c>
      <c r="D682" s="247">
        <v>266.87</v>
      </c>
      <c r="E682" s="248">
        <v>2</v>
      </c>
    </row>
    <row r="683" spans="1:5" hidden="1" x14ac:dyDescent="0.2">
      <c r="A683" s="251"/>
      <c r="B683" s="246"/>
      <c r="C683" s="246" t="s">
        <v>925</v>
      </c>
      <c r="D683" s="247">
        <v>266.87</v>
      </c>
      <c r="E683" s="248">
        <v>2</v>
      </c>
    </row>
    <row r="684" spans="1:5" hidden="1" x14ac:dyDescent="0.2">
      <c r="A684" s="251"/>
      <c r="B684" s="246"/>
      <c r="C684" s="246" t="s">
        <v>926</v>
      </c>
      <c r="D684" s="247">
        <v>266.87</v>
      </c>
      <c r="E684" s="248">
        <v>2</v>
      </c>
    </row>
    <row r="685" spans="1:5" hidden="1" x14ac:dyDescent="0.2">
      <c r="A685" s="251"/>
      <c r="B685" s="246"/>
      <c r="C685" s="246" t="s">
        <v>927</v>
      </c>
      <c r="D685" s="247">
        <v>266.87</v>
      </c>
      <c r="E685" s="248">
        <v>2</v>
      </c>
    </row>
    <row r="686" spans="1:5" hidden="1" x14ac:dyDescent="0.2">
      <c r="A686" s="251"/>
      <c r="B686" s="246"/>
      <c r="C686" s="246" t="s">
        <v>928</v>
      </c>
      <c r="D686" s="247">
        <v>266.87</v>
      </c>
      <c r="E686" s="248">
        <v>2</v>
      </c>
    </row>
    <row r="687" spans="1:5" hidden="1" x14ac:dyDescent="0.2">
      <c r="A687" s="251"/>
      <c r="B687" s="246"/>
      <c r="C687" s="246" t="s">
        <v>929</v>
      </c>
      <c r="D687" s="247">
        <v>266.87</v>
      </c>
      <c r="E687" s="248">
        <v>2</v>
      </c>
    </row>
    <row r="688" spans="1:5" hidden="1" x14ac:dyDescent="0.2">
      <c r="A688" s="251"/>
      <c r="B688" s="246"/>
      <c r="C688" s="246" t="s">
        <v>2287</v>
      </c>
      <c r="D688" s="247">
        <v>266.87</v>
      </c>
      <c r="E688" s="248">
        <v>2</v>
      </c>
    </row>
    <row r="689" spans="1:5" hidden="1" x14ac:dyDescent="0.2">
      <c r="A689" s="251"/>
      <c r="B689" s="246"/>
      <c r="C689" s="246" t="s">
        <v>930</v>
      </c>
      <c r="D689" s="247">
        <v>266.87</v>
      </c>
      <c r="E689" s="248">
        <v>2</v>
      </c>
    </row>
    <row r="690" spans="1:5" hidden="1" x14ac:dyDescent="0.2">
      <c r="A690" s="251"/>
      <c r="B690" s="246"/>
      <c r="C690" s="246" t="s">
        <v>931</v>
      </c>
      <c r="D690" s="247">
        <v>266.87</v>
      </c>
      <c r="E690" s="248">
        <v>2</v>
      </c>
    </row>
    <row r="691" spans="1:5" hidden="1" x14ac:dyDescent="0.2">
      <c r="A691" s="251"/>
      <c r="B691" s="246"/>
      <c r="C691" s="246" t="s">
        <v>932</v>
      </c>
      <c r="D691" s="247">
        <v>266.87</v>
      </c>
      <c r="E691" s="248">
        <v>2</v>
      </c>
    </row>
    <row r="692" spans="1:5" hidden="1" x14ac:dyDescent="0.2">
      <c r="A692" s="251"/>
      <c r="B692" s="246"/>
      <c r="C692" s="246" t="s">
        <v>933</v>
      </c>
      <c r="D692" s="247">
        <v>266.87</v>
      </c>
      <c r="E692" s="248">
        <v>1</v>
      </c>
    </row>
    <row r="693" spans="1:5" hidden="1" x14ac:dyDescent="0.2">
      <c r="A693" s="251"/>
      <c r="B693" s="246"/>
      <c r="C693" s="246" t="s">
        <v>934</v>
      </c>
      <c r="D693" s="247">
        <v>266.87</v>
      </c>
      <c r="E693" s="248">
        <v>2</v>
      </c>
    </row>
    <row r="694" spans="1:5" hidden="1" x14ac:dyDescent="0.2">
      <c r="A694" s="251"/>
      <c r="B694" s="246"/>
      <c r="C694" s="246" t="s">
        <v>935</v>
      </c>
      <c r="D694" s="247">
        <v>266.87</v>
      </c>
      <c r="E694" s="248">
        <v>1</v>
      </c>
    </row>
    <row r="695" spans="1:5" hidden="1" x14ac:dyDescent="0.2">
      <c r="A695" s="251"/>
      <c r="B695" s="246"/>
      <c r="C695" s="246" t="s">
        <v>936</v>
      </c>
      <c r="D695" s="247">
        <v>266.87</v>
      </c>
      <c r="E695" s="248">
        <v>2</v>
      </c>
    </row>
    <row r="696" spans="1:5" hidden="1" x14ac:dyDescent="0.2">
      <c r="A696" s="251"/>
      <c r="B696" s="246"/>
      <c r="C696" s="246" t="s">
        <v>937</v>
      </c>
      <c r="D696" s="247">
        <v>266.87</v>
      </c>
      <c r="E696" s="248">
        <v>2</v>
      </c>
    </row>
    <row r="697" spans="1:5" hidden="1" x14ac:dyDescent="0.2">
      <c r="A697" s="251"/>
      <c r="B697" s="246"/>
      <c r="C697" s="246" t="s">
        <v>938</v>
      </c>
      <c r="D697" s="247">
        <v>266.87</v>
      </c>
      <c r="E697" s="248">
        <v>2</v>
      </c>
    </row>
    <row r="698" spans="1:5" hidden="1" x14ac:dyDescent="0.2">
      <c r="A698" s="251"/>
      <c r="B698" s="246"/>
      <c r="C698" s="246" t="s">
        <v>939</v>
      </c>
      <c r="D698" s="247">
        <v>266.87</v>
      </c>
      <c r="E698" s="248">
        <v>2</v>
      </c>
    </row>
    <row r="699" spans="1:5" hidden="1" x14ac:dyDescent="0.2">
      <c r="A699" s="251"/>
      <c r="B699" s="246"/>
      <c r="C699" s="246" t="s">
        <v>2288</v>
      </c>
      <c r="D699" s="247">
        <v>266.87</v>
      </c>
      <c r="E699" s="248">
        <v>2</v>
      </c>
    </row>
    <row r="700" spans="1:5" hidden="1" x14ac:dyDescent="0.2">
      <c r="A700" s="251"/>
      <c r="B700" s="246"/>
      <c r="C700" s="246" t="s">
        <v>940</v>
      </c>
      <c r="D700" s="247">
        <v>266.87</v>
      </c>
      <c r="E700" s="248">
        <v>2</v>
      </c>
    </row>
    <row r="701" spans="1:5" hidden="1" x14ac:dyDescent="0.2">
      <c r="A701" s="251"/>
      <c r="B701" s="246"/>
      <c r="C701" s="246" t="s">
        <v>941</v>
      </c>
      <c r="D701" s="247">
        <v>266.87</v>
      </c>
      <c r="E701" s="248">
        <v>2</v>
      </c>
    </row>
    <row r="702" spans="1:5" hidden="1" x14ac:dyDescent="0.2">
      <c r="A702" s="251"/>
      <c r="B702" s="246"/>
      <c r="C702" s="246" t="s">
        <v>942</v>
      </c>
      <c r="D702" s="247">
        <v>266.87</v>
      </c>
      <c r="E702" s="248">
        <v>2</v>
      </c>
    </row>
    <row r="703" spans="1:5" hidden="1" x14ac:dyDescent="0.2">
      <c r="A703" s="251"/>
      <c r="B703" s="246"/>
      <c r="C703" s="246" t="s">
        <v>943</v>
      </c>
      <c r="D703" s="247">
        <v>266.87</v>
      </c>
      <c r="E703" s="248">
        <v>1</v>
      </c>
    </row>
    <row r="704" spans="1:5" hidden="1" x14ac:dyDescent="0.2">
      <c r="A704" s="251"/>
      <c r="B704" s="246"/>
      <c r="C704" s="246" t="s">
        <v>944</v>
      </c>
      <c r="D704" s="247">
        <v>266.87</v>
      </c>
      <c r="E704" s="248">
        <v>2</v>
      </c>
    </row>
    <row r="705" spans="1:5" hidden="1" x14ac:dyDescent="0.2">
      <c r="A705" s="251"/>
      <c r="B705" s="246"/>
      <c r="C705" s="246" t="s">
        <v>945</v>
      </c>
      <c r="D705" s="247">
        <v>266.87</v>
      </c>
      <c r="E705" s="248">
        <v>3</v>
      </c>
    </row>
    <row r="706" spans="1:5" hidden="1" x14ac:dyDescent="0.2">
      <c r="A706" s="251"/>
      <c r="B706" s="246"/>
      <c r="C706" s="246" t="s">
        <v>946</v>
      </c>
      <c r="D706" s="247">
        <v>266.87</v>
      </c>
      <c r="E706" s="248">
        <v>1</v>
      </c>
    </row>
    <row r="707" spans="1:5" hidden="1" x14ac:dyDescent="0.2">
      <c r="A707" s="251"/>
      <c r="B707" s="246"/>
      <c r="C707" s="246" t="s">
        <v>947</v>
      </c>
      <c r="D707" s="247">
        <v>266.87</v>
      </c>
      <c r="E707" s="248">
        <v>2</v>
      </c>
    </row>
    <row r="708" spans="1:5" hidden="1" x14ac:dyDescent="0.2">
      <c r="A708" s="251"/>
      <c r="B708" s="246"/>
      <c r="C708" s="246" t="s">
        <v>948</v>
      </c>
      <c r="D708" s="247">
        <v>266.87</v>
      </c>
      <c r="E708" s="248">
        <v>2</v>
      </c>
    </row>
    <row r="709" spans="1:5" hidden="1" x14ac:dyDescent="0.2">
      <c r="A709" s="251"/>
      <c r="B709" s="246"/>
      <c r="C709" s="246" t="s">
        <v>949</v>
      </c>
      <c r="D709" s="247">
        <v>266.87</v>
      </c>
      <c r="E709" s="248">
        <v>1</v>
      </c>
    </row>
    <row r="710" spans="1:5" hidden="1" x14ac:dyDescent="0.2">
      <c r="A710" s="251"/>
      <c r="B710" s="246"/>
      <c r="C710" s="246" t="s">
        <v>950</v>
      </c>
      <c r="D710" s="247">
        <v>266.87</v>
      </c>
      <c r="E710" s="248">
        <v>2</v>
      </c>
    </row>
    <row r="711" spans="1:5" hidden="1" x14ac:dyDescent="0.2">
      <c r="A711" s="251"/>
      <c r="B711" s="246"/>
      <c r="C711" s="246" t="s">
        <v>951</v>
      </c>
      <c r="D711" s="247">
        <v>266.87</v>
      </c>
      <c r="E711" s="248">
        <v>2</v>
      </c>
    </row>
    <row r="712" spans="1:5" hidden="1" x14ac:dyDescent="0.2">
      <c r="A712" s="251"/>
      <c r="B712" s="246"/>
      <c r="C712" s="246" t="s">
        <v>952</v>
      </c>
      <c r="D712" s="247">
        <v>266.87</v>
      </c>
      <c r="E712" s="248">
        <v>4</v>
      </c>
    </row>
    <row r="713" spans="1:5" hidden="1" x14ac:dyDescent="0.2">
      <c r="A713" s="251"/>
      <c r="B713" s="246"/>
      <c r="C713" s="246" t="s">
        <v>953</v>
      </c>
      <c r="D713" s="247">
        <v>266.87</v>
      </c>
      <c r="E713" s="248">
        <v>2</v>
      </c>
    </row>
    <row r="714" spans="1:5" hidden="1" x14ac:dyDescent="0.2">
      <c r="A714" s="251"/>
      <c r="B714" s="246"/>
      <c r="C714" s="246" t="s">
        <v>954</v>
      </c>
      <c r="D714" s="247">
        <v>266.87</v>
      </c>
      <c r="E714" s="248">
        <v>2</v>
      </c>
    </row>
    <row r="715" spans="1:5" hidden="1" x14ac:dyDescent="0.2">
      <c r="A715" s="251"/>
      <c r="B715" s="246"/>
      <c r="C715" s="246" t="s">
        <v>955</v>
      </c>
      <c r="D715" s="247">
        <v>266.87</v>
      </c>
      <c r="E715" s="248">
        <v>2</v>
      </c>
    </row>
    <row r="716" spans="1:5" hidden="1" x14ac:dyDescent="0.2">
      <c r="A716" s="251"/>
      <c r="B716" s="246"/>
      <c r="C716" s="246" t="s">
        <v>956</v>
      </c>
      <c r="D716" s="247">
        <v>266.87</v>
      </c>
      <c r="E716" s="248">
        <v>2</v>
      </c>
    </row>
    <row r="717" spans="1:5" hidden="1" x14ac:dyDescent="0.2">
      <c r="A717" s="251"/>
      <c r="B717" s="246"/>
      <c r="C717" s="246" t="s">
        <v>957</v>
      </c>
      <c r="D717" s="247">
        <v>266.87</v>
      </c>
      <c r="E717" s="248">
        <v>1</v>
      </c>
    </row>
    <row r="718" spans="1:5" hidden="1" x14ac:dyDescent="0.2">
      <c r="A718" s="251"/>
      <c r="B718" s="246"/>
      <c r="C718" s="246" t="s">
        <v>958</v>
      </c>
      <c r="D718" s="247">
        <v>266.87</v>
      </c>
      <c r="E718" s="248">
        <v>1</v>
      </c>
    </row>
    <row r="719" spans="1:5" hidden="1" x14ac:dyDescent="0.2">
      <c r="A719" s="251"/>
      <c r="B719" s="246"/>
      <c r="C719" s="246" t="s">
        <v>959</v>
      </c>
      <c r="D719" s="247">
        <v>266.87</v>
      </c>
      <c r="E719" s="248">
        <v>2</v>
      </c>
    </row>
    <row r="720" spans="1:5" hidden="1" x14ac:dyDescent="0.2">
      <c r="A720" s="251"/>
      <c r="B720" s="246"/>
      <c r="C720" s="246" t="s">
        <v>960</v>
      </c>
      <c r="D720" s="247">
        <v>266.87</v>
      </c>
      <c r="E720" s="248">
        <v>2</v>
      </c>
    </row>
    <row r="721" spans="1:5" hidden="1" x14ac:dyDescent="0.2">
      <c r="A721" s="251"/>
      <c r="B721" s="246"/>
      <c r="C721" s="246" t="s">
        <v>961</v>
      </c>
      <c r="D721" s="247">
        <v>266.87</v>
      </c>
      <c r="E721" s="248">
        <v>3</v>
      </c>
    </row>
    <row r="722" spans="1:5" hidden="1" x14ac:dyDescent="0.2">
      <c r="A722" s="251"/>
      <c r="B722" s="246"/>
      <c r="C722" s="246" t="s">
        <v>962</v>
      </c>
      <c r="D722" s="247">
        <v>266.87</v>
      </c>
      <c r="E722" s="248">
        <v>2</v>
      </c>
    </row>
    <row r="723" spans="1:5" hidden="1" x14ac:dyDescent="0.2">
      <c r="A723" s="251"/>
      <c r="B723" s="246"/>
      <c r="C723" s="246" t="s">
        <v>963</v>
      </c>
      <c r="D723" s="247">
        <v>266.87</v>
      </c>
      <c r="E723" s="248">
        <v>2</v>
      </c>
    </row>
    <row r="724" spans="1:5" hidden="1" x14ac:dyDescent="0.2">
      <c r="A724" s="251"/>
      <c r="B724" s="246"/>
      <c r="C724" s="246" t="s">
        <v>964</v>
      </c>
      <c r="D724" s="247">
        <v>266.87</v>
      </c>
      <c r="E724" s="248">
        <v>2</v>
      </c>
    </row>
    <row r="725" spans="1:5" hidden="1" x14ac:dyDescent="0.2">
      <c r="A725" s="251"/>
      <c r="B725" s="246"/>
      <c r="C725" s="246" t="s">
        <v>965</v>
      </c>
      <c r="D725" s="247">
        <v>266.87</v>
      </c>
      <c r="E725" s="248">
        <v>2</v>
      </c>
    </row>
    <row r="726" spans="1:5" hidden="1" x14ac:dyDescent="0.2">
      <c r="A726" s="251"/>
      <c r="B726" s="246"/>
      <c r="C726" s="246" t="s">
        <v>966</v>
      </c>
      <c r="D726" s="247">
        <v>266.87</v>
      </c>
      <c r="E726" s="248">
        <v>2</v>
      </c>
    </row>
    <row r="727" spans="1:5" hidden="1" x14ac:dyDescent="0.2">
      <c r="A727" s="251"/>
      <c r="B727" s="246"/>
      <c r="C727" s="246" t="s">
        <v>967</v>
      </c>
      <c r="D727" s="247">
        <v>266.87</v>
      </c>
      <c r="E727" s="248">
        <v>2</v>
      </c>
    </row>
    <row r="728" spans="1:5" hidden="1" x14ac:dyDescent="0.2">
      <c r="A728" s="251"/>
      <c r="B728" s="246"/>
      <c r="C728" s="246" t="s">
        <v>968</v>
      </c>
      <c r="D728" s="247">
        <v>266.87</v>
      </c>
      <c r="E728" s="248">
        <v>2</v>
      </c>
    </row>
    <row r="729" spans="1:5" hidden="1" x14ac:dyDescent="0.2">
      <c r="A729" s="251"/>
      <c r="B729" s="246"/>
      <c r="C729" s="246" t="s">
        <v>969</v>
      </c>
      <c r="D729" s="247">
        <v>266.87</v>
      </c>
      <c r="E729" s="248">
        <v>2</v>
      </c>
    </row>
    <row r="730" spans="1:5" hidden="1" x14ac:dyDescent="0.2">
      <c r="A730" s="251"/>
      <c r="B730" s="246"/>
      <c r="C730" s="246" t="s">
        <v>970</v>
      </c>
      <c r="D730" s="247">
        <v>266.87</v>
      </c>
      <c r="E730" s="248">
        <v>2</v>
      </c>
    </row>
    <row r="731" spans="1:5" hidden="1" x14ac:dyDescent="0.2">
      <c r="A731" s="251"/>
      <c r="B731" s="246"/>
      <c r="C731" s="246" t="s">
        <v>971</v>
      </c>
      <c r="D731" s="247">
        <v>266.87</v>
      </c>
      <c r="E731" s="248">
        <v>2</v>
      </c>
    </row>
    <row r="732" spans="1:5" hidden="1" x14ac:dyDescent="0.2">
      <c r="A732" s="251"/>
      <c r="B732" s="246"/>
      <c r="C732" s="246" t="s">
        <v>972</v>
      </c>
      <c r="D732" s="247">
        <v>266.87</v>
      </c>
      <c r="E732" s="248">
        <v>2</v>
      </c>
    </row>
    <row r="733" spans="1:5" hidden="1" x14ac:dyDescent="0.2">
      <c r="A733" s="251"/>
      <c r="B733" s="246"/>
      <c r="C733" s="246" t="s">
        <v>973</v>
      </c>
      <c r="D733" s="247">
        <v>266.87</v>
      </c>
      <c r="E733" s="248">
        <v>2</v>
      </c>
    </row>
    <row r="734" spans="1:5" hidden="1" x14ac:dyDescent="0.2">
      <c r="A734" s="251"/>
      <c r="B734" s="246"/>
      <c r="C734" s="246" t="s">
        <v>974</v>
      </c>
      <c r="D734" s="247">
        <v>266.87</v>
      </c>
      <c r="E734" s="248">
        <v>2</v>
      </c>
    </row>
    <row r="735" spans="1:5" hidden="1" x14ac:dyDescent="0.2">
      <c r="A735" s="251"/>
      <c r="B735" s="246"/>
      <c r="C735" s="246" t="s">
        <v>975</v>
      </c>
      <c r="D735" s="247">
        <v>266.87</v>
      </c>
      <c r="E735" s="248">
        <v>2</v>
      </c>
    </row>
    <row r="736" spans="1:5" hidden="1" x14ac:dyDescent="0.2">
      <c r="A736" s="251"/>
      <c r="B736" s="246"/>
      <c r="C736" s="246" t="s">
        <v>976</v>
      </c>
      <c r="D736" s="247">
        <v>266.87</v>
      </c>
      <c r="E736" s="248">
        <v>3</v>
      </c>
    </row>
    <row r="737" spans="1:5" hidden="1" x14ac:dyDescent="0.2">
      <c r="A737" s="251"/>
      <c r="B737" s="246"/>
      <c r="C737" s="246" t="s">
        <v>977</v>
      </c>
      <c r="D737" s="247">
        <v>266.87</v>
      </c>
      <c r="E737" s="248">
        <v>2</v>
      </c>
    </row>
    <row r="738" spans="1:5" hidden="1" x14ac:dyDescent="0.2">
      <c r="A738" s="251"/>
      <c r="B738" s="246"/>
      <c r="C738" s="246" t="s">
        <v>978</v>
      </c>
      <c r="D738" s="247">
        <v>266.87</v>
      </c>
      <c r="E738" s="248">
        <v>2</v>
      </c>
    </row>
    <row r="739" spans="1:5" hidden="1" x14ac:dyDescent="0.2">
      <c r="A739" s="251"/>
      <c r="B739" s="246"/>
      <c r="C739" s="246" t="s">
        <v>979</v>
      </c>
      <c r="D739" s="247">
        <v>266.87</v>
      </c>
      <c r="E739" s="248">
        <v>2</v>
      </c>
    </row>
    <row r="740" spans="1:5" hidden="1" x14ac:dyDescent="0.2">
      <c r="A740" s="251"/>
      <c r="B740" s="246"/>
      <c r="C740" s="246" t="s">
        <v>980</v>
      </c>
      <c r="D740" s="247">
        <v>266.87</v>
      </c>
      <c r="E740" s="248">
        <v>2</v>
      </c>
    </row>
    <row r="741" spans="1:5" hidden="1" x14ac:dyDescent="0.2">
      <c r="A741" s="251"/>
      <c r="B741" s="246"/>
      <c r="C741" s="246" t="s">
        <v>981</v>
      </c>
      <c r="D741" s="247">
        <v>266.87</v>
      </c>
      <c r="E741" s="248">
        <v>3</v>
      </c>
    </row>
    <row r="742" spans="1:5" hidden="1" x14ac:dyDescent="0.2">
      <c r="A742" s="251"/>
      <c r="B742" s="246"/>
      <c r="C742" s="246" t="s">
        <v>982</v>
      </c>
      <c r="D742" s="247">
        <v>266.87</v>
      </c>
      <c r="E742" s="248">
        <v>2</v>
      </c>
    </row>
    <row r="743" spans="1:5" hidden="1" x14ac:dyDescent="0.2">
      <c r="A743" s="251"/>
      <c r="B743" s="246"/>
      <c r="C743" s="246" t="s">
        <v>983</v>
      </c>
      <c r="D743" s="247">
        <v>266.87</v>
      </c>
      <c r="E743" s="248">
        <v>2</v>
      </c>
    </row>
    <row r="744" spans="1:5" hidden="1" x14ac:dyDescent="0.2">
      <c r="A744" s="251"/>
      <c r="B744" s="246"/>
      <c r="C744" s="246" t="s">
        <v>984</v>
      </c>
      <c r="D744" s="247">
        <v>266.87</v>
      </c>
      <c r="E744" s="248">
        <v>2</v>
      </c>
    </row>
    <row r="745" spans="1:5" hidden="1" x14ac:dyDescent="0.2">
      <c r="A745" s="251"/>
      <c r="B745" s="246"/>
      <c r="C745" s="246" t="s">
        <v>985</v>
      </c>
      <c r="D745" s="247">
        <v>266.87</v>
      </c>
      <c r="E745" s="248">
        <v>2</v>
      </c>
    </row>
    <row r="746" spans="1:5" hidden="1" x14ac:dyDescent="0.2">
      <c r="A746" s="251"/>
      <c r="B746" s="246"/>
      <c r="C746" s="246" t="s">
        <v>986</v>
      </c>
      <c r="D746" s="247">
        <v>266.87</v>
      </c>
      <c r="E746" s="248">
        <v>2</v>
      </c>
    </row>
    <row r="747" spans="1:5" hidden="1" x14ac:dyDescent="0.2">
      <c r="A747" s="251"/>
      <c r="B747" s="246"/>
      <c r="C747" s="246" t="s">
        <v>987</v>
      </c>
      <c r="D747" s="247">
        <v>266.87</v>
      </c>
      <c r="E747" s="248">
        <v>2</v>
      </c>
    </row>
    <row r="748" spans="1:5" hidden="1" x14ac:dyDescent="0.2">
      <c r="A748" s="251"/>
      <c r="B748" s="246"/>
      <c r="C748" s="246" t="s">
        <v>988</v>
      </c>
      <c r="D748" s="247">
        <v>266.87</v>
      </c>
      <c r="E748" s="248">
        <v>2</v>
      </c>
    </row>
    <row r="749" spans="1:5" hidden="1" x14ac:dyDescent="0.2">
      <c r="A749" s="251"/>
      <c r="B749" s="246"/>
      <c r="C749" s="246" t="s">
        <v>2289</v>
      </c>
      <c r="D749" s="247">
        <v>266.87</v>
      </c>
      <c r="E749" s="248">
        <v>2</v>
      </c>
    </row>
    <row r="750" spans="1:5" hidden="1" x14ac:dyDescent="0.2">
      <c r="A750" s="251"/>
      <c r="B750" s="246"/>
      <c r="C750" s="246" t="s">
        <v>989</v>
      </c>
      <c r="D750" s="247">
        <v>266.87</v>
      </c>
      <c r="E750" s="248">
        <v>2</v>
      </c>
    </row>
    <row r="751" spans="1:5" hidden="1" x14ac:dyDescent="0.2">
      <c r="A751" s="251"/>
      <c r="B751" s="246"/>
      <c r="C751" s="246" t="s">
        <v>990</v>
      </c>
      <c r="D751" s="247">
        <v>266.87</v>
      </c>
      <c r="E751" s="248">
        <v>2</v>
      </c>
    </row>
    <row r="752" spans="1:5" hidden="1" x14ac:dyDescent="0.2">
      <c r="A752" s="251"/>
      <c r="B752" s="246"/>
      <c r="C752" s="246" t="s">
        <v>991</v>
      </c>
      <c r="D752" s="247">
        <v>266.87</v>
      </c>
      <c r="E752" s="248">
        <v>2</v>
      </c>
    </row>
    <row r="753" spans="1:5" hidden="1" x14ac:dyDescent="0.2">
      <c r="A753" s="251"/>
      <c r="B753" s="246"/>
      <c r="C753" s="246" t="s">
        <v>992</v>
      </c>
      <c r="D753" s="247">
        <v>266.87</v>
      </c>
      <c r="E753" s="248">
        <v>2</v>
      </c>
    </row>
    <row r="754" spans="1:5" hidden="1" x14ac:dyDescent="0.2">
      <c r="A754" s="251"/>
      <c r="B754" s="246"/>
      <c r="C754" s="246" t="s">
        <v>993</v>
      </c>
      <c r="D754" s="247">
        <v>266.87</v>
      </c>
      <c r="E754" s="248">
        <v>2</v>
      </c>
    </row>
    <row r="755" spans="1:5" hidden="1" x14ac:dyDescent="0.2">
      <c r="A755" s="251"/>
      <c r="B755" s="246"/>
      <c r="C755" s="246" t="s">
        <v>994</v>
      </c>
      <c r="D755" s="247">
        <v>266.87</v>
      </c>
      <c r="E755" s="248">
        <v>2</v>
      </c>
    </row>
    <row r="756" spans="1:5" hidden="1" x14ac:dyDescent="0.2">
      <c r="A756" s="251"/>
      <c r="B756" s="246"/>
      <c r="C756" s="246" t="s">
        <v>995</v>
      </c>
      <c r="D756" s="247">
        <v>266.87</v>
      </c>
      <c r="E756" s="248">
        <v>2</v>
      </c>
    </row>
    <row r="757" spans="1:5" hidden="1" x14ac:dyDescent="0.2">
      <c r="A757" s="251"/>
      <c r="B757" s="246"/>
      <c r="C757" s="246" t="s">
        <v>996</v>
      </c>
      <c r="D757" s="247">
        <v>266.87</v>
      </c>
      <c r="E757" s="248">
        <v>2</v>
      </c>
    </row>
    <row r="758" spans="1:5" hidden="1" x14ac:dyDescent="0.2">
      <c r="A758" s="251"/>
      <c r="B758" s="246"/>
      <c r="C758" s="246" t="s">
        <v>2290</v>
      </c>
      <c r="D758" s="247">
        <v>266.87</v>
      </c>
      <c r="E758" s="248">
        <v>2</v>
      </c>
    </row>
    <row r="759" spans="1:5" hidden="1" x14ac:dyDescent="0.2">
      <c r="A759" s="251"/>
      <c r="B759" s="246"/>
      <c r="C759" s="246" t="s">
        <v>997</v>
      </c>
      <c r="D759" s="247">
        <v>266.87</v>
      </c>
      <c r="E759" s="248">
        <v>2</v>
      </c>
    </row>
    <row r="760" spans="1:5" hidden="1" x14ac:dyDescent="0.2">
      <c r="A760" s="251"/>
      <c r="B760" s="246"/>
      <c r="C760" s="246" t="s">
        <v>998</v>
      </c>
      <c r="D760" s="247">
        <v>266.87</v>
      </c>
      <c r="E760" s="248">
        <v>2</v>
      </c>
    </row>
    <row r="761" spans="1:5" hidden="1" x14ac:dyDescent="0.2">
      <c r="A761" s="251"/>
      <c r="B761" s="246"/>
      <c r="C761" s="246" t="s">
        <v>999</v>
      </c>
      <c r="D761" s="247">
        <v>266.87</v>
      </c>
      <c r="E761" s="248">
        <v>2</v>
      </c>
    </row>
    <row r="762" spans="1:5" hidden="1" x14ac:dyDescent="0.2">
      <c r="A762" s="251"/>
      <c r="B762" s="246"/>
      <c r="C762" s="246" t="s">
        <v>1000</v>
      </c>
      <c r="D762" s="247">
        <v>266.87</v>
      </c>
      <c r="E762" s="248">
        <v>2</v>
      </c>
    </row>
    <row r="763" spans="1:5" hidden="1" x14ac:dyDescent="0.2">
      <c r="A763" s="251"/>
      <c r="B763" s="246"/>
      <c r="C763" s="246" t="s">
        <v>1001</v>
      </c>
      <c r="D763" s="247">
        <v>266.87</v>
      </c>
      <c r="E763" s="248">
        <v>1</v>
      </c>
    </row>
    <row r="764" spans="1:5" hidden="1" x14ac:dyDescent="0.2">
      <c r="A764" s="251"/>
      <c r="B764" s="246"/>
      <c r="C764" s="246" t="s">
        <v>1002</v>
      </c>
      <c r="D764" s="247">
        <v>266.87</v>
      </c>
      <c r="E764" s="248">
        <v>2</v>
      </c>
    </row>
    <row r="765" spans="1:5" hidden="1" x14ac:dyDescent="0.2">
      <c r="A765" s="251"/>
      <c r="B765" s="246"/>
      <c r="C765" s="246" t="s">
        <v>1003</v>
      </c>
      <c r="D765" s="247">
        <v>266.87</v>
      </c>
      <c r="E765" s="248">
        <v>2</v>
      </c>
    </row>
    <row r="766" spans="1:5" hidden="1" x14ac:dyDescent="0.2">
      <c r="A766" s="251"/>
      <c r="B766" s="246"/>
      <c r="C766" s="246" t="s">
        <v>1004</v>
      </c>
      <c r="D766" s="247">
        <v>266.87</v>
      </c>
      <c r="E766" s="248">
        <v>2</v>
      </c>
    </row>
    <row r="767" spans="1:5" hidden="1" x14ac:dyDescent="0.2">
      <c r="A767" s="251"/>
      <c r="B767" s="246"/>
      <c r="C767" s="246" t="s">
        <v>1005</v>
      </c>
      <c r="D767" s="247">
        <v>266.87</v>
      </c>
      <c r="E767" s="248">
        <v>2</v>
      </c>
    </row>
    <row r="768" spans="1:5" hidden="1" x14ac:dyDescent="0.2">
      <c r="A768" s="251"/>
      <c r="B768" s="246"/>
      <c r="C768" s="246" t="s">
        <v>1006</v>
      </c>
      <c r="D768" s="247">
        <v>266.87</v>
      </c>
      <c r="E768" s="248">
        <v>2</v>
      </c>
    </row>
    <row r="769" spans="1:5" hidden="1" x14ac:dyDescent="0.2">
      <c r="A769" s="251"/>
      <c r="B769" s="246"/>
      <c r="C769" s="246" t="s">
        <v>1007</v>
      </c>
      <c r="D769" s="247">
        <v>266.87</v>
      </c>
      <c r="E769" s="248">
        <v>1</v>
      </c>
    </row>
    <row r="770" spans="1:5" hidden="1" x14ac:dyDescent="0.2">
      <c r="A770" s="251"/>
      <c r="B770" s="246"/>
      <c r="C770" s="246" t="s">
        <v>1008</v>
      </c>
      <c r="D770" s="247">
        <v>266.87</v>
      </c>
      <c r="E770" s="248">
        <v>2</v>
      </c>
    </row>
    <row r="771" spans="1:5" hidden="1" x14ac:dyDescent="0.2">
      <c r="A771" s="251"/>
      <c r="B771" s="246"/>
      <c r="C771" s="246" t="s">
        <v>1009</v>
      </c>
      <c r="D771" s="247">
        <v>265.93</v>
      </c>
      <c r="E771" s="248">
        <v>2</v>
      </c>
    </row>
    <row r="772" spans="1:5" hidden="1" x14ac:dyDescent="0.2">
      <c r="A772" s="251"/>
      <c r="B772" s="246"/>
      <c r="C772" s="246" t="s">
        <v>1010</v>
      </c>
      <c r="D772" s="247">
        <v>264.24</v>
      </c>
      <c r="E772" s="248">
        <v>2</v>
      </c>
    </row>
    <row r="773" spans="1:5" hidden="1" x14ac:dyDescent="0.2">
      <c r="A773" s="251"/>
      <c r="B773" s="246"/>
      <c r="C773" s="246" t="s">
        <v>1011</v>
      </c>
      <c r="D773" s="247">
        <v>264.08</v>
      </c>
      <c r="E773" s="248">
        <v>4</v>
      </c>
    </row>
    <row r="774" spans="1:5" hidden="1" x14ac:dyDescent="0.2">
      <c r="A774" s="251"/>
      <c r="B774" s="246"/>
      <c r="C774" s="246" t="s">
        <v>1012</v>
      </c>
      <c r="D774" s="247">
        <v>263.81</v>
      </c>
      <c r="E774" s="248">
        <v>8</v>
      </c>
    </row>
    <row r="775" spans="1:5" hidden="1" x14ac:dyDescent="0.2">
      <c r="A775" s="251"/>
      <c r="B775" s="246"/>
      <c r="C775" s="246" t="s">
        <v>1013</v>
      </c>
      <c r="D775" s="247">
        <v>262.77999999999997</v>
      </c>
      <c r="E775" s="248">
        <v>3</v>
      </c>
    </row>
    <row r="776" spans="1:5" hidden="1" x14ac:dyDescent="0.2">
      <c r="A776" s="251"/>
      <c r="B776" s="246"/>
      <c r="C776" s="246" t="s">
        <v>1014</v>
      </c>
      <c r="D776" s="247">
        <v>262.75</v>
      </c>
      <c r="E776" s="248">
        <v>5</v>
      </c>
    </row>
    <row r="777" spans="1:5" hidden="1" x14ac:dyDescent="0.2">
      <c r="A777" s="251"/>
      <c r="B777" s="246"/>
      <c r="C777" s="246" t="s">
        <v>1015</v>
      </c>
      <c r="D777" s="247">
        <v>261.27</v>
      </c>
      <c r="E777" s="248">
        <v>6</v>
      </c>
    </row>
    <row r="778" spans="1:5" hidden="1" x14ac:dyDescent="0.2">
      <c r="A778" s="251"/>
      <c r="B778" s="246"/>
      <c r="C778" s="246" t="s">
        <v>1016</v>
      </c>
      <c r="D778" s="247">
        <v>260.76</v>
      </c>
      <c r="E778" s="248">
        <v>3</v>
      </c>
    </row>
    <row r="779" spans="1:5" hidden="1" x14ac:dyDescent="0.2">
      <c r="A779" s="251"/>
      <c r="B779" s="246"/>
      <c r="C779" s="246" t="s">
        <v>1017</v>
      </c>
      <c r="D779" s="247">
        <v>260.51</v>
      </c>
      <c r="E779" s="248">
        <v>6</v>
      </c>
    </row>
    <row r="780" spans="1:5" hidden="1" x14ac:dyDescent="0.2">
      <c r="A780" s="251"/>
      <c r="B780" s="246"/>
      <c r="C780" s="246" t="s">
        <v>1018</v>
      </c>
      <c r="D780" s="247">
        <v>259.57</v>
      </c>
      <c r="E780" s="248">
        <v>7</v>
      </c>
    </row>
    <row r="781" spans="1:5" hidden="1" x14ac:dyDescent="0.2">
      <c r="A781" s="251"/>
      <c r="B781" s="246"/>
      <c r="C781" s="246" t="s">
        <v>1019</v>
      </c>
      <c r="D781" s="247">
        <v>259.17</v>
      </c>
      <c r="E781" s="248">
        <v>2</v>
      </c>
    </row>
    <row r="782" spans="1:5" hidden="1" x14ac:dyDescent="0.2">
      <c r="A782" s="251"/>
      <c r="B782" s="246"/>
      <c r="C782" s="246" t="s">
        <v>1020</v>
      </c>
      <c r="D782" s="247">
        <v>259.17</v>
      </c>
      <c r="E782" s="248">
        <v>2</v>
      </c>
    </row>
    <row r="783" spans="1:5" hidden="1" x14ac:dyDescent="0.2">
      <c r="A783" s="251"/>
      <c r="B783" s="246"/>
      <c r="C783" s="246" t="s">
        <v>1021</v>
      </c>
      <c r="D783" s="247">
        <v>259.17</v>
      </c>
      <c r="E783" s="248">
        <v>2</v>
      </c>
    </row>
    <row r="784" spans="1:5" hidden="1" x14ac:dyDescent="0.2">
      <c r="A784" s="251"/>
      <c r="B784" s="246"/>
      <c r="C784" s="246" t="s">
        <v>1022</v>
      </c>
      <c r="D784" s="247">
        <v>259.17</v>
      </c>
      <c r="E784" s="248">
        <v>2</v>
      </c>
    </row>
    <row r="785" spans="1:5" hidden="1" x14ac:dyDescent="0.2">
      <c r="A785" s="251"/>
      <c r="B785" s="246"/>
      <c r="C785" s="246" t="s">
        <v>1023</v>
      </c>
      <c r="D785" s="247">
        <v>259.17</v>
      </c>
      <c r="E785" s="248">
        <v>2</v>
      </c>
    </row>
    <row r="786" spans="1:5" hidden="1" x14ac:dyDescent="0.2">
      <c r="A786" s="251"/>
      <c r="B786" s="246"/>
      <c r="C786" s="246" t="s">
        <v>1024</v>
      </c>
      <c r="D786" s="247">
        <v>259.17</v>
      </c>
      <c r="E786" s="248">
        <v>2</v>
      </c>
    </row>
    <row r="787" spans="1:5" hidden="1" x14ac:dyDescent="0.2">
      <c r="A787" s="251"/>
      <c r="B787" s="246"/>
      <c r="C787" s="246" t="s">
        <v>1025</v>
      </c>
      <c r="D787" s="247">
        <v>259.17</v>
      </c>
      <c r="E787" s="248">
        <v>2</v>
      </c>
    </row>
    <row r="788" spans="1:5" hidden="1" x14ac:dyDescent="0.2">
      <c r="A788" s="251"/>
      <c r="B788" s="246"/>
      <c r="C788" s="246" t="s">
        <v>1026</v>
      </c>
      <c r="D788" s="247">
        <v>259.17</v>
      </c>
      <c r="E788" s="248">
        <v>2</v>
      </c>
    </row>
    <row r="789" spans="1:5" hidden="1" x14ac:dyDescent="0.2">
      <c r="A789" s="251"/>
      <c r="B789" s="246"/>
      <c r="C789" s="246" t="s">
        <v>1027</v>
      </c>
      <c r="D789" s="247">
        <v>259.17</v>
      </c>
      <c r="E789" s="248">
        <v>2</v>
      </c>
    </row>
    <row r="790" spans="1:5" hidden="1" x14ac:dyDescent="0.2">
      <c r="A790" s="251"/>
      <c r="B790" s="246"/>
      <c r="C790" s="246" t="s">
        <v>1028</v>
      </c>
      <c r="D790" s="247">
        <v>259.17</v>
      </c>
      <c r="E790" s="248">
        <v>2</v>
      </c>
    </row>
    <row r="791" spans="1:5" hidden="1" x14ac:dyDescent="0.2">
      <c r="A791" s="251"/>
      <c r="B791" s="246"/>
      <c r="C791" s="246" t="s">
        <v>1029</v>
      </c>
      <c r="D791" s="247">
        <v>259.06</v>
      </c>
      <c r="E791" s="248">
        <v>3</v>
      </c>
    </row>
    <row r="792" spans="1:5" hidden="1" x14ac:dyDescent="0.2">
      <c r="A792" s="251"/>
      <c r="B792" s="246"/>
      <c r="C792" s="246" t="s">
        <v>1030</v>
      </c>
      <c r="D792" s="247">
        <v>258.98</v>
      </c>
      <c r="E792" s="248">
        <v>4</v>
      </c>
    </row>
    <row r="793" spans="1:5" hidden="1" x14ac:dyDescent="0.2">
      <c r="A793" s="251"/>
      <c r="B793" s="246"/>
      <c r="C793" s="246" t="s">
        <v>1031</v>
      </c>
      <c r="D793" s="247">
        <v>258.39</v>
      </c>
      <c r="E793" s="248">
        <v>4</v>
      </c>
    </row>
    <row r="794" spans="1:5" hidden="1" x14ac:dyDescent="0.2">
      <c r="A794" s="251"/>
      <c r="B794" s="246"/>
      <c r="C794" s="246" t="s">
        <v>1032</v>
      </c>
      <c r="D794" s="247">
        <v>257.37</v>
      </c>
      <c r="E794" s="248">
        <v>3</v>
      </c>
    </row>
    <row r="795" spans="1:5" hidden="1" x14ac:dyDescent="0.2">
      <c r="A795" s="251"/>
      <c r="B795" s="246"/>
      <c r="C795" s="246" t="s">
        <v>1033</v>
      </c>
      <c r="D795" s="247">
        <v>256.61</v>
      </c>
      <c r="E795" s="248">
        <v>2</v>
      </c>
    </row>
    <row r="796" spans="1:5" hidden="1" x14ac:dyDescent="0.2">
      <c r="A796" s="251"/>
      <c r="B796" s="246"/>
      <c r="C796" s="246" t="s">
        <v>1034</v>
      </c>
      <c r="D796" s="247">
        <v>256.56</v>
      </c>
      <c r="E796" s="248">
        <v>3</v>
      </c>
    </row>
    <row r="797" spans="1:5" hidden="1" x14ac:dyDescent="0.2">
      <c r="A797" s="251"/>
      <c r="B797" s="246"/>
      <c r="C797" s="246" t="s">
        <v>1035</v>
      </c>
      <c r="D797" s="247">
        <v>254.58</v>
      </c>
      <c r="E797" s="248">
        <v>4</v>
      </c>
    </row>
    <row r="798" spans="1:5" hidden="1" x14ac:dyDescent="0.2">
      <c r="A798" s="251"/>
      <c r="B798" s="246"/>
      <c r="C798" s="246" t="s">
        <v>1036</v>
      </c>
      <c r="D798" s="247">
        <v>254.16</v>
      </c>
      <c r="E798" s="248">
        <v>1</v>
      </c>
    </row>
    <row r="799" spans="1:5" hidden="1" x14ac:dyDescent="0.2">
      <c r="A799" s="251"/>
      <c r="B799" s="246"/>
      <c r="C799" s="246" t="s">
        <v>1037</v>
      </c>
      <c r="D799" s="247">
        <v>254.16</v>
      </c>
      <c r="E799" s="248">
        <v>1</v>
      </c>
    </row>
    <row r="800" spans="1:5" hidden="1" x14ac:dyDescent="0.2">
      <c r="A800" s="251"/>
      <c r="B800" s="246"/>
      <c r="C800" s="246" t="s">
        <v>1038</v>
      </c>
      <c r="D800" s="247">
        <v>254.16</v>
      </c>
      <c r="E800" s="248">
        <v>1</v>
      </c>
    </row>
    <row r="801" spans="1:5" hidden="1" x14ac:dyDescent="0.2">
      <c r="A801" s="251"/>
      <c r="B801" s="246"/>
      <c r="C801" s="246" t="s">
        <v>1039</v>
      </c>
      <c r="D801" s="247">
        <v>254.16</v>
      </c>
      <c r="E801" s="248">
        <v>1</v>
      </c>
    </row>
    <row r="802" spans="1:5" hidden="1" x14ac:dyDescent="0.2">
      <c r="A802" s="251"/>
      <c r="B802" s="246"/>
      <c r="C802" s="246" t="s">
        <v>1040</v>
      </c>
      <c r="D802" s="247">
        <v>254.16</v>
      </c>
      <c r="E802" s="248">
        <v>1</v>
      </c>
    </row>
    <row r="803" spans="1:5" hidden="1" x14ac:dyDescent="0.2">
      <c r="A803" s="251"/>
      <c r="B803" s="246"/>
      <c r="C803" s="246" t="s">
        <v>1041</v>
      </c>
      <c r="D803" s="247">
        <v>254.16</v>
      </c>
      <c r="E803" s="248">
        <v>1</v>
      </c>
    </row>
    <row r="804" spans="1:5" hidden="1" x14ac:dyDescent="0.2">
      <c r="A804" s="251"/>
      <c r="B804" s="246"/>
      <c r="C804" s="246" t="s">
        <v>1042</v>
      </c>
      <c r="D804" s="247">
        <v>254.15</v>
      </c>
      <c r="E804" s="248">
        <v>1</v>
      </c>
    </row>
    <row r="805" spans="1:5" hidden="1" x14ac:dyDescent="0.2">
      <c r="A805" s="251"/>
      <c r="B805" s="246"/>
      <c r="C805" s="246" t="s">
        <v>2291</v>
      </c>
      <c r="D805" s="247">
        <v>254.15</v>
      </c>
      <c r="E805" s="248">
        <v>1</v>
      </c>
    </row>
    <row r="806" spans="1:5" hidden="1" x14ac:dyDescent="0.2">
      <c r="A806" s="251"/>
      <c r="B806" s="246"/>
      <c r="C806" s="246" t="s">
        <v>1043</v>
      </c>
      <c r="D806" s="247">
        <v>254.15</v>
      </c>
      <c r="E806" s="248">
        <v>1</v>
      </c>
    </row>
    <row r="807" spans="1:5" hidden="1" x14ac:dyDescent="0.2">
      <c r="A807" s="251"/>
      <c r="B807" s="246"/>
      <c r="C807" s="246" t="s">
        <v>1044</v>
      </c>
      <c r="D807" s="247">
        <v>254.15</v>
      </c>
      <c r="E807" s="248">
        <v>1</v>
      </c>
    </row>
    <row r="808" spans="1:5" hidden="1" x14ac:dyDescent="0.2">
      <c r="A808" s="251"/>
      <c r="B808" s="246"/>
      <c r="C808" s="246" t="s">
        <v>1045</v>
      </c>
      <c r="D808" s="247">
        <v>254.15</v>
      </c>
      <c r="E808" s="248">
        <v>1</v>
      </c>
    </row>
    <row r="809" spans="1:5" hidden="1" x14ac:dyDescent="0.2">
      <c r="A809" s="251"/>
      <c r="B809" s="246"/>
      <c r="C809" s="246" t="s">
        <v>1046</v>
      </c>
      <c r="D809" s="247">
        <v>254.15</v>
      </c>
      <c r="E809" s="248">
        <v>1</v>
      </c>
    </row>
    <row r="810" spans="1:5" hidden="1" x14ac:dyDescent="0.2">
      <c r="A810" s="251"/>
      <c r="B810" s="246"/>
      <c r="C810" s="246" t="s">
        <v>1047</v>
      </c>
      <c r="D810" s="247">
        <v>254.15</v>
      </c>
      <c r="E810" s="248">
        <v>1</v>
      </c>
    </row>
    <row r="811" spans="1:5" hidden="1" x14ac:dyDescent="0.2">
      <c r="A811" s="251"/>
      <c r="B811" s="246"/>
      <c r="C811" s="246" t="s">
        <v>1048</v>
      </c>
      <c r="D811" s="247">
        <v>254.15</v>
      </c>
      <c r="E811" s="248">
        <v>1</v>
      </c>
    </row>
    <row r="812" spans="1:5" hidden="1" x14ac:dyDescent="0.2">
      <c r="A812" s="251"/>
      <c r="B812" s="246"/>
      <c r="C812" s="246" t="s">
        <v>1049</v>
      </c>
      <c r="D812" s="247">
        <v>254.15</v>
      </c>
      <c r="E812" s="248">
        <v>1</v>
      </c>
    </row>
    <row r="813" spans="1:5" hidden="1" x14ac:dyDescent="0.2">
      <c r="A813" s="251"/>
      <c r="B813" s="246"/>
      <c r="C813" s="246" t="s">
        <v>1050</v>
      </c>
      <c r="D813" s="247">
        <v>254.15</v>
      </c>
      <c r="E813" s="248">
        <v>1</v>
      </c>
    </row>
    <row r="814" spans="1:5" hidden="1" x14ac:dyDescent="0.2">
      <c r="A814" s="251"/>
      <c r="B814" s="246"/>
      <c r="C814" s="246" t="s">
        <v>1051</v>
      </c>
      <c r="D814" s="247">
        <v>254.15</v>
      </c>
      <c r="E814" s="248">
        <v>1</v>
      </c>
    </row>
    <row r="815" spans="1:5" hidden="1" x14ac:dyDescent="0.2">
      <c r="A815" s="251"/>
      <c r="B815" s="246"/>
      <c r="C815" s="246" t="s">
        <v>1052</v>
      </c>
      <c r="D815" s="247">
        <v>254.07</v>
      </c>
      <c r="E815" s="248">
        <v>2</v>
      </c>
    </row>
    <row r="816" spans="1:5" hidden="1" x14ac:dyDescent="0.2">
      <c r="A816" s="251"/>
      <c r="B816" s="246"/>
      <c r="C816" s="246" t="s">
        <v>1053</v>
      </c>
      <c r="D816" s="247">
        <v>254.07</v>
      </c>
      <c r="E816" s="248">
        <v>2</v>
      </c>
    </row>
    <row r="817" spans="1:5" hidden="1" x14ac:dyDescent="0.2">
      <c r="A817" s="251"/>
      <c r="B817" s="246"/>
      <c r="C817" s="246" t="s">
        <v>1054</v>
      </c>
      <c r="D817" s="247">
        <v>253.99</v>
      </c>
      <c r="E817" s="248">
        <v>3</v>
      </c>
    </row>
    <row r="818" spans="1:5" hidden="1" x14ac:dyDescent="0.2">
      <c r="A818" s="251"/>
      <c r="B818" s="246"/>
      <c r="C818" s="246" t="s">
        <v>1055</v>
      </c>
      <c r="D818" s="247">
        <v>253.99</v>
      </c>
      <c r="E818" s="248">
        <v>3</v>
      </c>
    </row>
    <row r="819" spans="1:5" hidden="1" x14ac:dyDescent="0.2">
      <c r="A819" s="251"/>
      <c r="B819" s="246"/>
      <c r="C819" s="246" t="s">
        <v>1056</v>
      </c>
      <c r="D819" s="247">
        <v>252.05</v>
      </c>
      <c r="E819" s="248">
        <v>2</v>
      </c>
    </row>
    <row r="820" spans="1:5" hidden="1" x14ac:dyDescent="0.2">
      <c r="A820" s="251"/>
      <c r="B820" s="246"/>
      <c r="C820" s="246" t="s">
        <v>1057</v>
      </c>
      <c r="D820" s="247">
        <v>252.05</v>
      </c>
      <c r="E820" s="248">
        <v>2</v>
      </c>
    </row>
    <row r="821" spans="1:5" hidden="1" x14ac:dyDescent="0.2">
      <c r="A821" s="251"/>
      <c r="B821" s="246"/>
      <c r="C821" s="246" t="s">
        <v>1058</v>
      </c>
      <c r="D821" s="247">
        <v>252.05</v>
      </c>
      <c r="E821" s="248">
        <v>2</v>
      </c>
    </row>
    <row r="822" spans="1:5" hidden="1" x14ac:dyDescent="0.2">
      <c r="A822" s="251"/>
      <c r="B822" s="246"/>
      <c r="C822" s="246" t="s">
        <v>1059</v>
      </c>
      <c r="D822" s="247">
        <v>248.73</v>
      </c>
      <c r="E822" s="248">
        <v>6</v>
      </c>
    </row>
    <row r="823" spans="1:5" hidden="1" x14ac:dyDescent="0.2">
      <c r="A823" s="251"/>
      <c r="B823" s="246"/>
      <c r="C823" s="246" t="s">
        <v>1060</v>
      </c>
      <c r="D823" s="247">
        <v>248.22</v>
      </c>
      <c r="E823" s="248">
        <v>1</v>
      </c>
    </row>
    <row r="824" spans="1:5" hidden="1" x14ac:dyDescent="0.2">
      <c r="A824" s="251"/>
      <c r="B824" s="246"/>
      <c r="C824" s="246" t="s">
        <v>1061</v>
      </c>
      <c r="D824" s="247">
        <v>246.81</v>
      </c>
      <c r="E824" s="248">
        <v>4</v>
      </c>
    </row>
    <row r="825" spans="1:5" hidden="1" x14ac:dyDescent="0.2">
      <c r="A825" s="251"/>
      <c r="B825" s="246"/>
      <c r="C825" s="246" t="s">
        <v>1062</v>
      </c>
      <c r="D825" s="247">
        <v>243.92</v>
      </c>
      <c r="E825" s="248">
        <v>2</v>
      </c>
    </row>
    <row r="826" spans="1:5" hidden="1" x14ac:dyDescent="0.2">
      <c r="A826" s="251"/>
      <c r="B826" s="246"/>
      <c r="C826" s="246" t="s">
        <v>1063</v>
      </c>
      <c r="D826" s="247">
        <v>241.44</v>
      </c>
      <c r="E826" s="248">
        <v>1</v>
      </c>
    </row>
    <row r="827" spans="1:5" hidden="1" x14ac:dyDescent="0.2">
      <c r="A827" s="251"/>
      <c r="B827" s="246"/>
      <c r="C827" s="246" t="s">
        <v>1064</v>
      </c>
      <c r="D827" s="247">
        <v>240.34</v>
      </c>
      <c r="E827" s="248">
        <v>4</v>
      </c>
    </row>
    <row r="828" spans="1:5" hidden="1" x14ac:dyDescent="0.2">
      <c r="A828" s="251"/>
      <c r="B828" s="246"/>
      <c r="C828" s="246" t="s">
        <v>1065</v>
      </c>
      <c r="D828" s="247">
        <v>237.05</v>
      </c>
      <c r="E828" s="248">
        <v>2</v>
      </c>
    </row>
    <row r="829" spans="1:5" hidden="1" x14ac:dyDescent="0.2">
      <c r="A829" s="251"/>
      <c r="B829" s="246"/>
      <c r="C829" s="246" t="s">
        <v>1066</v>
      </c>
      <c r="D829" s="247">
        <v>235.37</v>
      </c>
      <c r="E829" s="248">
        <v>4</v>
      </c>
    </row>
    <row r="830" spans="1:5" hidden="1" x14ac:dyDescent="0.2">
      <c r="A830" s="251"/>
      <c r="B830" s="246"/>
      <c r="C830" s="246" t="s">
        <v>1067</v>
      </c>
      <c r="D830" s="247">
        <v>234.58</v>
      </c>
      <c r="E830" s="248">
        <v>10</v>
      </c>
    </row>
    <row r="831" spans="1:5" hidden="1" x14ac:dyDescent="0.2">
      <c r="A831" s="251"/>
      <c r="B831" s="246"/>
      <c r="C831" s="246" t="s">
        <v>1068</v>
      </c>
      <c r="D831" s="247">
        <v>233.92</v>
      </c>
      <c r="E831" s="248">
        <v>3</v>
      </c>
    </row>
    <row r="832" spans="1:5" hidden="1" x14ac:dyDescent="0.2">
      <c r="A832" s="251"/>
      <c r="B832" s="246"/>
      <c r="C832" s="246" t="s">
        <v>1069</v>
      </c>
      <c r="D832" s="247">
        <v>230.37</v>
      </c>
      <c r="E832" s="248">
        <v>2</v>
      </c>
    </row>
    <row r="833" spans="1:5" hidden="1" x14ac:dyDescent="0.2">
      <c r="A833" s="251"/>
      <c r="B833" s="246"/>
      <c r="C833" s="246" t="s">
        <v>1070</v>
      </c>
      <c r="D833" s="247">
        <v>230.37</v>
      </c>
      <c r="E833" s="248">
        <v>2</v>
      </c>
    </row>
    <row r="834" spans="1:5" hidden="1" x14ac:dyDescent="0.2">
      <c r="A834" s="251"/>
      <c r="B834" s="246"/>
      <c r="C834" s="246" t="s">
        <v>1071</v>
      </c>
      <c r="D834" s="247">
        <v>230.37</v>
      </c>
      <c r="E834" s="248">
        <v>2</v>
      </c>
    </row>
    <row r="835" spans="1:5" hidden="1" x14ac:dyDescent="0.2">
      <c r="A835" s="251"/>
      <c r="B835" s="246"/>
      <c r="C835" s="246" t="s">
        <v>1072</v>
      </c>
      <c r="D835" s="247">
        <v>230.37</v>
      </c>
      <c r="E835" s="248">
        <v>2</v>
      </c>
    </row>
    <row r="836" spans="1:5" hidden="1" x14ac:dyDescent="0.2">
      <c r="A836" s="251"/>
      <c r="B836" s="246"/>
      <c r="C836" s="246" t="s">
        <v>1073</v>
      </c>
      <c r="D836" s="247">
        <v>230.37</v>
      </c>
      <c r="E836" s="248">
        <v>2</v>
      </c>
    </row>
    <row r="837" spans="1:5" hidden="1" x14ac:dyDescent="0.2">
      <c r="A837" s="251"/>
      <c r="B837" s="246"/>
      <c r="C837" s="246" t="s">
        <v>1074</v>
      </c>
      <c r="D837" s="247">
        <v>230.37</v>
      </c>
      <c r="E837" s="248">
        <v>2</v>
      </c>
    </row>
    <row r="838" spans="1:5" hidden="1" x14ac:dyDescent="0.2">
      <c r="A838" s="251"/>
      <c r="B838" s="246"/>
      <c r="C838" s="246" t="s">
        <v>1075</v>
      </c>
      <c r="D838" s="247">
        <v>230.37</v>
      </c>
      <c r="E838" s="248">
        <v>2</v>
      </c>
    </row>
    <row r="839" spans="1:5" hidden="1" x14ac:dyDescent="0.2">
      <c r="A839" s="251"/>
      <c r="B839" s="246"/>
      <c r="C839" s="246" t="s">
        <v>1076</v>
      </c>
      <c r="D839" s="247">
        <v>229.51</v>
      </c>
      <c r="E839" s="248">
        <v>2</v>
      </c>
    </row>
    <row r="840" spans="1:5" hidden="1" x14ac:dyDescent="0.2">
      <c r="A840" s="251"/>
      <c r="B840" s="246"/>
      <c r="C840" s="246" t="s">
        <v>1077</v>
      </c>
      <c r="D840" s="247">
        <v>229.51</v>
      </c>
      <c r="E840" s="248">
        <v>2</v>
      </c>
    </row>
    <row r="841" spans="1:5" hidden="1" x14ac:dyDescent="0.2">
      <c r="A841" s="251"/>
      <c r="B841" s="246"/>
      <c r="C841" s="246" t="s">
        <v>1078</v>
      </c>
      <c r="D841" s="247">
        <v>228.74</v>
      </c>
      <c r="E841" s="248">
        <v>1</v>
      </c>
    </row>
    <row r="842" spans="1:5" hidden="1" x14ac:dyDescent="0.2">
      <c r="A842" s="251"/>
      <c r="B842" s="246"/>
      <c r="C842" s="246" t="s">
        <v>1079</v>
      </c>
      <c r="D842" s="247">
        <v>228.74</v>
      </c>
      <c r="E842" s="248">
        <v>1</v>
      </c>
    </row>
    <row r="843" spans="1:5" hidden="1" x14ac:dyDescent="0.2">
      <c r="A843" s="251"/>
      <c r="B843" s="246"/>
      <c r="C843" s="246" t="s">
        <v>1080</v>
      </c>
      <c r="D843" s="247">
        <v>228.74</v>
      </c>
      <c r="E843" s="248">
        <v>1</v>
      </c>
    </row>
    <row r="844" spans="1:5" hidden="1" x14ac:dyDescent="0.2">
      <c r="A844" s="251"/>
      <c r="B844" s="246"/>
      <c r="C844" s="246" t="s">
        <v>1081</v>
      </c>
      <c r="D844" s="247">
        <v>228.74</v>
      </c>
      <c r="E844" s="248">
        <v>1</v>
      </c>
    </row>
    <row r="845" spans="1:5" hidden="1" x14ac:dyDescent="0.2">
      <c r="A845" s="251"/>
      <c r="B845" s="246"/>
      <c r="C845" s="246" t="s">
        <v>1082</v>
      </c>
      <c r="D845" s="247">
        <v>228.74</v>
      </c>
      <c r="E845" s="248">
        <v>1</v>
      </c>
    </row>
    <row r="846" spans="1:5" hidden="1" x14ac:dyDescent="0.2">
      <c r="A846" s="251"/>
      <c r="B846" s="246"/>
      <c r="C846" s="246" t="s">
        <v>1083</v>
      </c>
      <c r="D846" s="247">
        <v>228.73</v>
      </c>
      <c r="E846" s="248">
        <v>1</v>
      </c>
    </row>
    <row r="847" spans="1:5" hidden="1" x14ac:dyDescent="0.2">
      <c r="A847" s="251"/>
      <c r="B847" s="246"/>
      <c r="C847" s="246" t="s">
        <v>2292</v>
      </c>
      <c r="D847" s="247">
        <v>228.73</v>
      </c>
      <c r="E847" s="248">
        <v>1</v>
      </c>
    </row>
    <row r="848" spans="1:5" hidden="1" x14ac:dyDescent="0.2">
      <c r="A848" s="251"/>
      <c r="B848" s="246"/>
      <c r="C848" s="246" t="s">
        <v>1084</v>
      </c>
      <c r="D848" s="247">
        <v>228.73</v>
      </c>
      <c r="E848" s="248">
        <v>1</v>
      </c>
    </row>
    <row r="849" spans="1:5" hidden="1" x14ac:dyDescent="0.2">
      <c r="A849" s="251"/>
      <c r="B849" s="246"/>
      <c r="C849" s="246" t="s">
        <v>1085</v>
      </c>
      <c r="D849" s="247">
        <v>228.73</v>
      </c>
      <c r="E849" s="248">
        <v>1</v>
      </c>
    </row>
    <row r="850" spans="1:5" hidden="1" x14ac:dyDescent="0.2">
      <c r="A850" s="251"/>
      <c r="B850" s="246"/>
      <c r="C850" s="246" t="s">
        <v>1086</v>
      </c>
      <c r="D850" s="247">
        <v>228.73</v>
      </c>
      <c r="E850" s="248">
        <v>1</v>
      </c>
    </row>
    <row r="851" spans="1:5" hidden="1" x14ac:dyDescent="0.2">
      <c r="A851" s="251"/>
      <c r="B851" s="246"/>
      <c r="C851" s="246" t="s">
        <v>1087</v>
      </c>
      <c r="D851" s="247">
        <v>228.65</v>
      </c>
      <c r="E851" s="248">
        <v>2</v>
      </c>
    </row>
    <row r="852" spans="1:5" hidden="1" x14ac:dyDescent="0.2">
      <c r="A852" s="251"/>
      <c r="B852" s="246"/>
      <c r="C852" s="246" t="s">
        <v>1088</v>
      </c>
      <c r="D852" s="247">
        <v>228.65</v>
      </c>
      <c r="E852" s="248">
        <v>2</v>
      </c>
    </row>
    <row r="853" spans="1:5" hidden="1" x14ac:dyDescent="0.2">
      <c r="A853" s="251"/>
      <c r="B853" s="246"/>
      <c r="C853" s="246" t="s">
        <v>1089</v>
      </c>
      <c r="D853" s="247">
        <v>228.65</v>
      </c>
      <c r="E853" s="248">
        <v>2</v>
      </c>
    </row>
    <row r="854" spans="1:5" hidden="1" x14ac:dyDescent="0.2">
      <c r="A854" s="251"/>
      <c r="B854" s="246"/>
      <c r="C854" s="246" t="s">
        <v>2293</v>
      </c>
      <c r="D854" s="247">
        <v>228.65</v>
      </c>
      <c r="E854" s="248">
        <v>2</v>
      </c>
    </row>
    <row r="855" spans="1:5" hidden="1" x14ac:dyDescent="0.2">
      <c r="A855" s="251"/>
      <c r="B855" s="246"/>
      <c r="C855" s="246" t="s">
        <v>1090</v>
      </c>
      <c r="D855" s="247">
        <v>228.65</v>
      </c>
      <c r="E855" s="248">
        <v>2</v>
      </c>
    </row>
    <row r="856" spans="1:5" hidden="1" x14ac:dyDescent="0.2">
      <c r="A856" s="251"/>
      <c r="B856" s="246"/>
      <c r="C856" s="246" t="s">
        <v>1091</v>
      </c>
      <c r="D856" s="247">
        <v>228.65</v>
      </c>
      <c r="E856" s="248">
        <v>2</v>
      </c>
    </row>
    <row r="857" spans="1:5" hidden="1" x14ac:dyDescent="0.2">
      <c r="A857" s="251"/>
      <c r="B857" s="246"/>
      <c r="C857" s="246" t="s">
        <v>1092</v>
      </c>
      <c r="D857" s="247">
        <v>228.64</v>
      </c>
      <c r="E857" s="248">
        <v>2</v>
      </c>
    </row>
    <row r="858" spans="1:5" hidden="1" x14ac:dyDescent="0.2">
      <c r="A858" s="251"/>
      <c r="B858" s="246"/>
      <c r="C858" s="246" t="s">
        <v>1093</v>
      </c>
      <c r="D858" s="247">
        <v>228.64</v>
      </c>
      <c r="E858" s="248">
        <v>2</v>
      </c>
    </row>
    <row r="859" spans="1:5" hidden="1" x14ac:dyDescent="0.2">
      <c r="A859" s="251"/>
      <c r="B859" s="246"/>
      <c r="C859" s="246" t="s">
        <v>1094</v>
      </c>
      <c r="D859" s="247">
        <v>228.64</v>
      </c>
      <c r="E859" s="248">
        <v>2</v>
      </c>
    </row>
    <row r="860" spans="1:5" hidden="1" x14ac:dyDescent="0.2">
      <c r="A860" s="251"/>
      <c r="B860" s="246"/>
      <c r="C860" s="246" t="s">
        <v>1095</v>
      </c>
      <c r="D860" s="247">
        <v>228.64</v>
      </c>
      <c r="E860" s="248">
        <v>2</v>
      </c>
    </row>
    <row r="861" spans="1:5" hidden="1" x14ac:dyDescent="0.2">
      <c r="A861" s="251"/>
      <c r="B861" s="246"/>
      <c r="C861" s="246" t="s">
        <v>1096</v>
      </c>
      <c r="D861" s="247">
        <v>228.56</v>
      </c>
      <c r="E861" s="248">
        <v>3</v>
      </c>
    </row>
    <row r="862" spans="1:5" hidden="1" x14ac:dyDescent="0.2">
      <c r="A862" s="251"/>
      <c r="B862" s="246"/>
      <c r="C862" s="246" t="s">
        <v>1097</v>
      </c>
      <c r="D862" s="247">
        <v>227.96</v>
      </c>
      <c r="E862" s="248">
        <v>10</v>
      </c>
    </row>
    <row r="863" spans="1:5" hidden="1" x14ac:dyDescent="0.2">
      <c r="A863" s="251"/>
      <c r="B863" s="246"/>
      <c r="C863" s="246" t="s">
        <v>1098</v>
      </c>
      <c r="D863" s="247">
        <v>227.31</v>
      </c>
      <c r="E863" s="248">
        <v>2</v>
      </c>
    </row>
    <row r="864" spans="1:5" hidden="1" x14ac:dyDescent="0.2">
      <c r="A864" s="251"/>
      <c r="B864" s="246"/>
      <c r="C864" s="246" t="s">
        <v>1099</v>
      </c>
      <c r="D864" s="247">
        <v>226.95</v>
      </c>
      <c r="E864" s="248">
        <v>2</v>
      </c>
    </row>
    <row r="865" spans="1:5" hidden="1" x14ac:dyDescent="0.2">
      <c r="A865" s="251"/>
      <c r="B865" s="246"/>
      <c r="C865" s="246" t="s">
        <v>1100</v>
      </c>
      <c r="D865" s="247">
        <v>221.11</v>
      </c>
      <c r="E865" s="248">
        <v>1</v>
      </c>
    </row>
    <row r="866" spans="1:5" hidden="1" x14ac:dyDescent="0.2">
      <c r="A866" s="251"/>
      <c r="B866" s="246"/>
      <c r="C866" s="246" t="s">
        <v>1101</v>
      </c>
      <c r="D866" s="247">
        <v>221.11</v>
      </c>
      <c r="E866" s="248">
        <v>1</v>
      </c>
    </row>
    <row r="867" spans="1:5" hidden="1" x14ac:dyDescent="0.2">
      <c r="A867" s="251"/>
      <c r="B867" s="246"/>
      <c r="C867" s="246" t="s">
        <v>1102</v>
      </c>
      <c r="D867" s="247">
        <v>221.02</v>
      </c>
      <c r="E867" s="248">
        <v>2</v>
      </c>
    </row>
    <row r="868" spans="1:5" hidden="1" x14ac:dyDescent="0.2">
      <c r="A868" s="251"/>
      <c r="B868" s="246"/>
      <c r="C868" s="246" t="s">
        <v>1103</v>
      </c>
      <c r="D868" s="247">
        <v>220</v>
      </c>
      <c r="E868" s="248">
        <v>4</v>
      </c>
    </row>
    <row r="869" spans="1:5" hidden="1" x14ac:dyDescent="0.2">
      <c r="A869" s="251"/>
      <c r="B869" s="246"/>
      <c r="C869" s="246" t="s">
        <v>1104</v>
      </c>
      <c r="D869" s="247">
        <v>217.3</v>
      </c>
      <c r="E869" s="248">
        <v>1</v>
      </c>
    </row>
    <row r="870" spans="1:5" hidden="1" x14ac:dyDescent="0.2">
      <c r="A870" s="251"/>
      <c r="B870" s="246"/>
      <c r="C870" s="246" t="s">
        <v>1105</v>
      </c>
      <c r="D870" s="247">
        <v>217.22</v>
      </c>
      <c r="E870" s="248">
        <v>2</v>
      </c>
    </row>
    <row r="871" spans="1:5" hidden="1" x14ac:dyDescent="0.2">
      <c r="A871" s="251"/>
      <c r="B871" s="246"/>
      <c r="C871" s="246" t="s">
        <v>2294</v>
      </c>
      <c r="D871" s="247">
        <v>216.78</v>
      </c>
      <c r="E871" s="248">
        <v>2</v>
      </c>
    </row>
    <row r="872" spans="1:5" hidden="1" x14ac:dyDescent="0.2">
      <c r="A872" s="251"/>
      <c r="B872" s="246"/>
      <c r="C872" s="246" t="s">
        <v>1106</v>
      </c>
      <c r="D872" s="247">
        <v>216.02</v>
      </c>
      <c r="E872" s="248">
        <v>1</v>
      </c>
    </row>
    <row r="873" spans="1:5" hidden="1" x14ac:dyDescent="0.2">
      <c r="A873" s="251"/>
      <c r="B873" s="246"/>
      <c r="C873" s="246" t="s">
        <v>1107</v>
      </c>
      <c r="D873" s="247">
        <v>216.01</v>
      </c>
      <c r="E873" s="248">
        <v>1</v>
      </c>
    </row>
    <row r="874" spans="1:5" hidden="1" x14ac:dyDescent="0.2">
      <c r="A874" s="251"/>
      <c r="B874" s="246"/>
      <c r="C874" s="246" t="s">
        <v>1108</v>
      </c>
      <c r="D874" s="247">
        <v>216.01</v>
      </c>
      <c r="E874" s="248">
        <v>1</v>
      </c>
    </row>
    <row r="875" spans="1:5" hidden="1" x14ac:dyDescent="0.2">
      <c r="A875" s="251"/>
      <c r="B875" s="246"/>
      <c r="C875" s="246" t="s">
        <v>1109</v>
      </c>
      <c r="D875" s="247">
        <v>215.94</v>
      </c>
      <c r="E875" s="248">
        <v>2</v>
      </c>
    </row>
    <row r="876" spans="1:5" hidden="1" x14ac:dyDescent="0.2">
      <c r="A876" s="251"/>
      <c r="B876" s="246"/>
      <c r="C876" s="246" t="s">
        <v>1110</v>
      </c>
      <c r="D876" s="247">
        <v>214.79</v>
      </c>
      <c r="E876" s="248">
        <v>2</v>
      </c>
    </row>
    <row r="877" spans="1:5" hidden="1" x14ac:dyDescent="0.2">
      <c r="A877" s="251"/>
      <c r="B877" s="246"/>
      <c r="C877" s="246" t="s">
        <v>1111</v>
      </c>
      <c r="D877" s="247">
        <v>214.33</v>
      </c>
      <c r="E877" s="248">
        <v>1</v>
      </c>
    </row>
    <row r="878" spans="1:5" hidden="1" x14ac:dyDescent="0.2">
      <c r="A878" s="251"/>
      <c r="B878" s="246"/>
      <c r="C878" s="246" t="s">
        <v>1112</v>
      </c>
      <c r="D878" s="247">
        <v>214.32</v>
      </c>
      <c r="E878" s="248">
        <v>1</v>
      </c>
    </row>
    <row r="879" spans="1:5" hidden="1" x14ac:dyDescent="0.2">
      <c r="A879" s="251"/>
      <c r="B879" s="246"/>
      <c r="C879" s="246" t="s">
        <v>1113</v>
      </c>
      <c r="D879" s="247">
        <v>211.78</v>
      </c>
      <c r="E879" s="248">
        <v>1</v>
      </c>
    </row>
    <row r="880" spans="1:5" hidden="1" x14ac:dyDescent="0.2">
      <c r="A880" s="251"/>
      <c r="B880" s="246"/>
      <c r="C880" s="246" t="s">
        <v>1114</v>
      </c>
      <c r="D880" s="247">
        <v>211.78</v>
      </c>
      <c r="E880" s="248">
        <v>1</v>
      </c>
    </row>
    <row r="881" spans="1:5" hidden="1" x14ac:dyDescent="0.2">
      <c r="A881" s="251"/>
      <c r="B881" s="246"/>
      <c r="C881" s="246" t="s">
        <v>1115</v>
      </c>
      <c r="D881" s="247">
        <v>211.78</v>
      </c>
      <c r="E881" s="248">
        <v>1</v>
      </c>
    </row>
    <row r="882" spans="1:5" hidden="1" x14ac:dyDescent="0.2">
      <c r="A882" s="251"/>
      <c r="B882" s="246"/>
      <c r="C882" s="246" t="s">
        <v>2295</v>
      </c>
      <c r="D882" s="247">
        <v>211.78</v>
      </c>
      <c r="E882" s="248">
        <v>1</v>
      </c>
    </row>
    <row r="883" spans="1:5" hidden="1" x14ac:dyDescent="0.2">
      <c r="A883" s="251"/>
      <c r="B883" s="246"/>
      <c r="C883" s="246" t="s">
        <v>1116</v>
      </c>
      <c r="D883" s="247">
        <v>211.78</v>
      </c>
      <c r="E883" s="248">
        <v>1</v>
      </c>
    </row>
    <row r="884" spans="1:5" hidden="1" x14ac:dyDescent="0.2">
      <c r="A884" s="251"/>
      <c r="B884" s="246"/>
      <c r="C884" s="246" t="s">
        <v>1117</v>
      </c>
      <c r="D884" s="247">
        <v>211.78</v>
      </c>
      <c r="E884" s="248">
        <v>1</v>
      </c>
    </row>
    <row r="885" spans="1:5" hidden="1" x14ac:dyDescent="0.2">
      <c r="A885" s="251"/>
      <c r="B885" s="246"/>
      <c r="C885" s="246" t="s">
        <v>1118</v>
      </c>
      <c r="D885" s="247">
        <v>211.78</v>
      </c>
      <c r="E885" s="248">
        <v>1</v>
      </c>
    </row>
    <row r="886" spans="1:5" hidden="1" x14ac:dyDescent="0.2">
      <c r="A886" s="251"/>
      <c r="B886" s="246"/>
      <c r="C886" s="246" t="s">
        <v>1119</v>
      </c>
      <c r="D886" s="247">
        <v>211.78</v>
      </c>
      <c r="E886" s="248">
        <v>1</v>
      </c>
    </row>
    <row r="887" spans="1:5" hidden="1" x14ac:dyDescent="0.2">
      <c r="A887" s="251"/>
      <c r="B887" s="246"/>
      <c r="C887" s="246" t="s">
        <v>1120</v>
      </c>
      <c r="D887" s="247">
        <v>211.78</v>
      </c>
      <c r="E887" s="248">
        <v>1</v>
      </c>
    </row>
    <row r="888" spans="1:5" hidden="1" x14ac:dyDescent="0.2">
      <c r="A888" s="251"/>
      <c r="B888" s="246"/>
      <c r="C888" s="246" t="s">
        <v>1121</v>
      </c>
      <c r="D888" s="247">
        <v>211.78</v>
      </c>
      <c r="E888" s="248">
        <v>1</v>
      </c>
    </row>
    <row r="889" spans="1:5" hidden="1" x14ac:dyDescent="0.2">
      <c r="A889" s="251"/>
      <c r="B889" s="246"/>
      <c r="C889" s="246" t="s">
        <v>1122</v>
      </c>
      <c r="D889" s="247">
        <v>211.78</v>
      </c>
      <c r="E889" s="248">
        <v>1</v>
      </c>
    </row>
    <row r="890" spans="1:5" hidden="1" x14ac:dyDescent="0.2">
      <c r="A890" s="251"/>
      <c r="B890" s="246"/>
      <c r="C890" s="246" t="s">
        <v>1123</v>
      </c>
      <c r="D890" s="247">
        <v>211.78</v>
      </c>
      <c r="E890" s="248">
        <v>1</v>
      </c>
    </row>
    <row r="891" spans="1:5" hidden="1" x14ac:dyDescent="0.2">
      <c r="A891" s="251"/>
      <c r="B891" s="246"/>
      <c r="C891" s="246" t="s">
        <v>1124</v>
      </c>
      <c r="D891" s="247">
        <v>211.78</v>
      </c>
      <c r="E891" s="248">
        <v>1</v>
      </c>
    </row>
    <row r="892" spans="1:5" hidden="1" x14ac:dyDescent="0.2">
      <c r="A892" s="251"/>
      <c r="B892" s="246"/>
      <c r="C892" s="246" t="s">
        <v>1125</v>
      </c>
      <c r="D892" s="247">
        <v>211.78</v>
      </c>
      <c r="E892" s="248">
        <v>1</v>
      </c>
    </row>
    <row r="893" spans="1:5" hidden="1" x14ac:dyDescent="0.2">
      <c r="A893" s="251"/>
      <c r="B893" s="246"/>
      <c r="C893" s="246" t="s">
        <v>1126</v>
      </c>
      <c r="D893" s="247">
        <v>211.78</v>
      </c>
      <c r="E893" s="248">
        <v>1</v>
      </c>
    </row>
    <row r="894" spans="1:5" hidden="1" x14ac:dyDescent="0.2">
      <c r="A894" s="251"/>
      <c r="B894" s="246"/>
      <c r="C894" s="246" t="s">
        <v>1127</v>
      </c>
      <c r="D894" s="247">
        <v>211.78</v>
      </c>
      <c r="E894" s="248">
        <v>1</v>
      </c>
    </row>
    <row r="895" spans="1:5" hidden="1" x14ac:dyDescent="0.2">
      <c r="A895" s="251"/>
      <c r="B895" s="246"/>
      <c r="C895" s="246" t="s">
        <v>1128</v>
      </c>
      <c r="D895" s="247">
        <v>211.78</v>
      </c>
      <c r="E895" s="248">
        <v>1</v>
      </c>
    </row>
    <row r="896" spans="1:5" hidden="1" x14ac:dyDescent="0.2">
      <c r="A896" s="251"/>
      <c r="B896" s="246"/>
      <c r="C896" s="246" t="s">
        <v>1129</v>
      </c>
      <c r="D896" s="247">
        <v>211.78</v>
      </c>
      <c r="E896" s="248">
        <v>1</v>
      </c>
    </row>
    <row r="897" spans="1:5" hidden="1" x14ac:dyDescent="0.2">
      <c r="A897" s="251"/>
      <c r="B897" s="246"/>
      <c r="C897" s="246" t="s">
        <v>1130</v>
      </c>
      <c r="D897" s="247">
        <v>211.78</v>
      </c>
      <c r="E897" s="248">
        <v>1</v>
      </c>
    </row>
    <row r="898" spans="1:5" hidden="1" x14ac:dyDescent="0.2">
      <c r="A898" s="251"/>
      <c r="B898" s="246"/>
      <c r="C898" s="246" t="s">
        <v>1131</v>
      </c>
      <c r="D898" s="247">
        <v>211.78</v>
      </c>
      <c r="E898" s="248">
        <v>1</v>
      </c>
    </row>
    <row r="899" spans="1:5" hidden="1" x14ac:dyDescent="0.2">
      <c r="A899" s="251"/>
      <c r="B899" s="246"/>
      <c r="C899" s="246" t="s">
        <v>1132</v>
      </c>
      <c r="D899" s="247">
        <v>210</v>
      </c>
      <c r="E899" s="248">
        <v>2</v>
      </c>
    </row>
    <row r="900" spans="1:5" hidden="1" x14ac:dyDescent="0.2">
      <c r="A900" s="251"/>
      <c r="B900" s="246"/>
      <c r="C900" s="246" t="s">
        <v>1133</v>
      </c>
      <c r="D900" s="247">
        <v>208.31</v>
      </c>
      <c r="E900" s="248">
        <v>2</v>
      </c>
    </row>
    <row r="901" spans="1:5" hidden="1" x14ac:dyDescent="0.2">
      <c r="A901" s="251"/>
      <c r="B901" s="246"/>
      <c r="C901" s="246" t="s">
        <v>1134</v>
      </c>
      <c r="D901" s="247">
        <v>206.27</v>
      </c>
      <c r="E901" s="248">
        <v>5</v>
      </c>
    </row>
    <row r="902" spans="1:5" hidden="1" x14ac:dyDescent="0.2">
      <c r="A902" s="251"/>
      <c r="B902" s="246"/>
      <c r="C902" s="246" t="s">
        <v>1135</v>
      </c>
      <c r="D902" s="247">
        <v>205.78</v>
      </c>
      <c r="E902" s="248">
        <v>2</v>
      </c>
    </row>
    <row r="903" spans="1:5" hidden="1" x14ac:dyDescent="0.2">
      <c r="A903" s="251"/>
      <c r="B903" s="246"/>
      <c r="C903" s="246" t="s">
        <v>1136</v>
      </c>
      <c r="D903" s="247">
        <v>205.78</v>
      </c>
      <c r="E903" s="248">
        <v>2</v>
      </c>
    </row>
    <row r="904" spans="1:5" hidden="1" x14ac:dyDescent="0.2">
      <c r="A904" s="251"/>
      <c r="B904" s="246"/>
      <c r="C904" s="246" t="s">
        <v>1137</v>
      </c>
      <c r="D904" s="247">
        <v>205.78</v>
      </c>
      <c r="E904" s="248">
        <v>2</v>
      </c>
    </row>
    <row r="905" spans="1:5" hidden="1" x14ac:dyDescent="0.2">
      <c r="A905" s="251"/>
      <c r="B905" s="246"/>
      <c r="C905" s="246" t="s">
        <v>1138</v>
      </c>
      <c r="D905" s="247">
        <v>204.91</v>
      </c>
      <c r="E905" s="248">
        <v>2</v>
      </c>
    </row>
    <row r="906" spans="1:5" hidden="1" x14ac:dyDescent="0.2">
      <c r="A906" s="251"/>
      <c r="B906" s="246"/>
      <c r="C906" s="246" t="s">
        <v>1139</v>
      </c>
      <c r="D906" s="247">
        <v>203.91</v>
      </c>
      <c r="E906" s="248">
        <v>5</v>
      </c>
    </row>
    <row r="907" spans="1:5" hidden="1" x14ac:dyDescent="0.2">
      <c r="A907" s="251"/>
      <c r="B907" s="246"/>
      <c r="C907" s="246" t="s">
        <v>1140</v>
      </c>
      <c r="D907" s="247">
        <v>203.22</v>
      </c>
      <c r="E907" s="248">
        <v>2</v>
      </c>
    </row>
    <row r="908" spans="1:5" hidden="1" x14ac:dyDescent="0.2">
      <c r="A908" s="251"/>
      <c r="B908" s="246"/>
      <c r="C908" s="246" t="s">
        <v>2296</v>
      </c>
      <c r="D908" s="247">
        <v>201.97</v>
      </c>
      <c r="E908" s="248">
        <v>2</v>
      </c>
    </row>
    <row r="909" spans="1:5" hidden="1" x14ac:dyDescent="0.2">
      <c r="A909" s="251"/>
      <c r="B909" s="246"/>
      <c r="C909" s="246" t="s">
        <v>1141</v>
      </c>
      <c r="D909" s="247">
        <v>201.44</v>
      </c>
      <c r="E909" s="248">
        <v>3</v>
      </c>
    </row>
    <row r="910" spans="1:5" hidden="1" x14ac:dyDescent="0.2">
      <c r="A910" s="251"/>
      <c r="B910" s="246"/>
      <c r="C910" s="246" t="s">
        <v>1142</v>
      </c>
      <c r="D910" s="247">
        <v>201.05</v>
      </c>
      <c r="E910" s="248">
        <v>4</v>
      </c>
    </row>
    <row r="911" spans="1:5" hidden="1" x14ac:dyDescent="0.2">
      <c r="A911" s="251"/>
      <c r="B911" s="246"/>
      <c r="C911" s="246" t="s">
        <v>1143</v>
      </c>
      <c r="D911" s="247">
        <v>200.77</v>
      </c>
      <c r="E911" s="248">
        <v>1</v>
      </c>
    </row>
    <row r="912" spans="1:5" hidden="1" x14ac:dyDescent="0.2">
      <c r="A912" s="251"/>
      <c r="B912" s="246"/>
      <c r="C912" s="246" t="s">
        <v>1144</v>
      </c>
      <c r="D912" s="247">
        <v>200.77</v>
      </c>
      <c r="E912" s="248">
        <v>1</v>
      </c>
    </row>
    <row r="913" spans="1:5" hidden="1" x14ac:dyDescent="0.2">
      <c r="A913" s="251"/>
      <c r="B913" s="246"/>
      <c r="C913" s="246" t="s">
        <v>1145</v>
      </c>
      <c r="D913" s="247">
        <v>200.76</v>
      </c>
      <c r="E913" s="248">
        <v>1</v>
      </c>
    </row>
    <row r="914" spans="1:5" hidden="1" x14ac:dyDescent="0.2">
      <c r="A914" s="251"/>
      <c r="B914" s="246"/>
      <c r="C914" s="246" t="s">
        <v>1146</v>
      </c>
      <c r="D914" s="247">
        <v>200.76</v>
      </c>
      <c r="E914" s="248">
        <v>1</v>
      </c>
    </row>
    <row r="915" spans="1:5" hidden="1" x14ac:dyDescent="0.2">
      <c r="A915" s="251"/>
      <c r="B915" s="246"/>
      <c r="C915" s="246" t="s">
        <v>1147</v>
      </c>
      <c r="D915" s="247">
        <v>200.76</v>
      </c>
      <c r="E915" s="248">
        <v>1</v>
      </c>
    </row>
    <row r="916" spans="1:5" hidden="1" x14ac:dyDescent="0.2">
      <c r="A916" s="251"/>
      <c r="B916" s="246"/>
      <c r="C916" s="246" t="s">
        <v>1148</v>
      </c>
      <c r="D916" s="247">
        <v>196.53</v>
      </c>
      <c r="E916" s="248">
        <v>1</v>
      </c>
    </row>
    <row r="917" spans="1:5" hidden="1" x14ac:dyDescent="0.2">
      <c r="A917" s="251"/>
      <c r="B917" s="246"/>
      <c r="C917" s="246" t="s">
        <v>1149</v>
      </c>
      <c r="D917" s="247">
        <v>194.83</v>
      </c>
      <c r="E917" s="248">
        <v>1</v>
      </c>
    </row>
    <row r="918" spans="1:5" hidden="1" x14ac:dyDescent="0.2">
      <c r="A918" s="251"/>
      <c r="B918" s="246"/>
      <c r="C918" s="246" t="s">
        <v>1150</v>
      </c>
      <c r="D918" s="247">
        <v>194.83</v>
      </c>
      <c r="E918" s="248">
        <v>1</v>
      </c>
    </row>
    <row r="919" spans="1:5" hidden="1" x14ac:dyDescent="0.2">
      <c r="A919" s="251"/>
      <c r="B919" s="246"/>
      <c r="C919" s="246" t="s">
        <v>1151</v>
      </c>
      <c r="D919" s="247">
        <v>194.83</v>
      </c>
      <c r="E919" s="248">
        <v>1</v>
      </c>
    </row>
    <row r="920" spans="1:5" hidden="1" x14ac:dyDescent="0.2">
      <c r="A920" s="251"/>
      <c r="B920" s="246"/>
      <c r="C920" s="246" t="s">
        <v>1152</v>
      </c>
      <c r="D920" s="247">
        <v>194.41</v>
      </c>
      <c r="E920" s="248">
        <v>1</v>
      </c>
    </row>
    <row r="921" spans="1:5" hidden="1" x14ac:dyDescent="0.2">
      <c r="A921" s="251"/>
      <c r="B921" s="246"/>
      <c r="C921" s="246" t="s">
        <v>1153</v>
      </c>
      <c r="D921" s="247">
        <v>194.34</v>
      </c>
      <c r="E921" s="248">
        <v>2</v>
      </c>
    </row>
    <row r="922" spans="1:5" hidden="1" x14ac:dyDescent="0.2">
      <c r="A922" s="251"/>
      <c r="B922" s="246"/>
      <c r="C922" s="246" t="s">
        <v>1154</v>
      </c>
      <c r="D922" s="247">
        <v>193.05</v>
      </c>
      <c r="E922" s="248">
        <v>2</v>
      </c>
    </row>
    <row r="923" spans="1:5" hidden="1" x14ac:dyDescent="0.2">
      <c r="A923" s="251"/>
      <c r="B923" s="246"/>
      <c r="C923" s="246" t="s">
        <v>1155</v>
      </c>
      <c r="D923" s="247">
        <v>191.38</v>
      </c>
      <c r="E923" s="248">
        <v>2</v>
      </c>
    </row>
    <row r="924" spans="1:5" hidden="1" x14ac:dyDescent="0.2">
      <c r="A924" s="251"/>
      <c r="B924" s="246"/>
      <c r="C924" s="246" t="s">
        <v>1156</v>
      </c>
      <c r="D924" s="247">
        <v>190.61</v>
      </c>
      <c r="E924" s="248">
        <v>1</v>
      </c>
    </row>
    <row r="925" spans="1:5" hidden="1" x14ac:dyDescent="0.2">
      <c r="A925" s="251"/>
      <c r="B925" s="246"/>
      <c r="C925" s="246" t="s">
        <v>1157</v>
      </c>
      <c r="D925" s="247">
        <v>190.61</v>
      </c>
      <c r="E925" s="248">
        <v>1</v>
      </c>
    </row>
    <row r="926" spans="1:5" hidden="1" x14ac:dyDescent="0.2">
      <c r="A926" s="251"/>
      <c r="B926" s="246"/>
      <c r="C926" s="246" t="s">
        <v>1158</v>
      </c>
      <c r="D926" s="247">
        <v>190.61</v>
      </c>
      <c r="E926" s="248">
        <v>1</v>
      </c>
    </row>
    <row r="927" spans="1:5" hidden="1" x14ac:dyDescent="0.2">
      <c r="A927" s="251"/>
      <c r="B927" s="246"/>
      <c r="C927" s="246" t="s">
        <v>1159</v>
      </c>
      <c r="D927" s="247">
        <v>190.6</v>
      </c>
      <c r="E927" s="248">
        <v>1</v>
      </c>
    </row>
    <row r="928" spans="1:5" hidden="1" x14ac:dyDescent="0.2">
      <c r="A928" s="251"/>
      <c r="B928" s="246"/>
      <c r="C928" s="246" t="s">
        <v>1160</v>
      </c>
      <c r="D928" s="247">
        <v>190.6</v>
      </c>
      <c r="E928" s="248">
        <v>1</v>
      </c>
    </row>
    <row r="929" spans="1:5" hidden="1" x14ac:dyDescent="0.2">
      <c r="A929" s="251"/>
      <c r="B929" s="246"/>
      <c r="C929" s="246" t="s">
        <v>1161</v>
      </c>
      <c r="D929" s="247">
        <v>187.79</v>
      </c>
      <c r="E929" s="248">
        <v>4</v>
      </c>
    </row>
    <row r="930" spans="1:5" hidden="1" x14ac:dyDescent="0.2">
      <c r="A930" s="251"/>
      <c r="B930" s="246"/>
      <c r="C930" s="246" t="s">
        <v>1162</v>
      </c>
      <c r="D930" s="247">
        <v>186.36</v>
      </c>
      <c r="E930" s="248">
        <v>1</v>
      </c>
    </row>
    <row r="931" spans="1:5" hidden="1" x14ac:dyDescent="0.2">
      <c r="A931" s="251"/>
      <c r="B931" s="246"/>
      <c r="C931" s="246" t="s">
        <v>1163</v>
      </c>
      <c r="D931" s="247">
        <v>186.36</v>
      </c>
      <c r="E931" s="248">
        <v>1</v>
      </c>
    </row>
    <row r="932" spans="1:5" hidden="1" x14ac:dyDescent="0.2">
      <c r="A932" s="251"/>
      <c r="B932" s="246"/>
      <c r="C932" s="246" t="s">
        <v>1164</v>
      </c>
      <c r="D932" s="247">
        <v>186.36</v>
      </c>
      <c r="E932" s="248">
        <v>1</v>
      </c>
    </row>
    <row r="933" spans="1:5" hidden="1" x14ac:dyDescent="0.2">
      <c r="A933" s="251"/>
      <c r="B933" s="246"/>
      <c r="C933" s="246" t="s">
        <v>1165</v>
      </c>
      <c r="D933" s="247">
        <v>186.36</v>
      </c>
      <c r="E933" s="248">
        <v>1</v>
      </c>
    </row>
    <row r="934" spans="1:5" hidden="1" x14ac:dyDescent="0.2">
      <c r="A934" s="251"/>
      <c r="B934" s="246"/>
      <c r="C934" s="246" t="s">
        <v>1166</v>
      </c>
      <c r="D934" s="247">
        <v>186.36</v>
      </c>
      <c r="E934" s="248">
        <v>1</v>
      </c>
    </row>
    <row r="935" spans="1:5" hidden="1" x14ac:dyDescent="0.2">
      <c r="A935" s="251"/>
      <c r="B935" s="246"/>
      <c r="C935" s="246" t="s">
        <v>1167</v>
      </c>
      <c r="D935" s="247">
        <v>186.36</v>
      </c>
      <c r="E935" s="248">
        <v>1</v>
      </c>
    </row>
    <row r="936" spans="1:5" hidden="1" x14ac:dyDescent="0.2">
      <c r="A936" s="251"/>
      <c r="B936" s="246"/>
      <c r="C936" s="246" t="s">
        <v>1168</v>
      </c>
      <c r="D936" s="247">
        <v>186.35</v>
      </c>
      <c r="E936" s="248">
        <v>1</v>
      </c>
    </row>
    <row r="937" spans="1:5" hidden="1" x14ac:dyDescent="0.2">
      <c r="A937" s="251"/>
      <c r="B937" s="246"/>
      <c r="C937" s="246" t="s">
        <v>1169</v>
      </c>
      <c r="D937" s="247">
        <v>186.35</v>
      </c>
      <c r="E937" s="248">
        <v>1</v>
      </c>
    </row>
    <row r="938" spans="1:5" hidden="1" x14ac:dyDescent="0.2">
      <c r="A938" s="251"/>
      <c r="B938" s="246"/>
      <c r="C938" s="246" t="s">
        <v>1170</v>
      </c>
      <c r="D938" s="247">
        <v>186.35</v>
      </c>
      <c r="E938" s="248">
        <v>1</v>
      </c>
    </row>
    <row r="939" spans="1:5" hidden="1" x14ac:dyDescent="0.2">
      <c r="A939" s="251"/>
      <c r="B939" s="246"/>
      <c r="C939" s="246" t="s">
        <v>1171</v>
      </c>
      <c r="D939" s="247">
        <v>182.88</v>
      </c>
      <c r="E939" s="248">
        <v>2</v>
      </c>
    </row>
    <row r="940" spans="1:5" hidden="1" x14ac:dyDescent="0.2">
      <c r="A940" s="251"/>
      <c r="B940" s="246"/>
      <c r="C940" s="246" t="s">
        <v>1172</v>
      </c>
      <c r="D940" s="247">
        <v>180.69</v>
      </c>
      <c r="E940" s="248">
        <v>1</v>
      </c>
    </row>
    <row r="941" spans="1:5" hidden="1" x14ac:dyDescent="0.2">
      <c r="A941" s="251"/>
      <c r="B941" s="246"/>
      <c r="C941" s="246" t="s">
        <v>1173</v>
      </c>
      <c r="D941" s="247">
        <v>179.5</v>
      </c>
      <c r="E941" s="248">
        <v>2</v>
      </c>
    </row>
    <row r="942" spans="1:5" hidden="1" x14ac:dyDescent="0.2">
      <c r="A942" s="251"/>
      <c r="B942" s="246"/>
      <c r="C942" s="246" t="s">
        <v>1174</v>
      </c>
      <c r="D942" s="247">
        <v>179.16</v>
      </c>
      <c r="E942" s="248">
        <v>1</v>
      </c>
    </row>
    <row r="943" spans="1:5" hidden="1" x14ac:dyDescent="0.2">
      <c r="A943" s="251"/>
      <c r="B943" s="246"/>
      <c r="C943" s="246" t="s">
        <v>1175</v>
      </c>
      <c r="D943" s="247">
        <v>178.64</v>
      </c>
      <c r="E943" s="248">
        <v>2</v>
      </c>
    </row>
    <row r="944" spans="1:5" hidden="1" x14ac:dyDescent="0.2">
      <c r="A944" s="251"/>
      <c r="B944" s="246"/>
      <c r="C944" s="246" t="s">
        <v>1176</v>
      </c>
      <c r="D944" s="247">
        <v>176.04</v>
      </c>
      <c r="E944" s="248">
        <v>2</v>
      </c>
    </row>
    <row r="945" spans="1:5" hidden="1" x14ac:dyDescent="0.2">
      <c r="A945" s="251"/>
      <c r="B945" s="246"/>
      <c r="C945" s="246" t="s">
        <v>1177</v>
      </c>
      <c r="D945" s="247">
        <v>175.35</v>
      </c>
      <c r="E945" s="248">
        <v>1</v>
      </c>
    </row>
    <row r="946" spans="1:5" hidden="1" x14ac:dyDescent="0.2">
      <c r="A946" s="251"/>
      <c r="B946" s="246"/>
      <c r="C946" s="246" t="s">
        <v>1178</v>
      </c>
      <c r="D946" s="247">
        <v>171.46</v>
      </c>
      <c r="E946" s="248">
        <v>1</v>
      </c>
    </row>
    <row r="947" spans="1:5" hidden="1" x14ac:dyDescent="0.2">
      <c r="A947" s="251"/>
      <c r="B947" s="246"/>
      <c r="C947" s="246" t="s">
        <v>1179</v>
      </c>
      <c r="D947" s="247">
        <v>171.46</v>
      </c>
      <c r="E947" s="248">
        <v>1</v>
      </c>
    </row>
    <row r="948" spans="1:5" hidden="1" x14ac:dyDescent="0.2">
      <c r="A948" s="251"/>
      <c r="B948" s="246"/>
      <c r="C948" s="246" t="s">
        <v>1180</v>
      </c>
      <c r="D948" s="247">
        <v>171.46</v>
      </c>
      <c r="E948" s="248">
        <v>1</v>
      </c>
    </row>
    <row r="949" spans="1:5" hidden="1" x14ac:dyDescent="0.2">
      <c r="A949" s="251"/>
      <c r="B949" s="246"/>
      <c r="C949" s="246" t="s">
        <v>1181</v>
      </c>
      <c r="D949" s="247">
        <v>171.11</v>
      </c>
      <c r="E949" s="248">
        <v>1</v>
      </c>
    </row>
    <row r="950" spans="1:5" hidden="1" x14ac:dyDescent="0.2">
      <c r="A950" s="251"/>
      <c r="B950" s="246"/>
      <c r="C950" s="246" t="s">
        <v>1182</v>
      </c>
      <c r="D950" s="247">
        <v>171.01</v>
      </c>
      <c r="E950" s="248">
        <v>2</v>
      </c>
    </row>
    <row r="951" spans="1:5" hidden="1" x14ac:dyDescent="0.2">
      <c r="A951" s="251"/>
      <c r="B951" s="246"/>
      <c r="C951" s="246" t="s">
        <v>1183</v>
      </c>
      <c r="D951" s="247">
        <v>171.01</v>
      </c>
      <c r="E951" s="248">
        <v>2</v>
      </c>
    </row>
    <row r="952" spans="1:5" hidden="1" x14ac:dyDescent="0.2">
      <c r="A952" s="251"/>
      <c r="B952" s="246"/>
      <c r="C952" s="246" t="s">
        <v>1184</v>
      </c>
      <c r="D952" s="247">
        <v>169.41</v>
      </c>
      <c r="E952" s="248">
        <v>1</v>
      </c>
    </row>
    <row r="953" spans="1:5" hidden="1" x14ac:dyDescent="0.2">
      <c r="A953" s="251"/>
      <c r="B953" s="246"/>
      <c r="C953" s="246" t="s">
        <v>1185</v>
      </c>
      <c r="D953" s="247">
        <v>169.41</v>
      </c>
      <c r="E953" s="248">
        <v>1</v>
      </c>
    </row>
    <row r="954" spans="1:5" hidden="1" x14ac:dyDescent="0.2">
      <c r="A954" s="251"/>
      <c r="B954" s="246"/>
      <c r="C954" s="246" t="s">
        <v>1186</v>
      </c>
      <c r="D954" s="247">
        <v>169.41</v>
      </c>
      <c r="E954" s="248">
        <v>1</v>
      </c>
    </row>
    <row r="955" spans="1:5" hidden="1" x14ac:dyDescent="0.2">
      <c r="A955" s="251"/>
      <c r="B955" s="246"/>
      <c r="C955" s="246" t="s">
        <v>1187</v>
      </c>
      <c r="D955" s="247">
        <v>169.41</v>
      </c>
      <c r="E955" s="248">
        <v>1</v>
      </c>
    </row>
    <row r="956" spans="1:5" hidden="1" x14ac:dyDescent="0.2">
      <c r="A956" s="251"/>
      <c r="B956" s="246"/>
      <c r="C956" s="246" t="s">
        <v>1188</v>
      </c>
      <c r="D956" s="247">
        <v>169.41</v>
      </c>
      <c r="E956" s="248">
        <v>1</v>
      </c>
    </row>
    <row r="957" spans="1:5" hidden="1" x14ac:dyDescent="0.2">
      <c r="A957" s="251"/>
      <c r="B957" s="246"/>
      <c r="C957" s="246" t="s">
        <v>2297</v>
      </c>
      <c r="D957" s="247">
        <v>169.41</v>
      </c>
      <c r="E957" s="248">
        <v>1</v>
      </c>
    </row>
    <row r="958" spans="1:5" hidden="1" x14ac:dyDescent="0.2">
      <c r="A958" s="251"/>
      <c r="B958" s="246"/>
      <c r="C958" s="246" t="s">
        <v>1189</v>
      </c>
      <c r="D958" s="247">
        <v>169.41</v>
      </c>
      <c r="E958" s="248">
        <v>1</v>
      </c>
    </row>
    <row r="959" spans="1:5" hidden="1" x14ac:dyDescent="0.2">
      <c r="A959" s="251"/>
      <c r="B959" s="246"/>
      <c r="C959" s="246" t="s">
        <v>2298</v>
      </c>
      <c r="D959" s="247">
        <v>169.41</v>
      </c>
      <c r="E959" s="248">
        <v>1</v>
      </c>
    </row>
    <row r="960" spans="1:5" hidden="1" x14ac:dyDescent="0.2">
      <c r="A960" s="251"/>
      <c r="B960" s="246"/>
      <c r="C960" s="246" t="s">
        <v>2299</v>
      </c>
      <c r="D960" s="247">
        <v>169.41</v>
      </c>
      <c r="E960" s="248">
        <v>1</v>
      </c>
    </row>
    <row r="961" spans="1:5" hidden="1" x14ac:dyDescent="0.2">
      <c r="A961" s="251"/>
      <c r="B961" s="246"/>
      <c r="C961" s="246" t="s">
        <v>1190</v>
      </c>
      <c r="D961" s="247">
        <v>169.4</v>
      </c>
      <c r="E961" s="248">
        <v>1</v>
      </c>
    </row>
    <row r="962" spans="1:5" hidden="1" x14ac:dyDescent="0.2">
      <c r="A962" s="251"/>
      <c r="B962" s="246"/>
      <c r="C962" s="246" t="s">
        <v>1191</v>
      </c>
      <c r="D962" s="247">
        <v>169.4</v>
      </c>
      <c r="E962" s="248">
        <v>1</v>
      </c>
    </row>
    <row r="963" spans="1:5" hidden="1" x14ac:dyDescent="0.2">
      <c r="A963" s="251"/>
      <c r="B963" s="246"/>
      <c r="C963" s="246" t="s">
        <v>1192</v>
      </c>
      <c r="D963" s="247">
        <v>169.4</v>
      </c>
      <c r="E963" s="248">
        <v>1</v>
      </c>
    </row>
    <row r="964" spans="1:5" hidden="1" x14ac:dyDescent="0.2">
      <c r="A964" s="251"/>
      <c r="B964" s="246"/>
      <c r="C964" s="246" t="s">
        <v>1193</v>
      </c>
      <c r="D964" s="247">
        <v>169.4</v>
      </c>
      <c r="E964" s="248">
        <v>1</v>
      </c>
    </row>
    <row r="965" spans="1:5" hidden="1" x14ac:dyDescent="0.2">
      <c r="A965" s="251"/>
      <c r="B965" s="246"/>
      <c r="C965" s="246" t="s">
        <v>1194</v>
      </c>
      <c r="D965" s="247">
        <v>169.4</v>
      </c>
      <c r="E965" s="248">
        <v>1</v>
      </c>
    </row>
    <row r="966" spans="1:5" hidden="1" x14ac:dyDescent="0.2">
      <c r="A966" s="251"/>
      <c r="B966" s="246"/>
      <c r="C966" s="246" t="s">
        <v>1195</v>
      </c>
      <c r="D966" s="247">
        <v>169.4</v>
      </c>
      <c r="E966" s="248">
        <v>1</v>
      </c>
    </row>
    <row r="967" spans="1:5" hidden="1" x14ac:dyDescent="0.2">
      <c r="A967" s="251"/>
      <c r="B967" s="246"/>
      <c r="C967" s="246" t="s">
        <v>1196</v>
      </c>
      <c r="D967" s="247">
        <v>169.4</v>
      </c>
      <c r="E967" s="248">
        <v>1</v>
      </c>
    </row>
    <row r="968" spans="1:5" hidden="1" x14ac:dyDescent="0.2">
      <c r="A968" s="251"/>
      <c r="B968" s="246"/>
      <c r="C968" s="246" t="s">
        <v>1197</v>
      </c>
      <c r="D968" s="247">
        <v>169.33</v>
      </c>
      <c r="E968" s="248">
        <v>2</v>
      </c>
    </row>
    <row r="969" spans="1:5" hidden="1" x14ac:dyDescent="0.2">
      <c r="A969" s="251"/>
      <c r="B969" s="246"/>
      <c r="C969" s="246" t="s">
        <v>1198</v>
      </c>
      <c r="D969" s="247">
        <v>169.33</v>
      </c>
      <c r="E969" s="248">
        <v>2</v>
      </c>
    </row>
    <row r="970" spans="1:5" hidden="1" x14ac:dyDescent="0.2">
      <c r="A970" s="251"/>
      <c r="B970" s="246"/>
      <c r="C970" s="246" t="s">
        <v>1199</v>
      </c>
      <c r="D970" s="247">
        <v>169.33</v>
      </c>
      <c r="E970" s="248">
        <v>2</v>
      </c>
    </row>
    <row r="971" spans="1:5" hidden="1" x14ac:dyDescent="0.2">
      <c r="A971" s="251"/>
      <c r="B971" s="246"/>
      <c r="C971" s="246" t="s">
        <v>1200</v>
      </c>
      <c r="D971" s="247">
        <v>169.33</v>
      </c>
      <c r="E971" s="248">
        <v>2</v>
      </c>
    </row>
    <row r="972" spans="1:5" hidden="1" x14ac:dyDescent="0.2">
      <c r="A972" s="251"/>
      <c r="B972" s="246"/>
      <c r="C972" s="246" t="s">
        <v>1201</v>
      </c>
      <c r="D972" s="247">
        <v>169.32</v>
      </c>
      <c r="E972" s="248">
        <v>2</v>
      </c>
    </row>
    <row r="973" spans="1:5" hidden="1" x14ac:dyDescent="0.2">
      <c r="A973" s="251"/>
      <c r="B973" s="246"/>
      <c r="C973" s="246" t="s">
        <v>1202</v>
      </c>
      <c r="D973" s="247">
        <v>169.32</v>
      </c>
      <c r="E973" s="248">
        <v>2</v>
      </c>
    </row>
    <row r="974" spans="1:5" hidden="1" x14ac:dyDescent="0.2">
      <c r="A974" s="251"/>
      <c r="B974" s="246"/>
      <c r="C974" s="246" t="s">
        <v>1203</v>
      </c>
      <c r="D974" s="247">
        <v>169.32</v>
      </c>
      <c r="E974" s="248">
        <v>2</v>
      </c>
    </row>
    <row r="975" spans="1:5" hidden="1" x14ac:dyDescent="0.2">
      <c r="A975" s="251"/>
      <c r="B975" s="246"/>
      <c r="C975" s="246" t="s">
        <v>1204</v>
      </c>
      <c r="D975" s="247">
        <v>169.16</v>
      </c>
      <c r="E975" s="248">
        <v>4</v>
      </c>
    </row>
    <row r="976" spans="1:5" hidden="1" x14ac:dyDescent="0.2">
      <c r="A976" s="251"/>
      <c r="B976" s="246"/>
      <c r="C976" s="246" t="s">
        <v>1205</v>
      </c>
      <c r="D976" s="247">
        <v>167.72</v>
      </c>
      <c r="E976" s="248">
        <v>1</v>
      </c>
    </row>
    <row r="977" spans="1:5" hidden="1" x14ac:dyDescent="0.2">
      <c r="A977" s="251"/>
      <c r="B977" s="246"/>
      <c r="C977" s="246" t="s">
        <v>1206</v>
      </c>
      <c r="D977" s="247">
        <v>167.72</v>
      </c>
      <c r="E977" s="248">
        <v>1</v>
      </c>
    </row>
    <row r="978" spans="1:5" hidden="1" x14ac:dyDescent="0.2">
      <c r="A978" s="251"/>
      <c r="B978" s="246"/>
      <c r="C978" s="246" t="s">
        <v>1207</v>
      </c>
      <c r="D978" s="247">
        <v>167.72</v>
      </c>
      <c r="E978" s="248">
        <v>1</v>
      </c>
    </row>
    <row r="979" spans="1:5" hidden="1" x14ac:dyDescent="0.2">
      <c r="A979" s="251"/>
      <c r="B979" s="246"/>
      <c r="C979" s="246" t="s">
        <v>1208</v>
      </c>
      <c r="D979" s="247">
        <v>166.87</v>
      </c>
      <c r="E979" s="248">
        <v>1</v>
      </c>
    </row>
    <row r="980" spans="1:5" hidden="1" x14ac:dyDescent="0.2">
      <c r="A980" s="251"/>
      <c r="B980" s="246"/>
      <c r="C980" s="246" t="s">
        <v>1209</v>
      </c>
      <c r="D980" s="247">
        <v>166.87</v>
      </c>
      <c r="E980" s="248">
        <v>1</v>
      </c>
    </row>
    <row r="981" spans="1:5" hidden="1" x14ac:dyDescent="0.2">
      <c r="A981" s="251"/>
      <c r="B981" s="246"/>
      <c r="C981" s="246" t="s">
        <v>1210</v>
      </c>
      <c r="D981" s="247">
        <v>165.93</v>
      </c>
      <c r="E981" s="248">
        <v>2</v>
      </c>
    </row>
    <row r="982" spans="1:5" hidden="1" x14ac:dyDescent="0.2">
      <c r="A982" s="251"/>
      <c r="B982" s="246"/>
      <c r="C982" s="246" t="s">
        <v>1211</v>
      </c>
      <c r="D982" s="247">
        <v>162.55000000000001</v>
      </c>
      <c r="E982" s="248">
        <v>2</v>
      </c>
    </row>
    <row r="983" spans="1:5" hidden="1" x14ac:dyDescent="0.2">
      <c r="A983" s="251"/>
      <c r="B983" s="246"/>
      <c r="C983" s="246" t="s">
        <v>1212</v>
      </c>
      <c r="D983" s="247">
        <v>162.54</v>
      </c>
      <c r="E983" s="248">
        <v>2</v>
      </c>
    </row>
    <row r="984" spans="1:5" hidden="1" x14ac:dyDescent="0.2">
      <c r="A984" s="251"/>
      <c r="B984" s="246"/>
      <c r="C984" s="246" t="s">
        <v>2300</v>
      </c>
      <c r="D984" s="247">
        <v>162.46</v>
      </c>
      <c r="E984" s="248">
        <v>3</v>
      </c>
    </row>
    <row r="985" spans="1:5" hidden="1" x14ac:dyDescent="0.2">
      <c r="A985" s="251"/>
      <c r="B985" s="246"/>
      <c r="C985" s="246" t="s">
        <v>1213</v>
      </c>
      <c r="D985" s="247">
        <v>160.94</v>
      </c>
      <c r="E985" s="248">
        <v>1</v>
      </c>
    </row>
    <row r="986" spans="1:5" hidden="1" x14ac:dyDescent="0.2">
      <c r="A986" s="251"/>
      <c r="B986" s="246"/>
      <c r="C986" s="246" t="s">
        <v>1214</v>
      </c>
      <c r="D986" s="247">
        <v>160.56</v>
      </c>
      <c r="E986" s="248">
        <v>5</v>
      </c>
    </row>
    <row r="987" spans="1:5" hidden="1" x14ac:dyDescent="0.2">
      <c r="A987" s="251"/>
      <c r="B987" s="246"/>
      <c r="C987" s="246" t="s">
        <v>1215</v>
      </c>
      <c r="D987" s="247">
        <v>158.32</v>
      </c>
      <c r="E987" s="248">
        <v>2</v>
      </c>
    </row>
    <row r="988" spans="1:5" hidden="1" x14ac:dyDescent="0.2">
      <c r="A988" s="251"/>
      <c r="B988" s="246"/>
      <c r="C988" s="246" t="s">
        <v>2301</v>
      </c>
      <c r="D988" s="247">
        <v>156.54</v>
      </c>
      <c r="E988" s="248">
        <v>4</v>
      </c>
    </row>
    <row r="989" spans="1:5" hidden="1" x14ac:dyDescent="0.2">
      <c r="A989" s="251"/>
      <c r="B989" s="246"/>
      <c r="C989" s="246" t="s">
        <v>1216</v>
      </c>
      <c r="D989" s="247">
        <v>154.16</v>
      </c>
      <c r="E989" s="248">
        <v>1</v>
      </c>
    </row>
    <row r="990" spans="1:5" hidden="1" x14ac:dyDescent="0.2">
      <c r="A990" s="251"/>
      <c r="B990" s="246"/>
      <c r="C990" s="246" t="s">
        <v>1217</v>
      </c>
      <c r="D990" s="247">
        <v>154.16</v>
      </c>
      <c r="E990" s="248">
        <v>1</v>
      </c>
    </row>
    <row r="991" spans="1:5" hidden="1" x14ac:dyDescent="0.2">
      <c r="A991" s="251"/>
      <c r="B991" s="246"/>
      <c r="C991" s="246" t="s">
        <v>1218</v>
      </c>
      <c r="D991" s="247">
        <v>153.16</v>
      </c>
      <c r="E991" s="248">
        <v>2</v>
      </c>
    </row>
    <row r="992" spans="1:5" hidden="1" x14ac:dyDescent="0.2">
      <c r="A992" s="251"/>
      <c r="B992" s="246"/>
      <c r="C992" s="246" t="s">
        <v>1219</v>
      </c>
      <c r="D992" s="247">
        <v>152.47</v>
      </c>
      <c r="E992" s="248">
        <v>1</v>
      </c>
    </row>
    <row r="993" spans="1:5" hidden="1" x14ac:dyDescent="0.2">
      <c r="A993" s="251"/>
      <c r="B993" s="246"/>
      <c r="C993" s="246" t="s">
        <v>1220</v>
      </c>
      <c r="D993" s="247">
        <v>152.47</v>
      </c>
      <c r="E993" s="248">
        <v>1</v>
      </c>
    </row>
    <row r="994" spans="1:5" hidden="1" x14ac:dyDescent="0.2">
      <c r="A994" s="251"/>
      <c r="B994" s="246"/>
      <c r="C994" s="246" t="s">
        <v>1221</v>
      </c>
      <c r="D994" s="247">
        <v>152.47</v>
      </c>
      <c r="E994" s="248">
        <v>1</v>
      </c>
    </row>
    <row r="995" spans="1:5" hidden="1" x14ac:dyDescent="0.2">
      <c r="A995" s="251"/>
      <c r="B995" s="246"/>
      <c r="C995" s="246" t="s">
        <v>1222</v>
      </c>
      <c r="D995" s="247">
        <v>152.46</v>
      </c>
      <c r="E995" s="248">
        <v>1</v>
      </c>
    </row>
    <row r="996" spans="1:5" hidden="1" x14ac:dyDescent="0.2">
      <c r="A996" s="251"/>
      <c r="B996" s="246"/>
      <c r="C996" s="246" t="s">
        <v>1223</v>
      </c>
      <c r="D996" s="247">
        <v>152.46</v>
      </c>
      <c r="E996" s="248">
        <v>1</v>
      </c>
    </row>
    <row r="997" spans="1:5" hidden="1" x14ac:dyDescent="0.2">
      <c r="A997" s="251"/>
      <c r="B997" s="246"/>
      <c r="C997" s="246" t="s">
        <v>1224</v>
      </c>
      <c r="D997" s="247">
        <v>152.46</v>
      </c>
      <c r="E997" s="248">
        <v>1</v>
      </c>
    </row>
    <row r="998" spans="1:5" hidden="1" x14ac:dyDescent="0.2">
      <c r="A998" s="251"/>
      <c r="B998" s="246"/>
      <c r="C998" s="246" t="s">
        <v>1225</v>
      </c>
      <c r="D998" s="247">
        <v>152.46</v>
      </c>
      <c r="E998" s="248">
        <v>1</v>
      </c>
    </row>
    <row r="999" spans="1:5" hidden="1" x14ac:dyDescent="0.2">
      <c r="A999" s="251"/>
      <c r="B999" s="246"/>
      <c r="C999" s="246" t="s">
        <v>1226</v>
      </c>
      <c r="D999" s="247">
        <v>152.46</v>
      </c>
      <c r="E999" s="248">
        <v>1</v>
      </c>
    </row>
    <row r="1000" spans="1:5" hidden="1" x14ac:dyDescent="0.2">
      <c r="A1000" s="251"/>
      <c r="B1000" s="246"/>
      <c r="C1000" s="246" t="s">
        <v>1227</v>
      </c>
      <c r="D1000" s="247">
        <v>152.46</v>
      </c>
      <c r="E1000" s="248">
        <v>1</v>
      </c>
    </row>
    <row r="1001" spans="1:5" hidden="1" x14ac:dyDescent="0.2">
      <c r="A1001" s="251"/>
      <c r="B1001" s="246"/>
      <c r="C1001" s="246" t="s">
        <v>1228</v>
      </c>
      <c r="D1001" s="247">
        <v>152.38999999999999</v>
      </c>
      <c r="E1001" s="248">
        <v>2</v>
      </c>
    </row>
    <row r="1002" spans="1:5" hidden="1" x14ac:dyDescent="0.2">
      <c r="A1002" s="251"/>
      <c r="B1002" s="246"/>
      <c r="C1002" s="246" t="s">
        <v>1229</v>
      </c>
      <c r="D1002" s="247">
        <v>152.38999999999999</v>
      </c>
      <c r="E1002" s="248">
        <v>2</v>
      </c>
    </row>
    <row r="1003" spans="1:5" hidden="1" x14ac:dyDescent="0.2">
      <c r="A1003" s="251"/>
      <c r="B1003" s="246"/>
      <c r="C1003" s="246" t="s">
        <v>1230</v>
      </c>
      <c r="D1003" s="247">
        <v>152.38</v>
      </c>
      <c r="E1003" s="248">
        <v>2</v>
      </c>
    </row>
    <row r="1004" spans="1:5" hidden="1" x14ac:dyDescent="0.2">
      <c r="A1004" s="251"/>
      <c r="B1004" s="246"/>
      <c r="C1004" s="246" t="s">
        <v>1231</v>
      </c>
      <c r="D1004" s="247">
        <v>152.37</v>
      </c>
      <c r="E1004" s="248">
        <v>2</v>
      </c>
    </row>
    <row r="1005" spans="1:5" hidden="1" x14ac:dyDescent="0.2">
      <c r="A1005" s="251"/>
      <c r="B1005" s="246"/>
      <c r="C1005" s="246" t="s">
        <v>1232</v>
      </c>
      <c r="D1005" s="247">
        <v>150.18</v>
      </c>
      <c r="E1005" s="248">
        <v>1</v>
      </c>
    </row>
    <row r="1006" spans="1:5" hidden="1" x14ac:dyDescent="0.2">
      <c r="A1006" s="251"/>
      <c r="B1006" s="246"/>
      <c r="C1006" s="246" t="s">
        <v>1233</v>
      </c>
      <c r="D1006" s="247">
        <v>150.18</v>
      </c>
      <c r="E1006" s="248">
        <v>1</v>
      </c>
    </row>
    <row r="1007" spans="1:5" hidden="1" x14ac:dyDescent="0.2">
      <c r="A1007" s="251"/>
      <c r="B1007" s="246"/>
      <c r="C1007" s="246" t="s">
        <v>1234</v>
      </c>
      <c r="D1007" s="247">
        <v>149.83000000000001</v>
      </c>
      <c r="E1007" s="248">
        <v>3</v>
      </c>
    </row>
    <row r="1008" spans="1:5" hidden="1" x14ac:dyDescent="0.2">
      <c r="A1008" s="251"/>
      <c r="B1008" s="246"/>
      <c r="C1008" s="246" t="s">
        <v>1235</v>
      </c>
      <c r="D1008" s="247">
        <v>145.68</v>
      </c>
      <c r="E1008" s="248">
        <v>1</v>
      </c>
    </row>
    <row r="1009" spans="1:5" hidden="1" x14ac:dyDescent="0.2">
      <c r="A1009" s="251"/>
      <c r="B1009" s="246"/>
      <c r="C1009" s="246" t="s">
        <v>1236</v>
      </c>
      <c r="D1009" s="247">
        <v>145.6</v>
      </c>
      <c r="E1009" s="248">
        <v>2</v>
      </c>
    </row>
    <row r="1010" spans="1:5" hidden="1" x14ac:dyDescent="0.2">
      <c r="A1010" s="251"/>
      <c r="B1010" s="246"/>
      <c r="C1010" s="246" t="s">
        <v>1237</v>
      </c>
      <c r="D1010" s="247">
        <v>145.6</v>
      </c>
      <c r="E1010" s="248">
        <v>2</v>
      </c>
    </row>
    <row r="1011" spans="1:5" hidden="1" x14ac:dyDescent="0.2">
      <c r="A1011" s="251"/>
      <c r="B1011" s="246"/>
      <c r="C1011" s="246" t="s">
        <v>1238</v>
      </c>
      <c r="D1011" s="247">
        <v>145.59</v>
      </c>
      <c r="E1011" s="248">
        <v>2</v>
      </c>
    </row>
    <row r="1012" spans="1:5" hidden="1" x14ac:dyDescent="0.2">
      <c r="A1012" s="251"/>
      <c r="B1012" s="246"/>
      <c r="C1012" s="246" t="s">
        <v>1239</v>
      </c>
      <c r="D1012" s="247">
        <v>145.43</v>
      </c>
      <c r="E1012" s="248">
        <v>4</v>
      </c>
    </row>
    <row r="1013" spans="1:5" hidden="1" x14ac:dyDescent="0.2">
      <c r="A1013" s="251"/>
      <c r="B1013" s="246"/>
      <c r="C1013" s="246" t="s">
        <v>1240</v>
      </c>
      <c r="D1013" s="247">
        <v>143.99</v>
      </c>
      <c r="E1013" s="248">
        <v>1</v>
      </c>
    </row>
    <row r="1014" spans="1:5" hidden="1" x14ac:dyDescent="0.2">
      <c r="A1014" s="251"/>
      <c r="B1014" s="246"/>
      <c r="C1014" s="246" t="s">
        <v>1241</v>
      </c>
      <c r="D1014" s="247">
        <v>143.99</v>
      </c>
      <c r="E1014" s="248">
        <v>1</v>
      </c>
    </row>
    <row r="1015" spans="1:5" hidden="1" x14ac:dyDescent="0.2">
      <c r="A1015" s="251"/>
      <c r="B1015" s="246"/>
      <c r="C1015" s="246" t="s">
        <v>1242</v>
      </c>
      <c r="D1015" s="247">
        <v>143.99</v>
      </c>
      <c r="E1015" s="248">
        <v>1</v>
      </c>
    </row>
    <row r="1016" spans="1:5" hidden="1" x14ac:dyDescent="0.2">
      <c r="A1016" s="251"/>
      <c r="B1016" s="246"/>
      <c r="C1016" s="246" t="s">
        <v>1243</v>
      </c>
      <c r="D1016" s="247">
        <v>143.99</v>
      </c>
      <c r="E1016" s="248">
        <v>1</v>
      </c>
    </row>
    <row r="1017" spans="1:5" hidden="1" x14ac:dyDescent="0.2">
      <c r="A1017" s="251"/>
      <c r="B1017" s="246"/>
      <c r="C1017" s="246" t="s">
        <v>1244</v>
      </c>
      <c r="D1017" s="247">
        <v>143.99</v>
      </c>
      <c r="E1017" s="248">
        <v>1</v>
      </c>
    </row>
    <row r="1018" spans="1:5" hidden="1" x14ac:dyDescent="0.2">
      <c r="A1018" s="251"/>
      <c r="B1018" s="246"/>
      <c r="C1018" s="246" t="s">
        <v>1245</v>
      </c>
      <c r="D1018" s="247">
        <v>143.99</v>
      </c>
      <c r="E1018" s="248">
        <v>1</v>
      </c>
    </row>
    <row r="1019" spans="1:5" hidden="1" x14ac:dyDescent="0.2">
      <c r="A1019" s="251"/>
      <c r="B1019" s="246"/>
      <c r="C1019" s="246" t="s">
        <v>1246</v>
      </c>
      <c r="D1019" s="247">
        <v>143.99</v>
      </c>
      <c r="E1019" s="248">
        <v>1</v>
      </c>
    </row>
    <row r="1020" spans="1:5" hidden="1" x14ac:dyDescent="0.2">
      <c r="A1020" s="251"/>
      <c r="B1020" s="246"/>
      <c r="C1020" s="246" t="s">
        <v>1247</v>
      </c>
      <c r="D1020" s="247">
        <v>143.99</v>
      </c>
      <c r="E1020" s="248">
        <v>1</v>
      </c>
    </row>
    <row r="1021" spans="1:5" hidden="1" x14ac:dyDescent="0.2">
      <c r="A1021" s="251"/>
      <c r="B1021" s="246"/>
      <c r="C1021" s="246" t="s">
        <v>1248</v>
      </c>
      <c r="D1021" s="247">
        <v>143.99</v>
      </c>
      <c r="E1021" s="248">
        <v>1</v>
      </c>
    </row>
    <row r="1022" spans="1:5" hidden="1" x14ac:dyDescent="0.2">
      <c r="A1022" s="251"/>
      <c r="B1022" s="246"/>
      <c r="C1022" s="246" t="s">
        <v>1249</v>
      </c>
      <c r="D1022" s="247">
        <v>143.99</v>
      </c>
      <c r="E1022" s="248">
        <v>1</v>
      </c>
    </row>
    <row r="1023" spans="1:5" hidden="1" x14ac:dyDescent="0.2">
      <c r="A1023" s="251"/>
      <c r="B1023" s="246"/>
      <c r="C1023" s="246" t="s">
        <v>1250</v>
      </c>
      <c r="D1023" s="247">
        <v>143.99</v>
      </c>
      <c r="E1023" s="248">
        <v>1</v>
      </c>
    </row>
    <row r="1024" spans="1:5" hidden="1" x14ac:dyDescent="0.2">
      <c r="A1024" s="251"/>
      <c r="B1024" s="246"/>
      <c r="C1024" s="246" t="s">
        <v>1251</v>
      </c>
      <c r="D1024" s="247">
        <v>143.99</v>
      </c>
      <c r="E1024" s="248">
        <v>1</v>
      </c>
    </row>
    <row r="1025" spans="1:5" hidden="1" x14ac:dyDescent="0.2">
      <c r="A1025" s="251"/>
      <c r="B1025" s="246"/>
      <c r="C1025" s="246" t="s">
        <v>1252</v>
      </c>
      <c r="D1025" s="247">
        <v>143.99</v>
      </c>
      <c r="E1025" s="248">
        <v>1</v>
      </c>
    </row>
    <row r="1026" spans="1:5" hidden="1" x14ac:dyDescent="0.2">
      <c r="A1026" s="251"/>
      <c r="B1026" s="246"/>
      <c r="C1026" s="246" t="s">
        <v>1253</v>
      </c>
      <c r="D1026" s="247">
        <v>143.99</v>
      </c>
      <c r="E1026" s="248">
        <v>1</v>
      </c>
    </row>
    <row r="1027" spans="1:5" hidden="1" x14ac:dyDescent="0.2">
      <c r="A1027" s="251"/>
      <c r="B1027" s="246"/>
      <c r="C1027" s="246" t="s">
        <v>1254</v>
      </c>
      <c r="D1027" s="247">
        <v>143.99</v>
      </c>
      <c r="E1027" s="248">
        <v>1</v>
      </c>
    </row>
    <row r="1028" spans="1:5" hidden="1" x14ac:dyDescent="0.2">
      <c r="A1028" s="251"/>
      <c r="B1028" s="246"/>
      <c r="C1028" s="246" t="s">
        <v>1255</v>
      </c>
      <c r="D1028" s="247">
        <v>143.99</v>
      </c>
      <c r="E1028" s="248">
        <v>1</v>
      </c>
    </row>
    <row r="1029" spans="1:5" hidden="1" x14ac:dyDescent="0.2">
      <c r="A1029" s="251"/>
      <c r="B1029" s="246"/>
      <c r="C1029" s="246" t="s">
        <v>1256</v>
      </c>
      <c r="D1029" s="247">
        <v>143.99</v>
      </c>
      <c r="E1029" s="248">
        <v>1</v>
      </c>
    </row>
    <row r="1030" spans="1:5" hidden="1" x14ac:dyDescent="0.2">
      <c r="A1030" s="251"/>
      <c r="B1030" s="246"/>
      <c r="C1030" s="246" t="s">
        <v>1257</v>
      </c>
      <c r="D1030" s="247">
        <v>143.99</v>
      </c>
      <c r="E1030" s="248">
        <v>1</v>
      </c>
    </row>
    <row r="1031" spans="1:5" hidden="1" x14ac:dyDescent="0.2">
      <c r="A1031" s="251"/>
      <c r="B1031" s="246"/>
      <c r="C1031" s="246" t="s">
        <v>1258</v>
      </c>
      <c r="D1031" s="247">
        <v>143.99</v>
      </c>
      <c r="E1031" s="248">
        <v>1</v>
      </c>
    </row>
    <row r="1032" spans="1:5" hidden="1" x14ac:dyDescent="0.2">
      <c r="A1032" s="251"/>
      <c r="B1032" s="246"/>
      <c r="C1032" s="246" t="s">
        <v>1259</v>
      </c>
      <c r="D1032" s="247">
        <v>143.99</v>
      </c>
      <c r="E1032" s="248">
        <v>1</v>
      </c>
    </row>
    <row r="1033" spans="1:5" hidden="1" x14ac:dyDescent="0.2">
      <c r="A1033" s="251"/>
      <c r="B1033" s="246"/>
      <c r="C1033" s="246" t="s">
        <v>1260</v>
      </c>
      <c r="D1033" s="247">
        <v>143.99</v>
      </c>
      <c r="E1033" s="248">
        <v>1</v>
      </c>
    </row>
    <row r="1034" spans="1:5" hidden="1" x14ac:dyDescent="0.2">
      <c r="A1034" s="251"/>
      <c r="B1034" s="246"/>
      <c r="C1034" s="246" t="s">
        <v>1261</v>
      </c>
      <c r="D1034" s="247">
        <v>143.99</v>
      </c>
      <c r="E1034" s="248">
        <v>1</v>
      </c>
    </row>
    <row r="1035" spans="1:5" hidden="1" x14ac:dyDescent="0.2">
      <c r="A1035" s="251"/>
      <c r="B1035" s="246"/>
      <c r="C1035" s="246" t="s">
        <v>1262</v>
      </c>
      <c r="D1035" s="247">
        <v>143.99</v>
      </c>
      <c r="E1035" s="248">
        <v>1</v>
      </c>
    </row>
    <row r="1036" spans="1:5" hidden="1" x14ac:dyDescent="0.2">
      <c r="A1036" s="251"/>
      <c r="B1036" s="246"/>
      <c r="C1036" s="246" t="s">
        <v>2302</v>
      </c>
      <c r="D1036" s="247">
        <v>143.99</v>
      </c>
      <c r="E1036" s="248">
        <v>1</v>
      </c>
    </row>
    <row r="1037" spans="1:5" hidden="1" x14ac:dyDescent="0.2">
      <c r="A1037" s="251"/>
      <c r="B1037" s="246"/>
      <c r="C1037" s="246" t="s">
        <v>2303</v>
      </c>
      <c r="D1037" s="247">
        <v>143.99</v>
      </c>
      <c r="E1037" s="248">
        <v>1</v>
      </c>
    </row>
    <row r="1038" spans="1:5" hidden="1" x14ac:dyDescent="0.2">
      <c r="A1038" s="251"/>
      <c r="B1038" s="246"/>
      <c r="C1038" s="246" t="s">
        <v>1263</v>
      </c>
      <c r="D1038" s="247">
        <v>143.99</v>
      </c>
      <c r="E1038" s="248">
        <v>1</v>
      </c>
    </row>
    <row r="1039" spans="1:5" hidden="1" x14ac:dyDescent="0.2">
      <c r="A1039" s="251"/>
      <c r="B1039" s="246"/>
      <c r="C1039" s="246" t="s">
        <v>1264</v>
      </c>
      <c r="D1039" s="247">
        <v>143.99</v>
      </c>
      <c r="E1039" s="248">
        <v>1</v>
      </c>
    </row>
    <row r="1040" spans="1:5" hidden="1" x14ac:dyDescent="0.2">
      <c r="A1040" s="251"/>
      <c r="B1040" s="246"/>
      <c r="C1040" s="246" t="s">
        <v>1265</v>
      </c>
      <c r="D1040" s="247">
        <v>143.99</v>
      </c>
      <c r="E1040" s="248">
        <v>1</v>
      </c>
    </row>
    <row r="1041" spans="1:5" hidden="1" x14ac:dyDescent="0.2">
      <c r="A1041" s="251"/>
      <c r="B1041" s="246"/>
      <c r="C1041" s="246" t="s">
        <v>1266</v>
      </c>
      <c r="D1041" s="247">
        <v>143.99</v>
      </c>
      <c r="E1041" s="248">
        <v>1</v>
      </c>
    </row>
    <row r="1042" spans="1:5" hidden="1" x14ac:dyDescent="0.2">
      <c r="A1042" s="251"/>
      <c r="B1042" s="246"/>
      <c r="C1042" s="246" t="s">
        <v>1267</v>
      </c>
      <c r="D1042" s="247">
        <v>143.99</v>
      </c>
      <c r="E1042" s="248">
        <v>1</v>
      </c>
    </row>
    <row r="1043" spans="1:5" hidden="1" x14ac:dyDescent="0.2">
      <c r="A1043" s="251"/>
      <c r="B1043" s="246"/>
      <c r="C1043" s="246" t="s">
        <v>1268</v>
      </c>
      <c r="D1043" s="247">
        <v>143.99</v>
      </c>
      <c r="E1043" s="248">
        <v>1</v>
      </c>
    </row>
    <row r="1044" spans="1:5" hidden="1" x14ac:dyDescent="0.2">
      <c r="A1044" s="251"/>
      <c r="B1044" s="246"/>
      <c r="C1044" s="246" t="s">
        <v>1269</v>
      </c>
      <c r="D1044" s="247">
        <v>143.99</v>
      </c>
      <c r="E1044" s="248">
        <v>1</v>
      </c>
    </row>
    <row r="1045" spans="1:5" hidden="1" x14ac:dyDescent="0.2">
      <c r="A1045" s="251"/>
      <c r="B1045" s="246"/>
      <c r="C1045" s="246" t="s">
        <v>1270</v>
      </c>
      <c r="D1045" s="247">
        <v>143.99</v>
      </c>
      <c r="E1045" s="248">
        <v>1</v>
      </c>
    </row>
    <row r="1046" spans="1:5" hidden="1" x14ac:dyDescent="0.2">
      <c r="A1046" s="251"/>
      <c r="B1046" s="246"/>
      <c r="C1046" s="246" t="s">
        <v>2304</v>
      </c>
      <c r="D1046" s="247">
        <v>143.99</v>
      </c>
      <c r="E1046" s="248">
        <v>1</v>
      </c>
    </row>
    <row r="1047" spans="1:5" hidden="1" x14ac:dyDescent="0.2">
      <c r="A1047" s="251"/>
      <c r="B1047" s="246"/>
      <c r="C1047" s="246" t="s">
        <v>1271</v>
      </c>
      <c r="D1047" s="247">
        <v>143.99</v>
      </c>
      <c r="E1047" s="248">
        <v>1</v>
      </c>
    </row>
    <row r="1048" spans="1:5" hidden="1" x14ac:dyDescent="0.2">
      <c r="A1048" s="251"/>
      <c r="B1048" s="246"/>
      <c r="C1048" s="246" t="s">
        <v>1272</v>
      </c>
      <c r="D1048" s="247">
        <v>143.99</v>
      </c>
      <c r="E1048" s="248">
        <v>1</v>
      </c>
    </row>
    <row r="1049" spans="1:5" hidden="1" x14ac:dyDescent="0.2">
      <c r="A1049" s="251"/>
      <c r="B1049" s="246"/>
      <c r="C1049" s="246" t="s">
        <v>1273</v>
      </c>
      <c r="D1049" s="247">
        <v>143.99</v>
      </c>
      <c r="E1049" s="248">
        <v>1</v>
      </c>
    </row>
    <row r="1050" spans="1:5" hidden="1" x14ac:dyDescent="0.2">
      <c r="A1050" s="251"/>
      <c r="B1050" s="246"/>
      <c r="C1050" s="246" t="s">
        <v>1274</v>
      </c>
      <c r="D1050" s="247">
        <v>143.99</v>
      </c>
      <c r="E1050" s="248">
        <v>1</v>
      </c>
    </row>
    <row r="1051" spans="1:5" hidden="1" x14ac:dyDescent="0.2">
      <c r="A1051" s="251"/>
      <c r="B1051" s="246"/>
      <c r="C1051" s="246" t="s">
        <v>1275</v>
      </c>
      <c r="D1051" s="247">
        <v>143.99</v>
      </c>
      <c r="E1051" s="248">
        <v>1</v>
      </c>
    </row>
    <row r="1052" spans="1:5" hidden="1" x14ac:dyDescent="0.2">
      <c r="A1052" s="251"/>
      <c r="B1052" s="246"/>
      <c r="C1052" s="246" t="s">
        <v>1276</v>
      </c>
      <c r="D1052" s="247">
        <v>143.99</v>
      </c>
      <c r="E1052" s="248">
        <v>1</v>
      </c>
    </row>
    <row r="1053" spans="1:5" hidden="1" x14ac:dyDescent="0.2">
      <c r="A1053" s="251"/>
      <c r="B1053" s="246"/>
      <c r="C1053" s="246" t="s">
        <v>1277</v>
      </c>
      <c r="D1053" s="247">
        <v>143.99</v>
      </c>
      <c r="E1053" s="248">
        <v>1</v>
      </c>
    </row>
    <row r="1054" spans="1:5" hidden="1" x14ac:dyDescent="0.2">
      <c r="A1054" s="251"/>
      <c r="B1054" s="246"/>
      <c r="C1054" s="246" t="s">
        <v>1278</v>
      </c>
      <c r="D1054" s="247">
        <v>143.99</v>
      </c>
      <c r="E1054" s="248">
        <v>1</v>
      </c>
    </row>
    <row r="1055" spans="1:5" hidden="1" x14ac:dyDescent="0.2">
      <c r="A1055" s="251"/>
      <c r="B1055" s="246"/>
      <c r="C1055" s="246" t="s">
        <v>1279</v>
      </c>
      <c r="D1055" s="247">
        <v>143.99</v>
      </c>
      <c r="E1055" s="248">
        <v>1</v>
      </c>
    </row>
    <row r="1056" spans="1:5" hidden="1" x14ac:dyDescent="0.2">
      <c r="A1056" s="251"/>
      <c r="B1056" s="246"/>
      <c r="C1056" s="246" t="s">
        <v>1280</v>
      </c>
      <c r="D1056" s="247">
        <v>143.99</v>
      </c>
      <c r="E1056" s="248">
        <v>1</v>
      </c>
    </row>
    <row r="1057" spans="1:5" hidden="1" x14ac:dyDescent="0.2">
      <c r="A1057" s="251"/>
      <c r="B1057" s="246"/>
      <c r="C1057" s="246" t="s">
        <v>1281</v>
      </c>
      <c r="D1057" s="247">
        <v>143.99</v>
      </c>
      <c r="E1057" s="248">
        <v>1</v>
      </c>
    </row>
    <row r="1058" spans="1:5" hidden="1" x14ac:dyDescent="0.2">
      <c r="A1058" s="251"/>
      <c r="B1058" s="246"/>
      <c r="C1058" s="246" t="s">
        <v>1282</v>
      </c>
      <c r="D1058" s="247">
        <v>143.99</v>
      </c>
      <c r="E1058" s="248">
        <v>1</v>
      </c>
    </row>
    <row r="1059" spans="1:5" hidden="1" x14ac:dyDescent="0.2">
      <c r="A1059" s="251"/>
      <c r="B1059" s="246"/>
      <c r="C1059" s="246" t="s">
        <v>1283</v>
      </c>
      <c r="D1059" s="247">
        <v>143.99</v>
      </c>
      <c r="E1059" s="248">
        <v>1</v>
      </c>
    </row>
    <row r="1060" spans="1:5" hidden="1" x14ac:dyDescent="0.2">
      <c r="A1060" s="251"/>
      <c r="B1060" s="246"/>
      <c r="C1060" s="246" t="s">
        <v>1284</v>
      </c>
      <c r="D1060" s="247">
        <v>143.99</v>
      </c>
      <c r="E1060" s="248">
        <v>1</v>
      </c>
    </row>
    <row r="1061" spans="1:5" hidden="1" x14ac:dyDescent="0.2">
      <c r="A1061" s="251"/>
      <c r="B1061" s="246"/>
      <c r="C1061" s="246" t="s">
        <v>1285</v>
      </c>
      <c r="D1061" s="247">
        <v>143.99</v>
      </c>
      <c r="E1061" s="248">
        <v>1</v>
      </c>
    </row>
    <row r="1062" spans="1:5" hidden="1" x14ac:dyDescent="0.2">
      <c r="A1062" s="251"/>
      <c r="B1062" s="246"/>
      <c r="C1062" s="246" t="s">
        <v>1286</v>
      </c>
      <c r="D1062" s="247">
        <v>143.99</v>
      </c>
      <c r="E1062" s="248">
        <v>1</v>
      </c>
    </row>
    <row r="1063" spans="1:5" hidden="1" x14ac:dyDescent="0.2">
      <c r="A1063" s="251"/>
      <c r="B1063" s="246"/>
      <c r="C1063" s="246" t="s">
        <v>1287</v>
      </c>
      <c r="D1063" s="247">
        <v>143.99</v>
      </c>
      <c r="E1063" s="248">
        <v>1</v>
      </c>
    </row>
    <row r="1064" spans="1:5" hidden="1" x14ac:dyDescent="0.2">
      <c r="A1064" s="251"/>
      <c r="B1064" s="246"/>
      <c r="C1064" s="246" t="s">
        <v>1288</v>
      </c>
      <c r="D1064" s="247">
        <v>143.99</v>
      </c>
      <c r="E1064" s="248">
        <v>1</v>
      </c>
    </row>
    <row r="1065" spans="1:5" hidden="1" x14ac:dyDescent="0.2">
      <c r="A1065" s="251"/>
      <c r="B1065" s="246"/>
      <c r="C1065" s="246" t="s">
        <v>1289</v>
      </c>
      <c r="D1065" s="247">
        <v>143.99</v>
      </c>
      <c r="E1065" s="248">
        <v>1</v>
      </c>
    </row>
    <row r="1066" spans="1:5" hidden="1" x14ac:dyDescent="0.2">
      <c r="A1066" s="251"/>
      <c r="B1066" s="246"/>
      <c r="C1066" s="246" t="s">
        <v>1290</v>
      </c>
      <c r="D1066" s="247">
        <v>143.99</v>
      </c>
      <c r="E1066" s="248">
        <v>1</v>
      </c>
    </row>
    <row r="1067" spans="1:5" hidden="1" x14ac:dyDescent="0.2">
      <c r="A1067" s="251"/>
      <c r="B1067" s="246"/>
      <c r="C1067" s="246" t="s">
        <v>1291</v>
      </c>
      <c r="D1067" s="247">
        <v>143.99</v>
      </c>
      <c r="E1067" s="248">
        <v>1</v>
      </c>
    </row>
    <row r="1068" spans="1:5" hidden="1" x14ac:dyDescent="0.2">
      <c r="A1068" s="251"/>
      <c r="B1068" s="246"/>
      <c r="C1068" s="246" t="s">
        <v>1292</v>
      </c>
      <c r="D1068" s="247">
        <v>143.99</v>
      </c>
      <c r="E1068" s="248">
        <v>1</v>
      </c>
    </row>
    <row r="1069" spans="1:5" hidden="1" x14ac:dyDescent="0.2">
      <c r="A1069" s="251"/>
      <c r="B1069" s="246"/>
      <c r="C1069" s="246" t="s">
        <v>1293</v>
      </c>
      <c r="D1069" s="247">
        <v>143.99</v>
      </c>
      <c r="E1069" s="248">
        <v>1</v>
      </c>
    </row>
    <row r="1070" spans="1:5" hidden="1" x14ac:dyDescent="0.2">
      <c r="A1070" s="251"/>
      <c r="B1070" s="246"/>
      <c r="C1070" s="246" t="s">
        <v>1295</v>
      </c>
      <c r="D1070" s="247">
        <v>143.99</v>
      </c>
      <c r="E1070" s="248">
        <v>1</v>
      </c>
    </row>
    <row r="1071" spans="1:5" hidden="1" x14ac:dyDescent="0.2">
      <c r="A1071" s="251"/>
      <c r="B1071" s="246"/>
      <c r="C1071" s="246" t="s">
        <v>1294</v>
      </c>
      <c r="D1071" s="247">
        <v>143.99</v>
      </c>
      <c r="E1071" s="248">
        <v>1</v>
      </c>
    </row>
    <row r="1072" spans="1:5" hidden="1" x14ac:dyDescent="0.2">
      <c r="A1072" s="251"/>
      <c r="B1072" s="246"/>
      <c r="C1072" s="246" t="s">
        <v>1296</v>
      </c>
      <c r="D1072" s="247">
        <v>143.99</v>
      </c>
      <c r="E1072" s="248">
        <v>1</v>
      </c>
    </row>
    <row r="1073" spans="1:5" hidden="1" x14ac:dyDescent="0.2">
      <c r="A1073" s="251"/>
      <c r="B1073" s="246"/>
      <c r="C1073" s="246" t="s">
        <v>1297</v>
      </c>
      <c r="D1073" s="247">
        <v>143.99</v>
      </c>
      <c r="E1073" s="248">
        <v>1</v>
      </c>
    </row>
    <row r="1074" spans="1:5" hidden="1" x14ac:dyDescent="0.2">
      <c r="A1074" s="251"/>
      <c r="B1074" s="246"/>
      <c r="C1074" s="246" t="s">
        <v>1298</v>
      </c>
      <c r="D1074" s="247">
        <v>143.99</v>
      </c>
      <c r="E1074" s="248">
        <v>1</v>
      </c>
    </row>
    <row r="1075" spans="1:5" hidden="1" x14ac:dyDescent="0.2">
      <c r="A1075" s="251"/>
      <c r="B1075" s="246"/>
      <c r="C1075" s="246" t="s">
        <v>1299</v>
      </c>
      <c r="D1075" s="247">
        <v>143.99</v>
      </c>
      <c r="E1075" s="248">
        <v>1</v>
      </c>
    </row>
    <row r="1076" spans="1:5" hidden="1" x14ac:dyDescent="0.2">
      <c r="A1076" s="251"/>
      <c r="B1076" s="246"/>
      <c r="C1076" s="246" t="s">
        <v>1300</v>
      </c>
      <c r="D1076" s="247">
        <v>143.99</v>
      </c>
      <c r="E1076" s="248">
        <v>1</v>
      </c>
    </row>
    <row r="1077" spans="1:5" hidden="1" x14ac:dyDescent="0.2">
      <c r="A1077" s="251"/>
      <c r="B1077" s="246"/>
      <c r="C1077" s="246" t="s">
        <v>1301</v>
      </c>
      <c r="D1077" s="247">
        <v>143.99</v>
      </c>
      <c r="E1077" s="248">
        <v>1</v>
      </c>
    </row>
    <row r="1078" spans="1:5" hidden="1" x14ac:dyDescent="0.2">
      <c r="A1078" s="251"/>
      <c r="B1078" s="246"/>
      <c r="C1078" s="246" t="s">
        <v>1302</v>
      </c>
      <c r="D1078" s="247">
        <v>143.99</v>
      </c>
      <c r="E1078" s="248">
        <v>1</v>
      </c>
    </row>
    <row r="1079" spans="1:5" hidden="1" x14ac:dyDescent="0.2">
      <c r="A1079" s="251"/>
      <c r="B1079" s="246"/>
      <c r="C1079" s="246" t="s">
        <v>1303</v>
      </c>
      <c r="D1079" s="247">
        <v>143.99</v>
      </c>
      <c r="E1079" s="248">
        <v>1</v>
      </c>
    </row>
    <row r="1080" spans="1:5" hidden="1" x14ac:dyDescent="0.2">
      <c r="A1080" s="251"/>
      <c r="B1080" s="246"/>
      <c r="C1080" s="246" t="s">
        <v>1304</v>
      </c>
      <c r="D1080" s="247">
        <v>143.99</v>
      </c>
      <c r="E1080" s="248">
        <v>1</v>
      </c>
    </row>
    <row r="1081" spans="1:5" hidden="1" x14ac:dyDescent="0.2">
      <c r="A1081" s="251"/>
      <c r="B1081" s="246"/>
      <c r="C1081" s="246" t="s">
        <v>2305</v>
      </c>
      <c r="D1081" s="247">
        <v>143.99</v>
      </c>
      <c r="E1081" s="248">
        <v>1</v>
      </c>
    </row>
    <row r="1082" spans="1:5" hidden="1" x14ac:dyDescent="0.2">
      <c r="A1082" s="251"/>
      <c r="B1082" s="246"/>
      <c r="C1082" s="246" t="s">
        <v>1305</v>
      </c>
      <c r="D1082" s="247">
        <v>143.99</v>
      </c>
      <c r="E1082" s="248">
        <v>1</v>
      </c>
    </row>
    <row r="1083" spans="1:5" hidden="1" x14ac:dyDescent="0.2">
      <c r="A1083" s="251"/>
      <c r="B1083" s="246"/>
      <c r="C1083" s="246" t="s">
        <v>1306</v>
      </c>
      <c r="D1083" s="247">
        <v>143.99</v>
      </c>
      <c r="E1083" s="248">
        <v>1</v>
      </c>
    </row>
    <row r="1084" spans="1:5" hidden="1" x14ac:dyDescent="0.2">
      <c r="A1084" s="251"/>
      <c r="B1084" s="246"/>
      <c r="C1084" s="246" t="s">
        <v>1307</v>
      </c>
      <c r="D1084" s="247">
        <v>143.99</v>
      </c>
      <c r="E1084" s="248">
        <v>1</v>
      </c>
    </row>
    <row r="1085" spans="1:5" hidden="1" x14ac:dyDescent="0.2">
      <c r="A1085" s="251"/>
      <c r="B1085" s="246"/>
      <c r="C1085" s="246" t="s">
        <v>1308</v>
      </c>
      <c r="D1085" s="247">
        <v>143.99</v>
      </c>
      <c r="E1085" s="248">
        <v>1</v>
      </c>
    </row>
    <row r="1086" spans="1:5" hidden="1" x14ac:dyDescent="0.2">
      <c r="A1086" s="251"/>
      <c r="B1086" s="246"/>
      <c r="C1086" s="246" t="s">
        <v>1309</v>
      </c>
      <c r="D1086" s="247">
        <v>143.99</v>
      </c>
      <c r="E1086" s="248">
        <v>1</v>
      </c>
    </row>
    <row r="1087" spans="1:5" hidden="1" x14ac:dyDescent="0.2">
      <c r="A1087" s="251"/>
      <c r="B1087" s="246"/>
      <c r="C1087" s="246" t="s">
        <v>1310</v>
      </c>
      <c r="D1087" s="247">
        <v>143.99</v>
      </c>
      <c r="E1087" s="248">
        <v>1</v>
      </c>
    </row>
    <row r="1088" spans="1:5" hidden="1" x14ac:dyDescent="0.2">
      <c r="A1088" s="251"/>
      <c r="B1088" s="246"/>
      <c r="C1088" s="246" t="s">
        <v>1311</v>
      </c>
      <c r="D1088" s="247">
        <v>143.99</v>
      </c>
      <c r="E1088" s="248">
        <v>1</v>
      </c>
    </row>
    <row r="1089" spans="1:5" hidden="1" x14ac:dyDescent="0.2">
      <c r="A1089" s="251"/>
      <c r="B1089" s="246"/>
      <c r="C1089" s="246" t="s">
        <v>1312</v>
      </c>
      <c r="D1089" s="247">
        <v>143.99</v>
      </c>
      <c r="E1089" s="248">
        <v>1</v>
      </c>
    </row>
    <row r="1090" spans="1:5" hidden="1" x14ac:dyDescent="0.2">
      <c r="A1090" s="251"/>
      <c r="B1090" s="246"/>
      <c r="C1090" s="246" t="s">
        <v>1313</v>
      </c>
      <c r="D1090" s="247">
        <v>143.99</v>
      </c>
      <c r="E1090" s="248">
        <v>1</v>
      </c>
    </row>
    <row r="1091" spans="1:5" hidden="1" x14ac:dyDescent="0.2">
      <c r="A1091" s="251"/>
      <c r="B1091" s="246"/>
      <c r="C1091" s="246" t="s">
        <v>1314</v>
      </c>
      <c r="D1091" s="247">
        <v>143.99</v>
      </c>
      <c r="E1091" s="248">
        <v>1</v>
      </c>
    </row>
    <row r="1092" spans="1:5" hidden="1" x14ac:dyDescent="0.2">
      <c r="A1092" s="251"/>
      <c r="B1092" s="246"/>
      <c r="C1092" s="246" t="s">
        <v>1315</v>
      </c>
      <c r="D1092" s="247">
        <v>143.99</v>
      </c>
      <c r="E1092" s="248">
        <v>1</v>
      </c>
    </row>
    <row r="1093" spans="1:5" hidden="1" x14ac:dyDescent="0.2">
      <c r="A1093" s="251"/>
      <c r="B1093" s="246"/>
      <c r="C1093" s="246" t="s">
        <v>1316</v>
      </c>
      <c r="D1093" s="247">
        <v>143.99</v>
      </c>
      <c r="E1093" s="248">
        <v>1</v>
      </c>
    </row>
    <row r="1094" spans="1:5" hidden="1" x14ac:dyDescent="0.2">
      <c r="A1094" s="251"/>
      <c r="B1094" s="246"/>
      <c r="C1094" s="246" t="s">
        <v>1317</v>
      </c>
      <c r="D1094" s="247">
        <v>143.99</v>
      </c>
      <c r="E1094" s="248">
        <v>1</v>
      </c>
    </row>
    <row r="1095" spans="1:5" hidden="1" x14ac:dyDescent="0.2">
      <c r="A1095" s="251"/>
      <c r="B1095" s="246"/>
      <c r="C1095" s="246" t="s">
        <v>1318</v>
      </c>
      <c r="D1095" s="247">
        <v>143.99</v>
      </c>
      <c r="E1095" s="248">
        <v>1</v>
      </c>
    </row>
    <row r="1096" spans="1:5" hidden="1" x14ac:dyDescent="0.2">
      <c r="A1096" s="251"/>
      <c r="B1096" s="246"/>
      <c r="C1096" s="246" t="s">
        <v>1319</v>
      </c>
      <c r="D1096" s="247">
        <v>143.99</v>
      </c>
      <c r="E1096" s="248">
        <v>1</v>
      </c>
    </row>
    <row r="1097" spans="1:5" hidden="1" x14ac:dyDescent="0.2">
      <c r="A1097" s="251"/>
      <c r="B1097" s="246"/>
      <c r="C1097" s="246" t="s">
        <v>1320</v>
      </c>
      <c r="D1097" s="247">
        <v>143.99</v>
      </c>
      <c r="E1097" s="248">
        <v>1</v>
      </c>
    </row>
    <row r="1098" spans="1:5" hidden="1" x14ac:dyDescent="0.2">
      <c r="A1098" s="251"/>
      <c r="B1098" s="246"/>
      <c r="C1098" s="246" t="s">
        <v>1321</v>
      </c>
      <c r="D1098" s="247">
        <v>143.99</v>
      </c>
      <c r="E1098" s="248">
        <v>1</v>
      </c>
    </row>
    <row r="1099" spans="1:5" hidden="1" x14ac:dyDescent="0.2">
      <c r="A1099" s="251"/>
      <c r="B1099" s="246"/>
      <c r="C1099" s="246" t="s">
        <v>1322</v>
      </c>
      <c r="D1099" s="247">
        <v>143.99</v>
      </c>
      <c r="E1099" s="248">
        <v>1</v>
      </c>
    </row>
    <row r="1100" spans="1:5" hidden="1" x14ac:dyDescent="0.2">
      <c r="A1100" s="251"/>
      <c r="B1100" s="246"/>
      <c r="C1100" s="246" t="s">
        <v>1323</v>
      </c>
      <c r="D1100" s="247">
        <v>143.99</v>
      </c>
      <c r="E1100" s="248">
        <v>1</v>
      </c>
    </row>
    <row r="1101" spans="1:5" hidden="1" x14ac:dyDescent="0.2">
      <c r="A1101" s="251"/>
      <c r="B1101" s="246"/>
      <c r="C1101" s="246" t="s">
        <v>1324</v>
      </c>
      <c r="D1101" s="247">
        <v>143.99</v>
      </c>
      <c r="E1101" s="248">
        <v>1</v>
      </c>
    </row>
    <row r="1102" spans="1:5" hidden="1" x14ac:dyDescent="0.2">
      <c r="A1102" s="251"/>
      <c r="B1102" s="246"/>
      <c r="C1102" s="246" t="s">
        <v>1325</v>
      </c>
      <c r="D1102" s="247">
        <v>143.99</v>
      </c>
      <c r="E1102" s="248">
        <v>1</v>
      </c>
    </row>
    <row r="1103" spans="1:5" hidden="1" x14ac:dyDescent="0.2">
      <c r="A1103" s="251"/>
      <c r="B1103" s="246"/>
      <c r="C1103" s="246" t="s">
        <v>1326</v>
      </c>
      <c r="D1103" s="247">
        <v>143.99</v>
      </c>
      <c r="E1103" s="248">
        <v>1</v>
      </c>
    </row>
    <row r="1104" spans="1:5" hidden="1" x14ac:dyDescent="0.2">
      <c r="A1104" s="251"/>
      <c r="B1104" s="246"/>
      <c r="C1104" s="246" t="s">
        <v>1327</v>
      </c>
      <c r="D1104" s="247">
        <v>143.99</v>
      </c>
      <c r="E1104" s="248">
        <v>1</v>
      </c>
    </row>
    <row r="1105" spans="1:5" hidden="1" x14ac:dyDescent="0.2">
      <c r="A1105" s="251"/>
      <c r="B1105" s="246"/>
      <c r="C1105" s="246" t="s">
        <v>1328</v>
      </c>
      <c r="D1105" s="247">
        <v>143.99</v>
      </c>
      <c r="E1105" s="248">
        <v>1</v>
      </c>
    </row>
    <row r="1106" spans="1:5" hidden="1" x14ac:dyDescent="0.2">
      <c r="A1106" s="251"/>
      <c r="B1106" s="246"/>
      <c r="C1106" s="246" t="s">
        <v>1329</v>
      </c>
      <c r="D1106" s="247">
        <v>143.99</v>
      </c>
      <c r="E1106" s="248">
        <v>1</v>
      </c>
    </row>
    <row r="1107" spans="1:5" hidden="1" x14ac:dyDescent="0.2">
      <c r="A1107" s="251"/>
      <c r="B1107" s="246"/>
      <c r="C1107" s="246" t="s">
        <v>1330</v>
      </c>
      <c r="D1107" s="247">
        <v>143.99</v>
      </c>
      <c r="E1107" s="248">
        <v>1</v>
      </c>
    </row>
    <row r="1108" spans="1:5" hidden="1" x14ac:dyDescent="0.2">
      <c r="A1108" s="251"/>
      <c r="B1108" s="246"/>
      <c r="C1108" s="246" t="s">
        <v>1331</v>
      </c>
      <c r="D1108" s="247">
        <v>143.99</v>
      </c>
      <c r="E1108" s="248">
        <v>1</v>
      </c>
    </row>
    <row r="1109" spans="1:5" hidden="1" x14ac:dyDescent="0.2">
      <c r="A1109" s="251"/>
      <c r="B1109" s="246"/>
      <c r="C1109" s="246" t="s">
        <v>1332</v>
      </c>
      <c r="D1109" s="247">
        <v>143.99</v>
      </c>
      <c r="E1109" s="248">
        <v>1</v>
      </c>
    </row>
    <row r="1110" spans="1:5" hidden="1" x14ac:dyDescent="0.2">
      <c r="A1110" s="251"/>
      <c r="B1110" s="246"/>
      <c r="C1110" s="246" t="s">
        <v>1333</v>
      </c>
      <c r="D1110" s="247">
        <v>143.99</v>
      </c>
      <c r="E1110" s="248">
        <v>1</v>
      </c>
    </row>
    <row r="1111" spans="1:5" hidden="1" x14ac:dyDescent="0.2">
      <c r="A1111" s="251"/>
      <c r="B1111" s="246"/>
      <c r="C1111" s="246" t="s">
        <v>2306</v>
      </c>
      <c r="D1111" s="247">
        <v>143.99</v>
      </c>
      <c r="E1111" s="248">
        <v>1</v>
      </c>
    </row>
    <row r="1112" spans="1:5" hidden="1" x14ac:dyDescent="0.2">
      <c r="A1112" s="251"/>
      <c r="B1112" s="246"/>
      <c r="C1112" s="246" t="s">
        <v>1334</v>
      </c>
      <c r="D1112" s="247">
        <v>143.99</v>
      </c>
      <c r="E1112" s="248">
        <v>1</v>
      </c>
    </row>
    <row r="1113" spans="1:5" hidden="1" x14ac:dyDescent="0.2">
      <c r="A1113" s="251"/>
      <c r="B1113" s="246"/>
      <c r="C1113" s="246" t="s">
        <v>1335</v>
      </c>
      <c r="D1113" s="247">
        <v>143.99</v>
      </c>
      <c r="E1113" s="248">
        <v>1</v>
      </c>
    </row>
    <row r="1114" spans="1:5" hidden="1" x14ac:dyDescent="0.2">
      <c r="A1114" s="251"/>
      <c r="B1114" s="246"/>
      <c r="C1114" s="246" t="s">
        <v>1336</v>
      </c>
      <c r="D1114" s="247">
        <v>143.99</v>
      </c>
      <c r="E1114" s="248">
        <v>1</v>
      </c>
    </row>
    <row r="1115" spans="1:5" hidden="1" x14ac:dyDescent="0.2">
      <c r="A1115" s="251"/>
      <c r="B1115" s="246"/>
      <c r="C1115" s="246" t="s">
        <v>1337</v>
      </c>
      <c r="D1115" s="247">
        <v>143.99</v>
      </c>
      <c r="E1115" s="248">
        <v>1</v>
      </c>
    </row>
    <row r="1116" spans="1:5" hidden="1" x14ac:dyDescent="0.2">
      <c r="A1116" s="251"/>
      <c r="B1116" s="246"/>
      <c r="C1116" s="246" t="s">
        <v>1338</v>
      </c>
      <c r="D1116" s="247">
        <v>143.99</v>
      </c>
      <c r="E1116" s="248">
        <v>1</v>
      </c>
    </row>
    <row r="1117" spans="1:5" hidden="1" x14ac:dyDescent="0.2">
      <c r="A1117" s="251"/>
      <c r="B1117" s="246"/>
      <c r="C1117" s="246" t="s">
        <v>2307</v>
      </c>
      <c r="D1117" s="247">
        <v>143.99</v>
      </c>
      <c r="E1117" s="248">
        <v>1</v>
      </c>
    </row>
    <row r="1118" spans="1:5" hidden="1" x14ac:dyDescent="0.2">
      <c r="A1118" s="251"/>
      <c r="B1118" s="246"/>
      <c r="C1118" s="246" t="s">
        <v>1339</v>
      </c>
      <c r="D1118" s="247">
        <v>143.99</v>
      </c>
      <c r="E1118" s="248">
        <v>1</v>
      </c>
    </row>
    <row r="1119" spans="1:5" hidden="1" x14ac:dyDescent="0.2">
      <c r="A1119" s="251"/>
      <c r="B1119" s="246"/>
      <c r="C1119" s="246" t="s">
        <v>1340</v>
      </c>
      <c r="D1119" s="247">
        <v>143.99</v>
      </c>
      <c r="E1119" s="248">
        <v>1</v>
      </c>
    </row>
    <row r="1120" spans="1:5" hidden="1" x14ac:dyDescent="0.2">
      <c r="A1120" s="251"/>
      <c r="B1120" s="246"/>
      <c r="C1120" s="246" t="s">
        <v>1341</v>
      </c>
      <c r="D1120" s="247">
        <v>143.99</v>
      </c>
      <c r="E1120" s="248">
        <v>1</v>
      </c>
    </row>
    <row r="1121" spans="1:5" hidden="1" x14ac:dyDescent="0.2">
      <c r="A1121" s="251"/>
      <c r="B1121" s="246"/>
      <c r="C1121" s="246" t="s">
        <v>1342</v>
      </c>
      <c r="D1121" s="247">
        <v>143.99</v>
      </c>
      <c r="E1121" s="248">
        <v>1</v>
      </c>
    </row>
    <row r="1122" spans="1:5" hidden="1" x14ac:dyDescent="0.2">
      <c r="A1122" s="251"/>
      <c r="B1122" s="246"/>
      <c r="C1122" s="246" t="s">
        <v>1343</v>
      </c>
      <c r="D1122" s="247">
        <v>143.99</v>
      </c>
      <c r="E1122" s="248">
        <v>1</v>
      </c>
    </row>
    <row r="1123" spans="1:5" hidden="1" x14ac:dyDescent="0.2">
      <c r="A1123" s="251"/>
      <c r="B1123" s="246"/>
      <c r="C1123" s="246" t="s">
        <v>1344</v>
      </c>
      <c r="D1123" s="247">
        <v>143.99</v>
      </c>
      <c r="E1123" s="248">
        <v>1</v>
      </c>
    </row>
    <row r="1124" spans="1:5" hidden="1" x14ac:dyDescent="0.2">
      <c r="A1124" s="251"/>
      <c r="B1124" s="246"/>
      <c r="C1124" s="246" t="s">
        <v>1345</v>
      </c>
      <c r="D1124" s="247">
        <v>143.99</v>
      </c>
      <c r="E1124" s="248">
        <v>1</v>
      </c>
    </row>
    <row r="1125" spans="1:5" hidden="1" x14ac:dyDescent="0.2">
      <c r="A1125" s="251"/>
      <c r="B1125" s="246"/>
      <c r="C1125" s="246" t="s">
        <v>1346</v>
      </c>
      <c r="D1125" s="247">
        <v>143.99</v>
      </c>
      <c r="E1125" s="248">
        <v>1</v>
      </c>
    </row>
    <row r="1126" spans="1:5" hidden="1" x14ac:dyDescent="0.2">
      <c r="A1126" s="251"/>
      <c r="B1126" s="246"/>
      <c r="C1126" s="246" t="s">
        <v>1347</v>
      </c>
      <c r="D1126" s="247">
        <v>143.99</v>
      </c>
      <c r="E1126" s="248">
        <v>1</v>
      </c>
    </row>
    <row r="1127" spans="1:5" hidden="1" x14ac:dyDescent="0.2">
      <c r="A1127" s="251"/>
      <c r="B1127" s="246"/>
      <c r="C1127" s="246" t="s">
        <v>1348</v>
      </c>
      <c r="D1127" s="247">
        <v>143.99</v>
      </c>
      <c r="E1127" s="248">
        <v>1</v>
      </c>
    </row>
    <row r="1128" spans="1:5" hidden="1" x14ac:dyDescent="0.2">
      <c r="A1128" s="251"/>
      <c r="B1128" s="246"/>
      <c r="C1128" s="246" t="s">
        <v>1349</v>
      </c>
      <c r="D1128" s="247">
        <v>143.99</v>
      </c>
      <c r="E1128" s="248">
        <v>1</v>
      </c>
    </row>
    <row r="1129" spans="1:5" hidden="1" x14ac:dyDescent="0.2">
      <c r="A1129" s="251"/>
      <c r="B1129" s="246"/>
      <c r="C1129" s="246" t="s">
        <v>1350</v>
      </c>
      <c r="D1129" s="247">
        <v>143.99</v>
      </c>
      <c r="E1129" s="248">
        <v>1</v>
      </c>
    </row>
    <row r="1130" spans="1:5" hidden="1" x14ac:dyDescent="0.2">
      <c r="A1130" s="251"/>
      <c r="B1130" s="246"/>
      <c r="C1130" s="246" t="s">
        <v>1351</v>
      </c>
      <c r="D1130" s="247">
        <v>143.99</v>
      </c>
      <c r="E1130" s="248">
        <v>1</v>
      </c>
    </row>
    <row r="1131" spans="1:5" hidden="1" x14ac:dyDescent="0.2">
      <c r="A1131" s="251"/>
      <c r="B1131" s="246"/>
      <c r="C1131" s="246" t="s">
        <v>1352</v>
      </c>
      <c r="D1131" s="247">
        <v>143.99</v>
      </c>
      <c r="E1131" s="248">
        <v>1</v>
      </c>
    </row>
    <row r="1132" spans="1:5" hidden="1" x14ac:dyDescent="0.2">
      <c r="A1132" s="251"/>
      <c r="B1132" s="246"/>
      <c r="C1132" s="246" t="s">
        <v>1353</v>
      </c>
      <c r="D1132" s="247">
        <v>143.99</v>
      </c>
      <c r="E1132" s="248">
        <v>1</v>
      </c>
    </row>
    <row r="1133" spans="1:5" hidden="1" x14ac:dyDescent="0.2">
      <c r="A1133" s="251"/>
      <c r="B1133" s="246"/>
      <c r="C1133" s="246" t="s">
        <v>1354</v>
      </c>
      <c r="D1133" s="247">
        <v>143.99</v>
      </c>
      <c r="E1133" s="248">
        <v>1</v>
      </c>
    </row>
    <row r="1134" spans="1:5" hidden="1" x14ac:dyDescent="0.2">
      <c r="A1134" s="251"/>
      <c r="B1134" s="246"/>
      <c r="C1134" s="246" t="s">
        <v>1355</v>
      </c>
      <c r="D1134" s="247">
        <v>143.99</v>
      </c>
      <c r="E1134" s="248">
        <v>1</v>
      </c>
    </row>
    <row r="1135" spans="1:5" hidden="1" x14ac:dyDescent="0.2">
      <c r="A1135" s="251"/>
      <c r="B1135" s="246"/>
      <c r="C1135" s="246" t="s">
        <v>1356</v>
      </c>
      <c r="D1135" s="247">
        <v>143.99</v>
      </c>
      <c r="E1135" s="248">
        <v>1</v>
      </c>
    </row>
    <row r="1136" spans="1:5" hidden="1" x14ac:dyDescent="0.2">
      <c r="A1136" s="251"/>
      <c r="B1136" s="246"/>
      <c r="C1136" s="246" t="s">
        <v>1357</v>
      </c>
      <c r="D1136" s="247">
        <v>143.99</v>
      </c>
      <c r="E1136" s="248">
        <v>1</v>
      </c>
    </row>
    <row r="1137" spans="1:5" hidden="1" x14ac:dyDescent="0.2">
      <c r="A1137" s="251"/>
      <c r="B1137" s="246"/>
      <c r="C1137" s="246" t="s">
        <v>1358</v>
      </c>
      <c r="D1137" s="247">
        <v>143.99</v>
      </c>
      <c r="E1137" s="248">
        <v>1</v>
      </c>
    </row>
    <row r="1138" spans="1:5" hidden="1" x14ac:dyDescent="0.2">
      <c r="A1138" s="251"/>
      <c r="B1138" s="246"/>
      <c r="C1138" s="246" t="s">
        <v>1359</v>
      </c>
      <c r="D1138" s="247">
        <v>143.99</v>
      </c>
      <c r="E1138" s="248">
        <v>1</v>
      </c>
    </row>
    <row r="1139" spans="1:5" hidden="1" x14ac:dyDescent="0.2">
      <c r="A1139" s="251"/>
      <c r="B1139" s="246"/>
      <c r="C1139" s="246" t="s">
        <v>1360</v>
      </c>
      <c r="D1139" s="247">
        <v>143.99</v>
      </c>
      <c r="E1139" s="248">
        <v>1</v>
      </c>
    </row>
    <row r="1140" spans="1:5" hidden="1" x14ac:dyDescent="0.2">
      <c r="A1140" s="251"/>
      <c r="B1140" s="246"/>
      <c r="C1140" s="246" t="s">
        <v>1361</v>
      </c>
      <c r="D1140" s="247">
        <v>143.99</v>
      </c>
      <c r="E1140" s="248">
        <v>1</v>
      </c>
    </row>
    <row r="1141" spans="1:5" hidden="1" x14ac:dyDescent="0.2">
      <c r="A1141" s="251"/>
      <c r="B1141" s="246"/>
      <c r="C1141" s="246" t="s">
        <v>1362</v>
      </c>
      <c r="D1141" s="247">
        <v>143.99</v>
      </c>
      <c r="E1141" s="248">
        <v>1</v>
      </c>
    </row>
    <row r="1142" spans="1:5" hidden="1" x14ac:dyDescent="0.2">
      <c r="A1142" s="251"/>
      <c r="B1142" s="246"/>
      <c r="C1142" s="246" t="s">
        <v>1363</v>
      </c>
      <c r="D1142" s="247">
        <v>143.99</v>
      </c>
      <c r="E1142" s="248">
        <v>1</v>
      </c>
    </row>
    <row r="1143" spans="1:5" hidden="1" x14ac:dyDescent="0.2">
      <c r="A1143" s="251"/>
      <c r="B1143" s="246"/>
      <c r="C1143" s="246" t="s">
        <v>1364</v>
      </c>
      <c r="D1143" s="247">
        <v>143.99</v>
      </c>
      <c r="E1143" s="248">
        <v>1</v>
      </c>
    </row>
    <row r="1144" spans="1:5" hidden="1" x14ac:dyDescent="0.2">
      <c r="A1144" s="251"/>
      <c r="B1144" s="246"/>
      <c r="C1144" s="246" t="s">
        <v>1365</v>
      </c>
      <c r="D1144" s="247">
        <v>143.99</v>
      </c>
      <c r="E1144" s="248">
        <v>1</v>
      </c>
    </row>
    <row r="1145" spans="1:5" hidden="1" x14ac:dyDescent="0.2">
      <c r="A1145" s="251"/>
      <c r="B1145" s="246"/>
      <c r="C1145" s="246" t="s">
        <v>1366</v>
      </c>
      <c r="D1145" s="247">
        <v>143.99</v>
      </c>
      <c r="E1145" s="248">
        <v>1</v>
      </c>
    </row>
    <row r="1146" spans="1:5" hidden="1" x14ac:dyDescent="0.2">
      <c r="A1146" s="251"/>
      <c r="B1146" s="246"/>
      <c r="C1146" s="246" t="s">
        <v>1367</v>
      </c>
      <c r="D1146" s="247">
        <v>143.99</v>
      </c>
      <c r="E1146" s="248">
        <v>1</v>
      </c>
    </row>
    <row r="1147" spans="1:5" hidden="1" x14ac:dyDescent="0.2">
      <c r="A1147" s="251"/>
      <c r="B1147" s="246"/>
      <c r="C1147" s="246" t="s">
        <v>2308</v>
      </c>
      <c r="D1147" s="247">
        <v>143.99</v>
      </c>
      <c r="E1147" s="248">
        <v>1</v>
      </c>
    </row>
    <row r="1148" spans="1:5" hidden="1" x14ac:dyDescent="0.2">
      <c r="A1148" s="251"/>
      <c r="B1148" s="246"/>
      <c r="C1148" s="246" t="s">
        <v>1368</v>
      </c>
      <c r="D1148" s="247">
        <v>143.99</v>
      </c>
      <c r="E1148" s="248">
        <v>1</v>
      </c>
    </row>
    <row r="1149" spans="1:5" hidden="1" x14ac:dyDescent="0.2">
      <c r="A1149" s="251"/>
      <c r="B1149" s="246"/>
      <c r="C1149" s="246" t="s">
        <v>1369</v>
      </c>
      <c r="D1149" s="247">
        <v>143.99</v>
      </c>
      <c r="E1149" s="248">
        <v>1</v>
      </c>
    </row>
    <row r="1150" spans="1:5" hidden="1" x14ac:dyDescent="0.2">
      <c r="A1150" s="251"/>
      <c r="B1150" s="246"/>
      <c r="C1150" s="246" t="s">
        <v>1370</v>
      </c>
      <c r="D1150" s="247">
        <v>143.99</v>
      </c>
      <c r="E1150" s="248">
        <v>1</v>
      </c>
    </row>
    <row r="1151" spans="1:5" hidden="1" x14ac:dyDescent="0.2">
      <c r="A1151" s="251"/>
      <c r="B1151" s="246"/>
      <c r="C1151" s="246" t="s">
        <v>1371</v>
      </c>
      <c r="D1151" s="247">
        <v>143.99</v>
      </c>
      <c r="E1151" s="248">
        <v>1</v>
      </c>
    </row>
    <row r="1152" spans="1:5" hidden="1" x14ac:dyDescent="0.2">
      <c r="A1152" s="251"/>
      <c r="B1152" s="246"/>
      <c r="C1152" s="246" t="s">
        <v>1372</v>
      </c>
      <c r="D1152" s="247">
        <v>143.99</v>
      </c>
      <c r="E1152" s="248">
        <v>1</v>
      </c>
    </row>
    <row r="1153" spans="1:5" hidden="1" x14ac:dyDescent="0.2">
      <c r="A1153" s="251"/>
      <c r="B1153" s="246"/>
      <c r="C1153" s="246" t="s">
        <v>1373</v>
      </c>
      <c r="D1153" s="247">
        <v>143.99</v>
      </c>
      <c r="E1153" s="248">
        <v>1</v>
      </c>
    </row>
    <row r="1154" spans="1:5" hidden="1" x14ac:dyDescent="0.2">
      <c r="A1154" s="251"/>
      <c r="B1154" s="246"/>
      <c r="C1154" s="246" t="s">
        <v>1374</v>
      </c>
      <c r="D1154" s="247">
        <v>143.99</v>
      </c>
      <c r="E1154" s="248">
        <v>1</v>
      </c>
    </row>
    <row r="1155" spans="1:5" hidden="1" x14ac:dyDescent="0.2">
      <c r="A1155" s="251"/>
      <c r="B1155" s="246"/>
      <c r="C1155" s="246" t="s">
        <v>1375</v>
      </c>
      <c r="D1155" s="247">
        <v>143.99</v>
      </c>
      <c r="E1155" s="248">
        <v>1</v>
      </c>
    </row>
    <row r="1156" spans="1:5" hidden="1" x14ac:dyDescent="0.2">
      <c r="A1156" s="251"/>
      <c r="B1156" s="246"/>
      <c r="C1156" s="246" t="s">
        <v>1376</v>
      </c>
      <c r="D1156" s="247">
        <v>143.99</v>
      </c>
      <c r="E1156" s="248">
        <v>1</v>
      </c>
    </row>
    <row r="1157" spans="1:5" hidden="1" x14ac:dyDescent="0.2">
      <c r="A1157" s="251"/>
      <c r="B1157" s="246"/>
      <c r="C1157" s="246" t="s">
        <v>1377</v>
      </c>
      <c r="D1157" s="247">
        <v>143.99</v>
      </c>
      <c r="E1157" s="248">
        <v>1</v>
      </c>
    </row>
    <row r="1158" spans="1:5" hidden="1" x14ac:dyDescent="0.2">
      <c r="A1158" s="251"/>
      <c r="B1158" s="246"/>
      <c r="C1158" s="246" t="s">
        <v>1378</v>
      </c>
      <c r="D1158" s="247">
        <v>143.99</v>
      </c>
      <c r="E1158" s="248">
        <v>1</v>
      </c>
    </row>
    <row r="1159" spans="1:5" hidden="1" x14ac:dyDescent="0.2">
      <c r="A1159" s="251"/>
      <c r="B1159" s="246"/>
      <c r="C1159" s="246" t="s">
        <v>2309</v>
      </c>
      <c r="D1159" s="247">
        <v>143.99</v>
      </c>
      <c r="E1159" s="248">
        <v>1</v>
      </c>
    </row>
    <row r="1160" spans="1:5" hidden="1" x14ac:dyDescent="0.2">
      <c r="A1160" s="251"/>
      <c r="B1160" s="246"/>
      <c r="C1160" s="246" t="s">
        <v>1379</v>
      </c>
      <c r="D1160" s="247">
        <v>143.99</v>
      </c>
      <c r="E1160" s="248">
        <v>1</v>
      </c>
    </row>
    <row r="1161" spans="1:5" hidden="1" x14ac:dyDescent="0.2">
      <c r="A1161" s="251"/>
      <c r="B1161" s="246"/>
      <c r="C1161" s="246" t="s">
        <v>1380</v>
      </c>
      <c r="D1161" s="247">
        <v>143.99</v>
      </c>
      <c r="E1161" s="248">
        <v>1</v>
      </c>
    </row>
    <row r="1162" spans="1:5" hidden="1" x14ac:dyDescent="0.2">
      <c r="A1162" s="251"/>
      <c r="B1162" s="246"/>
      <c r="C1162" s="246" t="s">
        <v>1381</v>
      </c>
      <c r="D1162" s="247">
        <v>143.99</v>
      </c>
      <c r="E1162" s="248">
        <v>1</v>
      </c>
    </row>
    <row r="1163" spans="1:5" hidden="1" x14ac:dyDescent="0.2">
      <c r="A1163" s="251"/>
      <c r="B1163" s="246"/>
      <c r="C1163" s="246" t="s">
        <v>1382</v>
      </c>
      <c r="D1163" s="247">
        <v>143.99</v>
      </c>
      <c r="E1163" s="248">
        <v>1</v>
      </c>
    </row>
    <row r="1164" spans="1:5" hidden="1" x14ac:dyDescent="0.2">
      <c r="A1164" s="251"/>
      <c r="B1164" s="246"/>
      <c r="C1164" s="246" t="s">
        <v>1383</v>
      </c>
      <c r="D1164" s="247">
        <v>143.99</v>
      </c>
      <c r="E1164" s="248">
        <v>1</v>
      </c>
    </row>
    <row r="1165" spans="1:5" hidden="1" x14ac:dyDescent="0.2">
      <c r="A1165" s="251"/>
      <c r="B1165" s="246"/>
      <c r="C1165" s="246" t="s">
        <v>1384</v>
      </c>
      <c r="D1165" s="247">
        <v>143.99</v>
      </c>
      <c r="E1165" s="248">
        <v>1</v>
      </c>
    </row>
    <row r="1166" spans="1:5" hidden="1" x14ac:dyDescent="0.2">
      <c r="A1166" s="251"/>
      <c r="B1166" s="246"/>
      <c r="C1166" s="246" t="s">
        <v>1385</v>
      </c>
      <c r="D1166" s="247">
        <v>143.99</v>
      </c>
      <c r="E1166" s="248">
        <v>1</v>
      </c>
    </row>
    <row r="1167" spans="1:5" hidden="1" x14ac:dyDescent="0.2">
      <c r="A1167" s="251"/>
      <c r="B1167" s="246"/>
      <c r="C1167" s="246" t="s">
        <v>1386</v>
      </c>
      <c r="D1167" s="247">
        <v>143.99</v>
      </c>
      <c r="E1167" s="248">
        <v>1</v>
      </c>
    </row>
    <row r="1168" spans="1:5" hidden="1" x14ac:dyDescent="0.2">
      <c r="A1168" s="251"/>
      <c r="B1168" s="246"/>
      <c r="C1168" s="246" t="s">
        <v>1387</v>
      </c>
      <c r="D1168" s="247">
        <v>143.99</v>
      </c>
      <c r="E1168" s="248">
        <v>1</v>
      </c>
    </row>
    <row r="1169" spans="1:5" hidden="1" x14ac:dyDescent="0.2">
      <c r="A1169" s="251"/>
      <c r="B1169" s="246"/>
      <c r="C1169" s="246" t="s">
        <v>1388</v>
      </c>
      <c r="D1169" s="247">
        <v>143.99</v>
      </c>
      <c r="E1169" s="248">
        <v>1</v>
      </c>
    </row>
    <row r="1170" spans="1:5" hidden="1" x14ac:dyDescent="0.2">
      <c r="A1170" s="251"/>
      <c r="B1170" s="246"/>
      <c r="C1170" s="246" t="s">
        <v>1389</v>
      </c>
      <c r="D1170" s="247">
        <v>143.99</v>
      </c>
      <c r="E1170" s="248">
        <v>1</v>
      </c>
    </row>
    <row r="1171" spans="1:5" hidden="1" x14ac:dyDescent="0.2">
      <c r="A1171" s="251"/>
      <c r="B1171" s="246"/>
      <c r="C1171" s="246" t="s">
        <v>1390</v>
      </c>
      <c r="D1171" s="247">
        <v>143.99</v>
      </c>
      <c r="E1171" s="248">
        <v>1</v>
      </c>
    </row>
    <row r="1172" spans="1:5" hidden="1" x14ac:dyDescent="0.2">
      <c r="A1172" s="251"/>
      <c r="B1172" s="246"/>
      <c r="C1172" s="246" t="s">
        <v>1391</v>
      </c>
      <c r="D1172" s="247">
        <v>143.99</v>
      </c>
      <c r="E1172" s="248">
        <v>1</v>
      </c>
    </row>
    <row r="1173" spans="1:5" hidden="1" x14ac:dyDescent="0.2">
      <c r="A1173" s="251"/>
      <c r="B1173" s="246"/>
      <c r="C1173" s="246" t="s">
        <v>1392</v>
      </c>
      <c r="D1173" s="247">
        <v>143.99</v>
      </c>
      <c r="E1173" s="248">
        <v>1</v>
      </c>
    </row>
    <row r="1174" spans="1:5" hidden="1" x14ac:dyDescent="0.2">
      <c r="A1174" s="251"/>
      <c r="B1174" s="246"/>
      <c r="C1174" s="246" t="s">
        <v>1393</v>
      </c>
      <c r="D1174" s="247">
        <v>143.99</v>
      </c>
      <c r="E1174" s="248">
        <v>1</v>
      </c>
    </row>
    <row r="1175" spans="1:5" hidden="1" x14ac:dyDescent="0.2">
      <c r="A1175" s="251"/>
      <c r="B1175" s="246"/>
      <c r="C1175" s="246" t="s">
        <v>1394</v>
      </c>
      <c r="D1175" s="247">
        <v>143.99</v>
      </c>
      <c r="E1175" s="248">
        <v>1</v>
      </c>
    </row>
    <row r="1176" spans="1:5" hidden="1" x14ac:dyDescent="0.2">
      <c r="A1176" s="251"/>
      <c r="B1176" s="246"/>
      <c r="C1176" s="246" t="s">
        <v>1395</v>
      </c>
      <c r="D1176" s="247">
        <v>143.99</v>
      </c>
      <c r="E1176" s="248">
        <v>1</v>
      </c>
    </row>
    <row r="1177" spans="1:5" hidden="1" x14ac:dyDescent="0.2">
      <c r="A1177" s="251"/>
      <c r="B1177" s="246"/>
      <c r="C1177" s="246" t="s">
        <v>1396</v>
      </c>
      <c r="D1177" s="247">
        <v>143.99</v>
      </c>
      <c r="E1177" s="248">
        <v>1</v>
      </c>
    </row>
    <row r="1178" spans="1:5" hidden="1" x14ac:dyDescent="0.2">
      <c r="A1178" s="251"/>
      <c r="B1178" s="246"/>
      <c r="C1178" s="246" t="s">
        <v>1397</v>
      </c>
      <c r="D1178" s="247">
        <v>143.99</v>
      </c>
      <c r="E1178" s="248">
        <v>1</v>
      </c>
    </row>
    <row r="1179" spans="1:5" hidden="1" x14ac:dyDescent="0.2">
      <c r="A1179" s="251"/>
      <c r="B1179" s="246"/>
      <c r="C1179" s="246" t="s">
        <v>1398</v>
      </c>
      <c r="D1179" s="247">
        <v>143.99</v>
      </c>
      <c r="E1179" s="248">
        <v>1</v>
      </c>
    </row>
    <row r="1180" spans="1:5" hidden="1" x14ac:dyDescent="0.2">
      <c r="A1180" s="251"/>
      <c r="B1180" s="246"/>
      <c r="C1180" s="246" t="s">
        <v>1399</v>
      </c>
      <c r="D1180" s="247">
        <v>143.99</v>
      </c>
      <c r="E1180" s="248">
        <v>1</v>
      </c>
    </row>
    <row r="1181" spans="1:5" hidden="1" x14ac:dyDescent="0.2">
      <c r="A1181" s="251"/>
      <c r="B1181" s="246"/>
      <c r="C1181" s="246" t="s">
        <v>2310</v>
      </c>
      <c r="D1181" s="247">
        <v>143.99</v>
      </c>
      <c r="E1181" s="248">
        <v>1</v>
      </c>
    </row>
    <row r="1182" spans="1:5" hidden="1" x14ac:dyDescent="0.2">
      <c r="A1182" s="251"/>
      <c r="B1182" s="246"/>
      <c r="C1182" s="246" t="s">
        <v>1400</v>
      </c>
      <c r="D1182" s="247">
        <v>143.99</v>
      </c>
      <c r="E1182" s="248">
        <v>1</v>
      </c>
    </row>
    <row r="1183" spans="1:5" hidden="1" x14ac:dyDescent="0.2">
      <c r="A1183" s="251"/>
      <c r="B1183" s="246"/>
      <c r="C1183" s="246" t="s">
        <v>1401</v>
      </c>
      <c r="D1183" s="247">
        <v>143.99</v>
      </c>
      <c r="E1183" s="248">
        <v>1</v>
      </c>
    </row>
    <row r="1184" spans="1:5" hidden="1" x14ac:dyDescent="0.2">
      <c r="A1184" s="251"/>
      <c r="B1184" s="246"/>
      <c r="C1184" s="246" t="s">
        <v>1402</v>
      </c>
      <c r="D1184" s="247">
        <v>143.99</v>
      </c>
      <c r="E1184" s="248">
        <v>1</v>
      </c>
    </row>
    <row r="1185" spans="1:5" hidden="1" x14ac:dyDescent="0.2">
      <c r="A1185" s="251"/>
      <c r="B1185" s="246"/>
      <c r="C1185" s="246" t="s">
        <v>1403</v>
      </c>
      <c r="D1185" s="247">
        <v>143.99</v>
      </c>
      <c r="E1185" s="248">
        <v>1</v>
      </c>
    </row>
    <row r="1186" spans="1:5" hidden="1" x14ac:dyDescent="0.2">
      <c r="A1186" s="251"/>
      <c r="B1186" s="246"/>
      <c r="C1186" s="246" t="s">
        <v>1404</v>
      </c>
      <c r="D1186" s="247">
        <v>143.99</v>
      </c>
      <c r="E1186" s="248">
        <v>1</v>
      </c>
    </row>
    <row r="1187" spans="1:5" hidden="1" x14ac:dyDescent="0.2">
      <c r="A1187" s="251"/>
      <c r="B1187" s="246"/>
      <c r="C1187" s="246" t="s">
        <v>1405</v>
      </c>
      <c r="D1187" s="247">
        <v>143.99</v>
      </c>
      <c r="E1187" s="248">
        <v>1</v>
      </c>
    </row>
    <row r="1188" spans="1:5" hidden="1" x14ac:dyDescent="0.2">
      <c r="A1188" s="251"/>
      <c r="B1188" s="246"/>
      <c r="C1188" s="246" t="s">
        <v>1406</v>
      </c>
      <c r="D1188" s="247">
        <v>143.99</v>
      </c>
      <c r="E1188" s="248">
        <v>1</v>
      </c>
    </row>
    <row r="1189" spans="1:5" hidden="1" x14ac:dyDescent="0.2">
      <c r="A1189" s="251"/>
      <c r="B1189" s="246"/>
      <c r="C1189" s="246" t="s">
        <v>1407</v>
      </c>
      <c r="D1189" s="247">
        <v>143.99</v>
      </c>
      <c r="E1189" s="248">
        <v>1</v>
      </c>
    </row>
    <row r="1190" spans="1:5" hidden="1" x14ac:dyDescent="0.2">
      <c r="A1190" s="251"/>
      <c r="B1190" s="246"/>
      <c r="C1190" s="246" t="s">
        <v>1408</v>
      </c>
      <c r="D1190" s="247">
        <v>143.99</v>
      </c>
      <c r="E1190" s="248">
        <v>1</v>
      </c>
    </row>
    <row r="1191" spans="1:5" hidden="1" x14ac:dyDescent="0.2">
      <c r="A1191" s="251"/>
      <c r="B1191" s="246"/>
      <c r="C1191" s="246" t="s">
        <v>1409</v>
      </c>
      <c r="D1191" s="247">
        <v>143.99</v>
      </c>
      <c r="E1191" s="248">
        <v>1</v>
      </c>
    </row>
    <row r="1192" spans="1:5" hidden="1" x14ac:dyDescent="0.2">
      <c r="A1192" s="251"/>
      <c r="B1192" s="246"/>
      <c r="C1192" s="246" t="s">
        <v>1410</v>
      </c>
      <c r="D1192" s="247">
        <v>143.99</v>
      </c>
      <c r="E1192" s="248">
        <v>1</v>
      </c>
    </row>
    <row r="1193" spans="1:5" hidden="1" x14ac:dyDescent="0.2">
      <c r="A1193" s="251"/>
      <c r="B1193" s="246"/>
      <c r="C1193" s="246" t="s">
        <v>1411</v>
      </c>
      <c r="D1193" s="247">
        <v>143.99</v>
      </c>
      <c r="E1193" s="248">
        <v>1</v>
      </c>
    </row>
    <row r="1194" spans="1:5" hidden="1" x14ac:dyDescent="0.2">
      <c r="A1194" s="251"/>
      <c r="B1194" s="246"/>
      <c r="C1194" s="246" t="s">
        <v>1412</v>
      </c>
      <c r="D1194" s="247">
        <v>143.99</v>
      </c>
      <c r="E1194" s="248">
        <v>1</v>
      </c>
    </row>
    <row r="1195" spans="1:5" hidden="1" x14ac:dyDescent="0.2">
      <c r="A1195" s="251"/>
      <c r="B1195" s="246"/>
      <c r="C1195" s="246" t="s">
        <v>1413</v>
      </c>
      <c r="D1195" s="247">
        <v>143.99</v>
      </c>
      <c r="E1195" s="248">
        <v>1</v>
      </c>
    </row>
    <row r="1196" spans="1:5" hidden="1" x14ac:dyDescent="0.2">
      <c r="A1196" s="251"/>
      <c r="B1196" s="246"/>
      <c r="C1196" s="246" t="s">
        <v>2311</v>
      </c>
      <c r="D1196" s="247">
        <v>143.99</v>
      </c>
      <c r="E1196" s="248">
        <v>1</v>
      </c>
    </row>
    <row r="1197" spans="1:5" hidden="1" x14ac:dyDescent="0.2">
      <c r="A1197" s="251"/>
      <c r="B1197" s="246"/>
      <c r="C1197" s="246" t="s">
        <v>1414</v>
      </c>
      <c r="D1197" s="247">
        <v>143.99</v>
      </c>
      <c r="E1197" s="248">
        <v>1</v>
      </c>
    </row>
    <row r="1198" spans="1:5" hidden="1" x14ac:dyDescent="0.2">
      <c r="A1198" s="251"/>
      <c r="B1198" s="246"/>
      <c r="C1198" s="246" t="s">
        <v>1415</v>
      </c>
      <c r="D1198" s="247">
        <v>143.99</v>
      </c>
      <c r="E1198" s="248">
        <v>1</v>
      </c>
    </row>
    <row r="1199" spans="1:5" hidden="1" x14ac:dyDescent="0.2">
      <c r="A1199" s="251"/>
      <c r="B1199" s="246"/>
      <c r="C1199" s="246" t="s">
        <v>2312</v>
      </c>
      <c r="D1199" s="247">
        <v>143.99</v>
      </c>
      <c r="E1199" s="248">
        <v>1</v>
      </c>
    </row>
    <row r="1200" spans="1:5" hidden="1" x14ac:dyDescent="0.2">
      <c r="A1200" s="251"/>
      <c r="B1200" s="246"/>
      <c r="C1200" s="246" t="s">
        <v>1416</v>
      </c>
      <c r="D1200" s="247">
        <v>143.99</v>
      </c>
      <c r="E1200" s="248">
        <v>1</v>
      </c>
    </row>
    <row r="1201" spans="1:5" hidden="1" x14ac:dyDescent="0.2">
      <c r="A1201" s="251"/>
      <c r="B1201" s="246"/>
      <c r="C1201" s="246" t="s">
        <v>1417</v>
      </c>
      <c r="D1201" s="247">
        <v>143.99</v>
      </c>
      <c r="E1201" s="248">
        <v>1</v>
      </c>
    </row>
    <row r="1202" spans="1:5" hidden="1" x14ac:dyDescent="0.2">
      <c r="A1202" s="251"/>
      <c r="B1202" s="246"/>
      <c r="C1202" s="246" t="s">
        <v>2313</v>
      </c>
      <c r="D1202" s="247">
        <v>143.99</v>
      </c>
      <c r="E1202" s="248">
        <v>1</v>
      </c>
    </row>
    <row r="1203" spans="1:5" hidden="1" x14ac:dyDescent="0.2">
      <c r="A1203" s="251"/>
      <c r="B1203" s="246"/>
      <c r="C1203" s="246" t="s">
        <v>1418</v>
      </c>
      <c r="D1203" s="247">
        <v>143.99</v>
      </c>
      <c r="E1203" s="248">
        <v>1</v>
      </c>
    </row>
    <row r="1204" spans="1:5" hidden="1" x14ac:dyDescent="0.2">
      <c r="A1204" s="251"/>
      <c r="B1204" s="246"/>
      <c r="C1204" s="246" t="s">
        <v>1419</v>
      </c>
      <c r="D1204" s="247">
        <v>143.99</v>
      </c>
      <c r="E1204" s="248">
        <v>1</v>
      </c>
    </row>
    <row r="1205" spans="1:5" hidden="1" x14ac:dyDescent="0.2">
      <c r="A1205" s="251"/>
      <c r="B1205" s="246"/>
      <c r="C1205" s="246" t="s">
        <v>1420</v>
      </c>
      <c r="D1205" s="247">
        <v>143.99</v>
      </c>
      <c r="E1205" s="248">
        <v>1</v>
      </c>
    </row>
    <row r="1206" spans="1:5" hidden="1" x14ac:dyDescent="0.2">
      <c r="A1206" s="251"/>
      <c r="B1206" s="246"/>
      <c r="C1206" s="246" t="s">
        <v>1421</v>
      </c>
      <c r="D1206" s="247">
        <v>143.99</v>
      </c>
      <c r="E1206" s="248">
        <v>1</v>
      </c>
    </row>
    <row r="1207" spans="1:5" hidden="1" x14ac:dyDescent="0.2">
      <c r="A1207" s="251"/>
      <c r="B1207" s="246"/>
      <c r="C1207" s="246" t="s">
        <v>1422</v>
      </c>
      <c r="D1207" s="247">
        <v>143.99</v>
      </c>
      <c r="E1207" s="248">
        <v>1</v>
      </c>
    </row>
    <row r="1208" spans="1:5" hidden="1" x14ac:dyDescent="0.2">
      <c r="A1208" s="251"/>
      <c r="B1208" s="246"/>
      <c r="C1208" s="246" t="s">
        <v>1423</v>
      </c>
      <c r="D1208" s="247">
        <v>143.99</v>
      </c>
      <c r="E1208" s="248">
        <v>1</v>
      </c>
    </row>
    <row r="1209" spans="1:5" hidden="1" x14ac:dyDescent="0.2">
      <c r="A1209" s="251"/>
      <c r="B1209" s="246"/>
      <c r="C1209" s="246" t="s">
        <v>1424</v>
      </c>
      <c r="D1209" s="247">
        <v>143.99</v>
      </c>
      <c r="E1209" s="248">
        <v>1</v>
      </c>
    </row>
    <row r="1210" spans="1:5" hidden="1" x14ac:dyDescent="0.2">
      <c r="A1210" s="251"/>
      <c r="B1210" s="246"/>
      <c r="C1210" s="246" t="s">
        <v>1425</v>
      </c>
      <c r="D1210" s="247">
        <v>143.99</v>
      </c>
      <c r="E1210" s="248">
        <v>1</v>
      </c>
    </row>
    <row r="1211" spans="1:5" hidden="1" x14ac:dyDescent="0.2">
      <c r="A1211" s="251"/>
      <c r="B1211" s="246"/>
      <c r="C1211" s="246" t="s">
        <v>2314</v>
      </c>
      <c r="D1211" s="247">
        <v>143.99</v>
      </c>
      <c r="E1211" s="248">
        <v>1</v>
      </c>
    </row>
    <row r="1212" spans="1:5" hidden="1" x14ac:dyDescent="0.2">
      <c r="A1212" s="251"/>
      <c r="B1212" s="246"/>
      <c r="C1212" s="246" t="s">
        <v>1426</v>
      </c>
      <c r="D1212" s="247">
        <v>143.99</v>
      </c>
      <c r="E1212" s="248">
        <v>1</v>
      </c>
    </row>
    <row r="1213" spans="1:5" hidden="1" x14ac:dyDescent="0.2">
      <c r="A1213" s="251"/>
      <c r="B1213" s="246"/>
      <c r="C1213" s="246" t="s">
        <v>1427</v>
      </c>
      <c r="D1213" s="247">
        <v>143.99</v>
      </c>
      <c r="E1213" s="248">
        <v>1</v>
      </c>
    </row>
    <row r="1214" spans="1:5" hidden="1" x14ac:dyDescent="0.2">
      <c r="A1214" s="251"/>
      <c r="B1214" s="246"/>
      <c r="C1214" s="246" t="s">
        <v>1428</v>
      </c>
      <c r="D1214" s="247">
        <v>143.99</v>
      </c>
      <c r="E1214" s="248">
        <v>1</v>
      </c>
    </row>
    <row r="1215" spans="1:5" hidden="1" x14ac:dyDescent="0.2">
      <c r="A1215" s="251"/>
      <c r="B1215" s="246"/>
      <c r="C1215" s="246" t="s">
        <v>1429</v>
      </c>
      <c r="D1215" s="247">
        <v>143.99</v>
      </c>
      <c r="E1215" s="248">
        <v>1</v>
      </c>
    </row>
    <row r="1216" spans="1:5" hidden="1" x14ac:dyDescent="0.2">
      <c r="A1216" s="251"/>
      <c r="B1216" s="246"/>
      <c r="C1216" s="246" t="s">
        <v>1430</v>
      </c>
      <c r="D1216" s="247">
        <v>143.99</v>
      </c>
      <c r="E1216" s="248">
        <v>1</v>
      </c>
    </row>
    <row r="1217" spans="1:5" hidden="1" x14ac:dyDescent="0.2">
      <c r="A1217" s="251"/>
      <c r="B1217" s="246"/>
      <c r="C1217" s="246" t="s">
        <v>1431</v>
      </c>
      <c r="D1217" s="247">
        <v>143.99</v>
      </c>
      <c r="E1217" s="248">
        <v>1</v>
      </c>
    </row>
    <row r="1218" spans="1:5" hidden="1" x14ac:dyDescent="0.2">
      <c r="A1218" s="251"/>
      <c r="B1218" s="246"/>
      <c r="C1218" s="246" t="s">
        <v>1432</v>
      </c>
      <c r="D1218" s="247">
        <v>143.99</v>
      </c>
      <c r="E1218" s="248">
        <v>1</v>
      </c>
    </row>
    <row r="1219" spans="1:5" hidden="1" x14ac:dyDescent="0.2">
      <c r="A1219" s="251"/>
      <c r="B1219" s="246"/>
      <c r="C1219" s="246" t="s">
        <v>2315</v>
      </c>
      <c r="D1219" s="247">
        <v>143.99</v>
      </c>
      <c r="E1219" s="248">
        <v>1</v>
      </c>
    </row>
    <row r="1220" spans="1:5" hidden="1" x14ac:dyDescent="0.2">
      <c r="A1220" s="251"/>
      <c r="B1220" s="246"/>
      <c r="C1220" s="246" t="s">
        <v>1433</v>
      </c>
      <c r="D1220" s="247">
        <v>143.99</v>
      </c>
      <c r="E1220" s="248">
        <v>1</v>
      </c>
    </row>
    <row r="1221" spans="1:5" hidden="1" x14ac:dyDescent="0.2">
      <c r="A1221" s="251"/>
      <c r="B1221" s="246"/>
      <c r="C1221" s="246" t="s">
        <v>1434</v>
      </c>
      <c r="D1221" s="247">
        <v>143.99</v>
      </c>
      <c r="E1221" s="248">
        <v>1</v>
      </c>
    </row>
    <row r="1222" spans="1:5" hidden="1" x14ac:dyDescent="0.2">
      <c r="A1222" s="251"/>
      <c r="B1222" s="246"/>
      <c r="C1222" s="246" t="s">
        <v>1435</v>
      </c>
      <c r="D1222" s="247">
        <v>143.99</v>
      </c>
      <c r="E1222" s="248">
        <v>1</v>
      </c>
    </row>
    <row r="1223" spans="1:5" hidden="1" x14ac:dyDescent="0.2">
      <c r="A1223" s="251"/>
      <c r="B1223" s="246"/>
      <c r="C1223" s="246" t="s">
        <v>1436</v>
      </c>
      <c r="D1223" s="247">
        <v>143.99</v>
      </c>
      <c r="E1223" s="248">
        <v>1</v>
      </c>
    </row>
    <row r="1224" spans="1:5" hidden="1" x14ac:dyDescent="0.2">
      <c r="A1224" s="251"/>
      <c r="B1224" s="246"/>
      <c r="C1224" s="246" t="s">
        <v>1437</v>
      </c>
      <c r="D1224" s="247">
        <v>143.99</v>
      </c>
      <c r="E1224" s="248">
        <v>1</v>
      </c>
    </row>
    <row r="1225" spans="1:5" hidden="1" x14ac:dyDescent="0.2">
      <c r="A1225" s="251"/>
      <c r="B1225" s="246"/>
      <c r="C1225" s="246" t="s">
        <v>1438</v>
      </c>
      <c r="D1225" s="247">
        <v>143.99</v>
      </c>
      <c r="E1225" s="248">
        <v>1</v>
      </c>
    </row>
    <row r="1226" spans="1:5" hidden="1" x14ac:dyDescent="0.2">
      <c r="A1226" s="251"/>
      <c r="B1226" s="246"/>
      <c r="C1226" s="246" t="s">
        <v>2316</v>
      </c>
      <c r="D1226" s="247">
        <v>143.99</v>
      </c>
      <c r="E1226" s="248">
        <v>1</v>
      </c>
    </row>
    <row r="1227" spans="1:5" hidden="1" x14ac:dyDescent="0.2">
      <c r="A1227" s="251"/>
      <c r="B1227" s="246"/>
      <c r="C1227" s="246" t="s">
        <v>1439</v>
      </c>
      <c r="D1227" s="247">
        <v>143.99</v>
      </c>
      <c r="E1227" s="248">
        <v>1</v>
      </c>
    </row>
    <row r="1228" spans="1:5" hidden="1" x14ac:dyDescent="0.2">
      <c r="A1228" s="251"/>
      <c r="B1228" s="246"/>
      <c r="C1228" s="246" t="s">
        <v>1440</v>
      </c>
      <c r="D1228" s="247">
        <v>143.99</v>
      </c>
      <c r="E1228" s="248">
        <v>1</v>
      </c>
    </row>
    <row r="1229" spans="1:5" hidden="1" x14ac:dyDescent="0.2">
      <c r="A1229" s="251"/>
      <c r="B1229" s="246"/>
      <c r="C1229" s="246" t="s">
        <v>1441</v>
      </c>
      <c r="D1229" s="247">
        <v>143.99</v>
      </c>
      <c r="E1229" s="248">
        <v>1</v>
      </c>
    </row>
    <row r="1230" spans="1:5" hidden="1" x14ac:dyDescent="0.2">
      <c r="A1230" s="251"/>
      <c r="B1230" s="246"/>
      <c r="C1230" s="246" t="s">
        <v>1442</v>
      </c>
      <c r="D1230" s="247">
        <v>143.99</v>
      </c>
      <c r="E1230" s="248">
        <v>1</v>
      </c>
    </row>
    <row r="1231" spans="1:5" hidden="1" x14ac:dyDescent="0.2">
      <c r="A1231" s="251"/>
      <c r="B1231" s="246"/>
      <c r="C1231" s="246" t="s">
        <v>1443</v>
      </c>
      <c r="D1231" s="247">
        <v>143.99</v>
      </c>
      <c r="E1231" s="248">
        <v>1</v>
      </c>
    </row>
    <row r="1232" spans="1:5" hidden="1" x14ac:dyDescent="0.2">
      <c r="A1232" s="251"/>
      <c r="B1232" s="246"/>
      <c r="C1232" s="246" t="s">
        <v>1444</v>
      </c>
      <c r="D1232" s="247">
        <v>143.99</v>
      </c>
      <c r="E1232" s="248">
        <v>1</v>
      </c>
    </row>
    <row r="1233" spans="1:5" hidden="1" x14ac:dyDescent="0.2">
      <c r="A1233" s="251"/>
      <c r="B1233" s="246"/>
      <c r="C1233" s="246" t="s">
        <v>1445</v>
      </c>
      <c r="D1233" s="247">
        <v>143.99</v>
      </c>
      <c r="E1233" s="248">
        <v>1</v>
      </c>
    </row>
    <row r="1234" spans="1:5" hidden="1" x14ac:dyDescent="0.2">
      <c r="A1234" s="251"/>
      <c r="B1234" s="246"/>
      <c r="C1234" s="246" t="s">
        <v>1446</v>
      </c>
      <c r="D1234" s="247">
        <v>143.99</v>
      </c>
      <c r="E1234" s="248">
        <v>1</v>
      </c>
    </row>
    <row r="1235" spans="1:5" hidden="1" x14ac:dyDescent="0.2">
      <c r="A1235" s="251"/>
      <c r="B1235" s="246"/>
      <c r="C1235" s="246" t="s">
        <v>1447</v>
      </c>
      <c r="D1235" s="247">
        <v>143.99</v>
      </c>
      <c r="E1235" s="248">
        <v>1</v>
      </c>
    </row>
    <row r="1236" spans="1:5" hidden="1" x14ac:dyDescent="0.2">
      <c r="A1236" s="251"/>
      <c r="B1236" s="246"/>
      <c r="C1236" s="246" t="s">
        <v>1448</v>
      </c>
      <c r="D1236" s="247">
        <v>143.97999999999999</v>
      </c>
      <c r="E1236" s="248">
        <v>1</v>
      </c>
    </row>
    <row r="1237" spans="1:5" hidden="1" x14ac:dyDescent="0.2">
      <c r="A1237" s="251"/>
      <c r="B1237" s="246"/>
      <c r="C1237" s="246" t="s">
        <v>2317</v>
      </c>
      <c r="D1237" s="247">
        <v>143.97999999999999</v>
      </c>
      <c r="E1237" s="248">
        <v>1</v>
      </c>
    </row>
    <row r="1238" spans="1:5" hidden="1" x14ac:dyDescent="0.2">
      <c r="A1238" s="251"/>
      <c r="B1238" s="246"/>
      <c r="C1238" s="246" t="s">
        <v>1449</v>
      </c>
      <c r="D1238" s="247">
        <v>143.97999999999999</v>
      </c>
      <c r="E1238" s="248">
        <v>1</v>
      </c>
    </row>
    <row r="1239" spans="1:5" hidden="1" x14ac:dyDescent="0.2">
      <c r="A1239" s="251"/>
      <c r="B1239" s="246"/>
      <c r="C1239" s="246" t="s">
        <v>1450</v>
      </c>
      <c r="D1239" s="247">
        <v>143.97999999999999</v>
      </c>
      <c r="E1239" s="248">
        <v>1</v>
      </c>
    </row>
    <row r="1240" spans="1:5" hidden="1" x14ac:dyDescent="0.2">
      <c r="A1240" s="251"/>
      <c r="B1240" s="246"/>
      <c r="C1240" s="246" t="s">
        <v>1451</v>
      </c>
      <c r="D1240" s="247">
        <v>143.97999999999999</v>
      </c>
      <c r="E1240" s="248">
        <v>1</v>
      </c>
    </row>
    <row r="1241" spans="1:5" hidden="1" x14ac:dyDescent="0.2">
      <c r="A1241" s="251"/>
      <c r="B1241" s="246"/>
      <c r="C1241" s="246" t="s">
        <v>1452</v>
      </c>
      <c r="D1241" s="247">
        <v>143.97999999999999</v>
      </c>
      <c r="E1241" s="248">
        <v>1</v>
      </c>
    </row>
    <row r="1242" spans="1:5" hidden="1" x14ac:dyDescent="0.2">
      <c r="A1242" s="251"/>
      <c r="B1242" s="246"/>
      <c r="C1242" s="246" t="s">
        <v>1453</v>
      </c>
      <c r="D1242" s="247">
        <v>143.97999999999999</v>
      </c>
      <c r="E1242" s="248">
        <v>1</v>
      </c>
    </row>
    <row r="1243" spans="1:5" hidden="1" x14ac:dyDescent="0.2">
      <c r="A1243" s="251"/>
      <c r="B1243" s="246"/>
      <c r="C1243" s="246" t="s">
        <v>1454</v>
      </c>
      <c r="D1243" s="247">
        <v>143.97999999999999</v>
      </c>
      <c r="E1243" s="248">
        <v>1</v>
      </c>
    </row>
    <row r="1244" spans="1:5" hidden="1" x14ac:dyDescent="0.2">
      <c r="A1244" s="251"/>
      <c r="B1244" s="246"/>
      <c r="C1244" s="246" t="s">
        <v>1455</v>
      </c>
      <c r="D1244" s="247">
        <v>143.97999999999999</v>
      </c>
      <c r="E1244" s="248">
        <v>1</v>
      </c>
    </row>
    <row r="1245" spans="1:5" hidden="1" x14ac:dyDescent="0.2">
      <c r="A1245" s="251"/>
      <c r="B1245" s="246"/>
      <c r="C1245" s="246" t="s">
        <v>1456</v>
      </c>
      <c r="D1245" s="247">
        <v>143.97999999999999</v>
      </c>
      <c r="E1245" s="248">
        <v>1</v>
      </c>
    </row>
    <row r="1246" spans="1:5" hidden="1" x14ac:dyDescent="0.2">
      <c r="A1246" s="251"/>
      <c r="B1246" s="246"/>
      <c r="C1246" s="246" t="s">
        <v>2318</v>
      </c>
      <c r="D1246" s="247">
        <v>143.97999999999999</v>
      </c>
      <c r="E1246" s="248">
        <v>1</v>
      </c>
    </row>
    <row r="1247" spans="1:5" hidden="1" x14ac:dyDescent="0.2">
      <c r="A1247" s="251"/>
      <c r="B1247" s="246"/>
      <c r="C1247" s="246" t="s">
        <v>1457</v>
      </c>
      <c r="D1247" s="247">
        <v>143.97999999999999</v>
      </c>
      <c r="E1247" s="248">
        <v>1</v>
      </c>
    </row>
    <row r="1248" spans="1:5" hidden="1" x14ac:dyDescent="0.2">
      <c r="A1248" s="251"/>
      <c r="B1248" s="246"/>
      <c r="C1248" s="246" t="s">
        <v>1458</v>
      </c>
      <c r="D1248" s="247">
        <v>143.97999999999999</v>
      </c>
      <c r="E1248" s="248">
        <v>1</v>
      </c>
    </row>
    <row r="1249" spans="1:5" hidden="1" x14ac:dyDescent="0.2">
      <c r="A1249" s="251"/>
      <c r="B1249" s="246"/>
      <c r="C1249" s="246" t="s">
        <v>1459</v>
      </c>
      <c r="D1249" s="247">
        <v>143.97999999999999</v>
      </c>
      <c r="E1249" s="248">
        <v>1</v>
      </c>
    </row>
    <row r="1250" spans="1:5" hidden="1" x14ac:dyDescent="0.2">
      <c r="A1250" s="251"/>
      <c r="B1250" s="246"/>
      <c r="C1250" s="246" t="s">
        <v>1460</v>
      </c>
      <c r="D1250" s="247">
        <v>143.97999999999999</v>
      </c>
      <c r="E1250" s="248">
        <v>1</v>
      </c>
    </row>
    <row r="1251" spans="1:5" hidden="1" x14ac:dyDescent="0.2">
      <c r="A1251" s="251"/>
      <c r="B1251" s="246"/>
      <c r="C1251" s="246" t="s">
        <v>1461</v>
      </c>
      <c r="D1251" s="247">
        <v>143.97999999999999</v>
      </c>
      <c r="E1251" s="248">
        <v>1</v>
      </c>
    </row>
    <row r="1252" spans="1:5" hidden="1" x14ac:dyDescent="0.2">
      <c r="A1252" s="251"/>
      <c r="B1252" s="246"/>
      <c r="C1252" s="246" t="s">
        <v>1462</v>
      </c>
      <c r="D1252" s="247">
        <v>143.97999999999999</v>
      </c>
      <c r="E1252" s="248">
        <v>1</v>
      </c>
    </row>
    <row r="1253" spans="1:5" hidden="1" x14ac:dyDescent="0.2">
      <c r="A1253" s="251"/>
      <c r="B1253" s="246"/>
      <c r="C1253" s="246" t="s">
        <v>1463</v>
      </c>
      <c r="D1253" s="247">
        <v>143.97999999999999</v>
      </c>
      <c r="E1253" s="248">
        <v>1</v>
      </c>
    </row>
    <row r="1254" spans="1:5" hidden="1" x14ac:dyDescent="0.2">
      <c r="A1254" s="251"/>
      <c r="B1254" s="246"/>
      <c r="C1254" s="246" t="s">
        <v>1464</v>
      </c>
      <c r="D1254" s="247">
        <v>143.97999999999999</v>
      </c>
      <c r="E1254" s="248">
        <v>1</v>
      </c>
    </row>
    <row r="1255" spans="1:5" hidden="1" x14ac:dyDescent="0.2">
      <c r="A1255" s="251"/>
      <c r="B1255" s="246"/>
      <c r="C1255" s="246" t="s">
        <v>1465</v>
      </c>
      <c r="D1255" s="247">
        <v>143.97999999999999</v>
      </c>
      <c r="E1255" s="248">
        <v>1</v>
      </c>
    </row>
    <row r="1256" spans="1:5" hidden="1" x14ac:dyDescent="0.2">
      <c r="A1256" s="251"/>
      <c r="B1256" s="246"/>
      <c r="C1256" s="246" t="s">
        <v>1466</v>
      </c>
      <c r="D1256" s="247">
        <v>143.97999999999999</v>
      </c>
      <c r="E1256" s="248">
        <v>1</v>
      </c>
    </row>
    <row r="1257" spans="1:5" hidden="1" x14ac:dyDescent="0.2">
      <c r="A1257" s="251"/>
      <c r="B1257" s="246"/>
      <c r="C1257" s="246" t="s">
        <v>2319</v>
      </c>
      <c r="D1257" s="247">
        <v>143.97999999999999</v>
      </c>
      <c r="E1257" s="248">
        <v>1</v>
      </c>
    </row>
    <row r="1258" spans="1:5" hidden="1" x14ac:dyDescent="0.2">
      <c r="A1258" s="251"/>
      <c r="B1258" s="246"/>
      <c r="C1258" s="246" t="s">
        <v>1467</v>
      </c>
      <c r="D1258" s="247">
        <v>143.97999999999999</v>
      </c>
      <c r="E1258" s="248">
        <v>1</v>
      </c>
    </row>
    <row r="1259" spans="1:5" hidden="1" x14ac:dyDescent="0.2">
      <c r="A1259" s="251"/>
      <c r="B1259" s="246"/>
      <c r="C1259" s="246" t="s">
        <v>1468</v>
      </c>
      <c r="D1259" s="247">
        <v>143.97999999999999</v>
      </c>
      <c r="E1259" s="248">
        <v>1</v>
      </c>
    </row>
    <row r="1260" spans="1:5" hidden="1" x14ac:dyDescent="0.2">
      <c r="A1260" s="251"/>
      <c r="B1260" s="246"/>
      <c r="C1260" s="246" t="s">
        <v>1469</v>
      </c>
      <c r="D1260" s="247">
        <v>143.97999999999999</v>
      </c>
      <c r="E1260" s="248">
        <v>1</v>
      </c>
    </row>
    <row r="1261" spans="1:5" hidden="1" x14ac:dyDescent="0.2">
      <c r="A1261" s="251"/>
      <c r="B1261" s="246"/>
      <c r="C1261" s="246" t="s">
        <v>1470</v>
      </c>
      <c r="D1261" s="247">
        <v>143.97999999999999</v>
      </c>
      <c r="E1261" s="248">
        <v>1</v>
      </c>
    </row>
    <row r="1262" spans="1:5" hidden="1" x14ac:dyDescent="0.2">
      <c r="A1262" s="251"/>
      <c r="B1262" s="246"/>
      <c r="C1262" s="246" t="s">
        <v>1471</v>
      </c>
      <c r="D1262" s="247">
        <v>143.97999999999999</v>
      </c>
      <c r="E1262" s="248">
        <v>1</v>
      </c>
    </row>
    <row r="1263" spans="1:5" hidden="1" x14ac:dyDescent="0.2">
      <c r="A1263" s="251"/>
      <c r="B1263" s="246"/>
      <c r="C1263" s="246" t="s">
        <v>1472</v>
      </c>
      <c r="D1263" s="247">
        <v>143.97999999999999</v>
      </c>
      <c r="E1263" s="248">
        <v>1</v>
      </c>
    </row>
    <row r="1264" spans="1:5" hidden="1" x14ac:dyDescent="0.2">
      <c r="A1264" s="251"/>
      <c r="B1264" s="246"/>
      <c r="C1264" s="246" t="s">
        <v>1473</v>
      </c>
      <c r="D1264" s="247">
        <v>143.97999999999999</v>
      </c>
      <c r="E1264" s="248">
        <v>1</v>
      </c>
    </row>
    <row r="1265" spans="1:5" hidden="1" x14ac:dyDescent="0.2">
      <c r="A1265" s="251"/>
      <c r="B1265" s="246"/>
      <c r="C1265" s="246" t="s">
        <v>1474</v>
      </c>
      <c r="D1265" s="247">
        <v>143.97999999999999</v>
      </c>
      <c r="E1265" s="248">
        <v>1</v>
      </c>
    </row>
    <row r="1266" spans="1:5" hidden="1" x14ac:dyDescent="0.2">
      <c r="A1266" s="251"/>
      <c r="B1266" s="246"/>
      <c r="C1266" s="246" t="s">
        <v>1475</v>
      </c>
      <c r="D1266" s="247">
        <v>143.97999999999999</v>
      </c>
      <c r="E1266" s="248">
        <v>1</v>
      </c>
    </row>
    <row r="1267" spans="1:5" hidden="1" x14ac:dyDescent="0.2">
      <c r="A1267" s="251"/>
      <c r="B1267" s="246"/>
      <c r="C1267" s="246" t="s">
        <v>1476</v>
      </c>
      <c r="D1267" s="247">
        <v>143.97999999999999</v>
      </c>
      <c r="E1267" s="248">
        <v>1</v>
      </c>
    </row>
    <row r="1268" spans="1:5" hidden="1" x14ac:dyDescent="0.2">
      <c r="A1268" s="251"/>
      <c r="B1268" s="246"/>
      <c r="C1268" s="246" t="s">
        <v>1477</v>
      </c>
      <c r="D1268" s="247">
        <v>143.97999999999999</v>
      </c>
      <c r="E1268" s="248">
        <v>1</v>
      </c>
    </row>
    <row r="1269" spans="1:5" hidden="1" x14ac:dyDescent="0.2">
      <c r="A1269" s="251"/>
      <c r="B1269" s="246"/>
      <c r="C1269" s="246" t="s">
        <v>1478</v>
      </c>
      <c r="D1269" s="247">
        <v>143.97999999999999</v>
      </c>
      <c r="E1269" s="248">
        <v>1</v>
      </c>
    </row>
    <row r="1270" spans="1:5" hidden="1" x14ac:dyDescent="0.2">
      <c r="A1270" s="251"/>
      <c r="B1270" s="246"/>
      <c r="C1270" s="246" t="s">
        <v>1479</v>
      </c>
      <c r="D1270" s="247">
        <v>143.97999999999999</v>
      </c>
      <c r="E1270" s="248">
        <v>1</v>
      </c>
    </row>
    <row r="1271" spans="1:5" hidden="1" x14ac:dyDescent="0.2">
      <c r="A1271" s="251"/>
      <c r="B1271" s="246"/>
      <c r="C1271" s="246" t="s">
        <v>1480</v>
      </c>
      <c r="D1271" s="247">
        <v>143.97999999999999</v>
      </c>
      <c r="E1271" s="248">
        <v>1</v>
      </c>
    </row>
    <row r="1272" spans="1:5" hidden="1" x14ac:dyDescent="0.2">
      <c r="A1272" s="251"/>
      <c r="B1272" s="246"/>
      <c r="C1272" s="246" t="s">
        <v>2320</v>
      </c>
      <c r="D1272" s="247">
        <v>143.97999999999999</v>
      </c>
      <c r="E1272" s="248">
        <v>1</v>
      </c>
    </row>
    <row r="1273" spans="1:5" hidden="1" x14ac:dyDescent="0.2">
      <c r="A1273" s="251"/>
      <c r="B1273" s="246"/>
      <c r="C1273" s="246" t="s">
        <v>1481</v>
      </c>
      <c r="D1273" s="247">
        <v>143.97999999999999</v>
      </c>
      <c r="E1273" s="248">
        <v>1</v>
      </c>
    </row>
    <row r="1274" spans="1:5" hidden="1" x14ac:dyDescent="0.2">
      <c r="A1274" s="251"/>
      <c r="B1274" s="246"/>
      <c r="C1274" s="246" t="s">
        <v>1482</v>
      </c>
      <c r="D1274" s="247">
        <v>143.97999999999999</v>
      </c>
      <c r="E1274" s="248">
        <v>1</v>
      </c>
    </row>
    <row r="1275" spans="1:5" hidden="1" x14ac:dyDescent="0.2">
      <c r="A1275" s="251"/>
      <c r="B1275" s="246"/>
      <c r="C1275" s="246" t="s">
        <v>1483</v>
      </c>
      <c r="D1275" s="247">
        <v>143.97999999999999</v>
      </c>
      <c r="E1275" s="248">
        <v>1</v>
      </c>
    </row>
    <row r="1276" spans="1:5" hidden="1" x14ac:dyDescent="0.2">
      <c r="A1276" s="251"/>
      <c r="B1276" s="246"/>
      <c r="C1276" s="246" t="s">
        <v>1484</v>
      </c>
      <c r="D1276" s="247">
        <v>143.97999999999999</v>
      </c>
      <c r="E1276" s="248">
        <v>1</v>
      </c>
    </row>
    <row r="1277" spans="1:5" hidden="1" x14ac:dyDescent="0.2">
      <c r="A1277" s="251"/>
      <c r="B1277" s="246"/>
      <c r="C1277" s="246" t="s">
        <v>1485</v>
      </c>
      <c r="D1277" s="247">
        <v>143.97999999999999</v>
      </c>
      <c r="E1277" s="248">
        <v>1</v>
      </c>
    </row>
    <row r="1278" spans="1:5" hidden="1" x14ac:dyDescent="0.2">
      <c r="A1278" s="251"/>
      <c r="B1278" s="246"/>
      <c r="C1278" s="246" t="s">
        <v>1486</v>
      </c>
      <c r="D1278" s="247">
        <v>143.97999999999999</v>
      </c>
      <c r="E1278" s="248">
        <v>1</v>
      </c>
    </row>
    <row r="1279" spans="1:5" hidden="1" x14ac:dyDescent="0.2">
      <c r="A1279" s="251"/>
      <c r="B1279" s="246"/>
      <c r="C1279" s="246" t="s">
        <v>1487</v>
      </c>
      <c r="D1279" s="247">
        <v>143.97999999999999</v>
      </c>
      <c r="E1279" s="248">
        <v>1</v>
      </c>
    </row>
    <row r="1280" spans="1:5" hidden="1" x14ac:dyDescent="0.2">
      <c r="A1280" s="251"/>
      <c r="B1280" s="246"/>
      <c r="C1280" s="246" t="s">
        <v>1488</v>
      </c>
      <c r="D1280" s="247">
        <v>143.97999999999999</v>
      </c>
      <c r="E1280" s="248">
        <v>1</v>
      </c>
    </row>
    <row r="1281" spans="1:5" hidden="1" x14ac:dyDescent="0.2">
      <c r="A1281" s="251"/>
      <c r="B1281" s="246"/>
      <c r="C1281" s="246" t="s">
        <v>1489</v>
      </c>
      <c r="D1281" s="247">
        <v>143.97999999999999</v>
      </c>
      <c r="E1281" s="248">
        <v>1</v>
      </c>
    </row>
    <row r="1282" spans="1:5" hidden="1" x14ac:dyDescent="0.2">
      <c r="A1282" s="251"/>
      <c r="B1282" s="246"/>
      <c r="C1282" s="246" t="s">
        <v>1490</v>
      </c>
      <c r="D1282" s="247">
        <v>143.97999999999999</v>
      </c>
      <c r="E1282" s="248">
        <v>1</v>
      </c>
    </row>
    <row r="1283" spans="1:5" hidden="1" x14ac:dyDescent="0.2">
      <c r="A1283" s="251"/>
      <c r="B1283" s="246"/>
      <c r="C1283" s="246" t="s">
        <v>1491</v>
      </c>
      <c r="D1283" s="247">
        <v>143.97999999999999</v>
      </c>
      <c r="E1283" s="248">
        <v>1</v>
      </c>
    </row>
    <row r="1284" spans="1:5" hidden="1" x14ac:dyDescent="0.2">
      <c r="A1284" s="251"/>
      <c r="B1284" s="246"/>
      <c r="C1284" s="246" t="s">
        <v>1492</v>
      </c>
      <c r="D1284" s="247">
        <v>143.97999999999999</v>
      </c>
      <c r="E1284" s="248">
        <v>1</v>
      </c>
    </row>
    <row r="1285" spans="1:5" hidden="1" x14ac:dyDescent="0.2">
      <c r="A1285" s="251"/>
      <c r="B1285" s="246"/>
      <c r="C1285" s="246" t="s">
        <v>1493</v>
      </c>
      <c r="D1285" s="247">
        <v>143.97999999999999</v>
      </c>
      <c r="E1285" s="248">
        <v>1</v>
      </c>
    </row>
    <row r="1286" spans="1:5" hidden="1" x14ac:dyDescent="0.2">
      <c r="A1286" s="251"/>
      <c r="B1286" s="246"/>
      <c r="C1286" s="246" t="s">
        <v>1494</v>
      </c>
      <c r="D1286" s="247">
        <v>143.97999999999999</v>
      </c>
      <c r="E1286" s="248">
        <v>1</v>
      </c>
    </row>
    <row r="1287" spans="1:5" hidden="1" x14ac:dyDescent="0.2">
      <c r="A1287" s="251"/>
      <c r="B1287" s="246"/>
      <c r="C1287" s="246" t="s">
        <v>1495</v>
      </c>
      <c r="D1287" s="247">
        <v>143.97999999999999</v>
      </c>
      <c r="E1287" s="248">
        <v>1</v>
      </c>
    </row>
    <row r="1288" spans="1:5" hidden="1" x14ac:dyDescent="0.2">
      <c r="A1288" s="251"/>
      <c r="B1288" s="246"/>
      <c r="C1288" s="246" t="s">
        <v>1496</v>
      </c>
      <c r="D1288" s="247">
        <v>143.97999999999999</v>
      </c>
      <c r="E1288" s="248">
        <v>2</v>
      </c>
    </row>
    <row r="1289" spans="1:5" hidden="1" x14ac:dyDescent="0.2">
      <c r="A1289" s="251"/>
      <c r="B1289" s="246"/>
      <c r="C1289" s="246" t="s">
        <v>1497</v>
      </c>
      <c r="D1289" s="247">
        <v>143.97999999999999</v>
      </c>
      <c r="E1289" s="248">
        <v>1</v>
      </c>
    </row>
    <row r="1290" spans="1:5" hidden="1" x14ac:dyDescent="0.2">
      <c r="A1290" s="251"/>
      <c r="B1290" s="246"/>
      <c r="C1290" s="246" t="s">
        <v>1498</v>
      </c>
      <c r="D1290" s="247">
        <v>143.97999999999999</v>
      </c>
      <c r="E1290" s="248">
        <v>1</v>
      </c>
    </row>
    <row r="1291" spans="1:5" hidden="1" x14ac:dyDescent="0.2">
      <c r="A1291" s="251"/>
      <c r="B1291" s="246"/>
      <c r="C1291" s="246" t="s">
        <v>1499</v>
      </c>
      <c r="D1291" s="247">
        <v>143.97999999999999</v>
      </c>
      <c r="E1291" s="248">
        <v>1</v>
      </c>
    </row>
    <row r="1292" spans="1:5" hidden="1" x14ac:dyDescent="0.2">
      <c r="A1292" s="251"/>
      <c r="B1292" s="246"/>
      <c r="C1292" s="246" t="s">
        <v>1500</v>
      </c>
      <c r="D1292" s="247">
        <v>143.97999999999999</v>
      </c>
      <c r="E1292" s="248">
        <v>1</v>
      </c>
    </row>
    <row r="1293" spans="1:5" hidden="1" x14ac:dyDescent="0.2">
      <c r="A1293" s="251"/>
      <c r="B1293" s="246"/>
      <c r="C1293" s="246" t="s">
        <v>1501</v>
      </c>
      <c r="D1293" s="247">
        <v>143.97999999999999</v>
      </c>
      <c r="E1293" s="248">
        <v>1</v>
      </c>
    </row>
    <row r="1294" spans="1:5" hidden="1" x14ac:dyDescent="0.2">
      <c r="A1294" s="251"/>
      <c r="B1294" s="246"/>
      <c r="C1294" s="246" t="s">
        <v>1502</v>
      </c>
      <c r="D1294" s="247">
        <v>143.97999999999999</v>
      </c>
      <c r="E1294" s="248">
        <v>1</v>
      </c>
    </row>
    <row r="1295" spans="1:5" hidden="1" x14ac:dyDescent="0.2">
      <c r="A1295" s="251"/>
      <c r="B1295" s="246"/>
      <c r="C1295" s="246" t="s">
        <v>2321</v>
      </c>
      <c r="D1295" s="247">
        <v>143.97999999999999</v>
      </c>
      <c r="E1295" s="248">
        <v>1</v>
      </c>
    </row>
    <row r="1296" spans="1:5" hidden="1" x14ac:dyDescent="0.2">
      <c r="A1296" s="251"/>
      <c r="B1296" s="246"/>
      <c r="C1296" s="246" t="s">
        <v>1503</v>
      </c>
      <c r="D1296" s="247">
        <v>143.97999999999999</v>
      </c>
      <c r="E1296" s="248">
        <v>1</v>
      </c>
    </row>
    <row r="1297" spans="1:5" hidden="1" x14ac:dyDescent="0.2">
      <c r="A1297" s="251"/>
      <c r="B1297" s="246"/>
      <c r="C1297" s="246" t="s">
        <v>1504</v>
      </c>
      <c r="D1297" s="247">
        <v>143.97999999999999</v>
      </c>
      <c r="E1297" s="248">
        <v>1</v>
      </c>
    </row>
    <row r="1298" spans="1:5" hidden="1" x14ac:dyDescent="0.2">
      <c r="A1298" s="251"/>
      <c r="B1298" s="246"/>
      <c r="C1298" s="246" t="s">
        <v>2322</v>
      </c>
      <c r="D1298" s="247">
        <v>143.97999999999999</v>
      </c>
      <c r="E1298" s="248">
        <v>1</v>
      </c>
    </row>
    <row r="1299" spans="1:5" hidden="1" x14ac:dyDescent="0.2">
      <c r="A1299" s="251"/>
      <c r="B1299" s="246"/>
      <c r="C1299" s="246" t="s">
        <v>1505</v>
      </c>
      <c r="D1299" s="247">
        <v>143.97999999999999</v>
      </c>
      <c r="E1299" s="248">
        <v>1</v>
      </c>
    </row>
    <row r="1300" spans="1:5" hidden="1" x14ac:dyDescent="0.2">
      <c r="A1300" s="251"/>
      <c r="B1300" s="246"/>
      <c r="C1300" s="246" t="s">
        <v>1506</v>
      </c>
      <c r="D1300" s="247">
        <v>143.97999999999999</v>
      </c>
      <c r="E1300" s="248">
        <v>1</v>
      </c>
    </row>
    <row r="1301" spans="1:5" hidden="1" x14ac:dyDescent="0.2">
      <c r="A1301" s="251"/>
      <c r="B1301" s="246"/>
      <c r="C1301" s="246" t="s">
        <v>1507</v>
      </c>
      <c r="D1301" s="247">
        <v>143.97999999999999</v>
      </c>
      <c r="E1301" s="248">
        <v>1</v>
      </c>
    </row>
    <row r="1302" spans="1:5" hidden="1" x14ac:dyDescent="0.2">
      <c r="A1302" s="251"/>
      <c r="B1302" s="246"/>
      <c r="C1302" s="246" t="s">
        <v>1508</v>
      </c>
      <c r="D1302" s="247">
        <v>143.97999999999999</v>
      </c>
      <c r="E1302" s="248">
        <v>1</v>
      </c>
    </row>
    <row r="1303" spans="1:5" hidden="1" x14ac:dyDescent="0.2">
      <c r="A1303" s="251"/>
      <c r="B1303" s="246"/>
      <c r="C1303" s="246" t="s">
        <v>1509</v>
      </c>
      <c r="D1303" s="247">
        <v>143.97999999999999</v>
      </c>
      <c r="E1303" s="248">
        <v>1</v>
      </c>
    </row>
    <row r="1304" spans="1:5" hidden="1" x14ac:dyDescent="0.2">
      <c r="A1304" s="251"/>
      <c r="B1304" s="246"/>
      <c r="C1304" s="246" t="s">
        <v>1510</v>
      </c>
      <c r="D1304" s="247">
        <v>143.97999999999999</v>
      </c>
      <c r="E1304" s="248">
        <v>1</v>
      </c>
    </row>
    <row r="1305" spans="1:5" hidden="1" x14ac:dyDescent="0.2">
      <c r="A1305" s="251"/>
      <c r="B1305" s="246"/>
      <c r="C1305" s="246" t="s">
        <v>1511</v>
      </c>
      <c r="D1305" s="247">
        <v>143.97999999999999</v>
      </c>
      <c r="E1305" s="248">
        <v>1</v>
      </c>
    </row>
    <row r="1306" spans="1:5" hidden="1" x14ac:dyDescent="0.2">
      <c r="A1306" s="251"/>
      <c r="B1306" s="246"/>
      <c r="C1306" s="246" t="s">
        <v>1512</v>
      </c>
      <c r="D1306" s="247">
        <v>143.97999999999999</v>
      </c>
      <c r="E1306" s="248">
        <v>1</v>
      </c>
    </row>
    <row r="1307" spans="1:5" hidden="1" x14ac:dyDescent="0.2">
      <c r="A1307" s="251"/>
      <c r="B1307" s="246"/>
      <c r="C1307" s="246" t="s">
        <v>1513</v>
      </c>
      <c r="D1307" s="247">
        <v>143.97999999999999</v>
      </c>
      <c r="E1307" s="248">
        <v>1</v>
      </c>
    </row>
    <row r="1308" spans="1:5" hidden="1" x14ac:dyDescent="0.2">
      <c r="A1308" s="251"/>
      <c r="B1308" s="246"/>
      <c r="C1308" s="246" t="s">
        <v>1514</v>
      </c>
      <c r="D1308" s="247">
        <v>143.97999999999999</v>
      </c>
      <c r="E1308" s="248">
        <v>1</v>
      </c>
    </row>
    <row r="1309" spans="1:5" hidden="1" x14ac:dyDescent="0.2">
      <c r="A1309" s="251"/>
      <c r="B1309" s="246"/>
      <c r="C1309" s="246" t="s">
        <v>1515</v>
      </c>
      <c r="D1309" s="247">
        <v>143.97999999999999</v>
      </c>
      <c r="E1309" s="248">
        <v>1</v>
      </c>
    </row>
    <row r="1310" spans="1:5" hidden="1" x14ac:dyDescent="0.2">
      <c r="A1310" s="251"/>
      <c r="B1310" s="246"/>
      <c r="C1310" s="246" t="s">
        <v>1516</v>
      </c>
      <c r="D1310" s="247">
        <v>143.97999999999999</v>
      </c>
      <c r="E1310" s="248">
        <v>1</v>
      </c>
    </row>
    <row r="1311" spans="1:5" hidden="1" x14ac:dyDescent="0.2">
      <c r="A1311" s="251"/>
      <c r="B1311" s="246"/>
      <c r="C1311" s="246" t="s">
        <v>1517</v>
      </c>
      <c r="D1311" s="247">
        <v>143.97999999999999</v>
      </c>
      <c r="E1311" s="248">
        <v>1</v>
      </c>
    </row>
    <row r="1312" spans="1:5" hidden="1" x14ac:dyDescent="0.2">
      <c r="A1312" s="251"/>
      <c r="B1312" s="246"/>
      <c r="C1312" s="246" t="s">
        <v>1518</v>
      </c>
      <c r="D1312" s="247">
        <v>143.97999999999999</v>
      </c>
      <c r="E1312" s="248">
        <v>1</v>
      </c>
    </row>
    <row r="1313" spans="1:5" hidden="1" x14ac:dyDescent="0.2">
      <c r="A1313" s="251"/>
      <c r="B1313" s="246"/>
      <c r="C1313" s="246" t="s">
        <v>1519</v>
      </c>
      <c r="D1313" s="247">
        <v>143.97999999999999</v>
      </c>
      <c r="E1313" s="248">
        <v>1</v>
      </c>
    </row>
    <row r="1314" spans="1:5" hidden="1" x14ac:dyDescent="0.2">
      <c r="A1314" s="251"/>
      <c r="B1314" s="246"/>
      <c r="C1314" s="246" t="s">
        <v>1520</v>
      </c>
      <c r="D1314" s="247">
        <v>143.97999999999999</v>
      </c>
      <c r="E1314" s="248">
        <v>1</v>
      </c>
    </row>
    <row r="1315" spans="1:5" hidden="1" x14ac:dyDescent="0.2">
      <c r="A1315" s="251"/>
      <c r="B1315" s="246"/>
      <c r="C1315" s="246" t="s">
        <v>1521</v>
      </c>
      <c r="D1315" s="247">
        <v>143.97999999999999</v>
      </c>
      <c r="E1315" s="248">
        <v>1</v>
      </c>
    </row>
    <row r="1316" spans="1:5" hidden="1" x14ac:dyDescent="0.2">
      <c r="A1316" s="251"/>
      <c r="B1316" s="246"/>
      <c r="C1316" s="246" t="s">
        <v>1522</v>
      </c>
      <c r="D1316" s="247">
        <v>143.97999999999999</v>
      </c>
      <c r="E1316" s="248">
        <v>1</v>
      </c>
    </row>
    <row r="1317" spans="1:5" hidden="1" x14ac:dyDescent="0.2">
      <c r="A1317" s="251"/>
      <c r="B1317" s="246"/>
      <c r="C1317" s="246" t="s">
        <v>1523</v>
      </c>
      <c r="D1317" s="247">
        <v>143.97999999999999</v>
      </c>
      <c r="E1317" s="248">
        <v>1</v>
      </c>
    </row>
    <row r="1318" spans="1:5" hidden="1" x14ac:dyDescent="0.2">
      <c r="A1318" s="251"/>
      <c r="B1318" s="246"/>
      <c r="C1318" s="246" t="s">
        <v>1524</v>
      </c>
      <c r="D1318" s="247">
        <v>143.97999999999999</v>
      </c>
      <c r="E1318" s="248">
        <v>1</v>
      </c>
    </row>
    <row r="1319" spans="1:5" hidden="1" x14ac:dyDescent="0.2">
      <c r="A1319" s="251"/>
      <c r="B1319" s="246"/>
      <c r="C1319" s="246" t="s">
        <v>1525</v>
      </c>
      <c r="D1319" s="247">
        <v>143.97999999999999</v>
      </c>
      <c r="E1319" s="248">
        <v>1</v>
      </c>
    </row>
    <row r="1320" spans="1:5" hidden="1" x14ac:dyDescent="0.2">
      <c r="A1320" s="251"/>
      <c r="B1320" s="246"/>
      <c r="C1320" s="246" t="s">
        <v>1526</v>
      </c>
      <c r="D1320" s="247">
        <v>143.97999999999999</v>
      </c>
      <c r="E1320" s="248">
        <v>1</v>
      </c>
    </row>
    <row r="1321" spans="1:5" hidden="1" x14ac:dyDescent="0.2">
      <c r="A1321" s="251"/>
      <c r="B1321" s="246"/>
      <c r="C1321" s="246" t="s">
        <v>1527</v>
      </c>
      <c r="D1321" s="247">
        <v>143.97999999999999</v>
      </c>
      <c r="E1321" s="248">
        <v>1</v>
      </c>
    </row>
    <row r="1322" spans="1:5" hidden="1" x14ac:dyDescent="0.2">
      <c r="A1322" s="251"/>
      <c r="B1322" s="246"/>
      <c r="C1322" s="246" t="s">
        <v>1528</v>
      </c>
      <c r="D1322" s="247">
        <v>143.97999999999999</v>
      </c>
      <c r="E1322" s="248">
        <v>1</v>
      </c>
    </row>
    <row r="1323" spans="1:5" hidden="1" x14ac:dyDescent="0.2">
      <c r="A1323" s="251"/>
      <c r="B1323" s="246"/>
      <c r="C1323" s="246" t="s">
        <v>1529</v>
      </c>
      <c r="D1323" s="247">
        <v>143.97999999999999</v>
      </c>
      <c r="E1323" s="248">
        <v>1</v>
      </c>
    </row>
    <row r="1324" spans="1:5" hidden="1" x14ac:dyDescent="0.2">
      <c r="A1324" s="251"/>
      <c r="B1324" s="246"/>
      <c r="C1324" s="246" t="s">
        <v>1530</v>
      </c>
      <c r="D1324" s="247">
        <v>143.97999999999999</v>
      </c>
      <c r="E1324" s="248">
        <v>1</v>
      </c>
    </row>
    <row r="1325" spans="1:5" hidden="1" x14ac:dyDescent="0.2">
      <c r="A1325" s="251"/>
      <c r="B1325" s="246"/>
      <c r="C1325" s="246" t="s">
        <v>1531</v>
      </c>
      <c r="D1325" s="247">
        <v>143.97999999999999</v>
      </c>
      <c r="E1325" s="248">
        <v>1</v>
      </c>
    </row>
    <row r="1326" spans="1:5" hidden="1" x14ac:dyDescent="0.2">
      <c r="A1326" s="251"/>
      <c r="B1326" s="246"/>
      <c r="C1326" s="246" t="s">
        <v>1532</v>
      </c>
      <c r="D1326" s="247">
        <v>143.97999999999999</v>
      </c>
      <c r="E1326" s="248">
        <v>1</v>
      </c>
    </row>
    <row r="1327" spans="1:5" hidden="1" x14ac:dyDescent="0.2">
      <c r="A1327" s="251"/>
      <c r="B1327" s="246"/>
      <c r="C1327" s="246" t="s">
        <v>1533</v>
      </c>
      <c r="D1327" s="247">
        <v>143.97999999999999</v>
      </c>
      <c r="E1327" s="248">
        <v>1</v>
      </c>
    </row>
    <row r="1328" spans="1:5" hidden="1" x14ac:dyDescent="0.2">
      <c r="A1328" s="251"/>
      <c r="B1328" s="246"/>
      <c r="C1328" s="246" t="s">
        <v>1534</v>
      </c>
      <c r="D1328" s="247">
        <v>143.97999999999999</v>
      </c>
      <c r="E1328" s="248">
        <v>1</v>
      </c>
    </row>
    <row r="1329" spans="1:5" hidden="1" x14ac:dyDescent="0.2">
      <c r="A1329" s="251"/>
      <c r="B1329" s="246"/>
      <c r="C1329" s="246" t="s">
        <v>1535</v>
      </c>
      <c r="D1329" s="247">
        <v>143.97999999999999</v>
      </c>
      <c r="E1329" s="248">
        <v>1</v>
      </c>
    </row>
    <row r="1330" spans="1:5" hidden="1" x14ac:dyDescent="0.2">
      <c r="A1330" s="251"/>
      <c r="B1330" s="246"/>
      <c r="C1330" s="246" t="s">
        <v>1536</v>
      </c>
      <c r="D1330" s="247">
        <v>143.97999999999999</v>
      </c>
      <c r="E1330" s="248">
        <v>1</v>
      </c>
    </row>
    <row r="1331" spans="1:5" hidden="1" x14ac:dyDescent="0.2">
      <c r="A1331" s="251"/>
      <c r="B1331" s="246"/>
      <c r="C1331" s="246" t="s">
        <v>1537</v>
      </c>
      <c r="D1331" s="247">
        <v>143.97999999999999</v>
      </c>
      <c r="E1331" s="248">
        <v>1</v>
      </c>
    </row>
    <row r="1332" spans="1:5" hidden="1" x14ac:dyDescent="0.2">
      <c r="A1332" s="251"/>
      <c r="B1332" s="246"/>
      <c r="C1332" s="246" t="s">
        <v>1538</v>
      </c>
      <c r="D1332" s="247">
        <v>143.97999999999999</v>
      </c>
      <c r="E1332" s="248">
        <v>1</v>
      </c>
    </row>
    <row r="1333" spans="1:5" hidden="1" x14ac:dyDescent="0.2">
      <c r="A1333" s="251"/>
      <c r="B1333" s="246"/>
      <c r="C1333" s="246" t="s">
        <v>1539</v>
      </c>
      <c r="D1333" s="247">
        <v>143.97999999999999</v>
      </c>
      <c r="E1333" s="248">
        <v>1</v>
      </c>
    </row>
    <row r="1334" spans="1:5" hidden="1" x14ac:dyDescent="0.2">
      <c r="A1334" s="251"/>
      <c r="B1334" s="246"/>
      <c r="C1334" s="246" t="s">
        <v>2323</v>
      </c>
      <c r="D1334" s="247">
        <v>143.97999999999999</v>
      </c>
      <c r="E1334" s="248">
        <v>1</v>
      </c>
    </row>
    <row r="1335" spans="1:5" hidden="1" x14ac:dyDescent="0.2">
      <c r="A1335" s="251"/>
      <c r="B1335" s="246"/>
      <c r="C1335" s="246" t="s">
        <v>1540</v>
      </c>
      <c r="D1335" s="247">
        <v>143.97999999999999</v>
      </c>
      <c r="E1335" s="248">
        <v>1</v>
      </c>
    </row>
    <row r="1336" spans="1:5" hidden="1" x14ac:dyDescent="0.2">
      <c r="A1336" s="251"/>
      <c r="B1336" s="246"/>
      <c r="C1336" s="246" t="s">
        <v>1541</v>
      </c>
      <c r="D1336" s="247">
        <v>143.97999999999999</v>
      </c>
      <c r="E1336" s="248">
        <v>1</v>
      </c>
    </row>
    <row r="1337" spans="1:5" hidden="1" x14ac:dyDescent="0.2">
      <c r="A1337" s="251"/>
      <c r="B1337" s="246"/>
      <c r="C1337" s="246" t="s">
        <v>1542</v>
      </c>
      <c r="D1337" s="247">
        <v>143.97999999999999</v>
      </c>
      <c r="E1337" s="248">
        <v>1</v>
      </c>
    </row>
    <row r="1338" spans="1:5" hidden="1" x14ac:dyDescent="0.2">
      <c r="A1338" s="251"/>
      <c r="B1338" s="246"/>
      <c r="C1338" s="246" t="s">
        <v>1543</v>
      </c>
      <c r="D1338" s="247">
        <v>143.97999999999999</v>
      </c>
      <c r="E1338" s="248">
        <v>1</v>
      </c>
    </row>
    <row r="1339" spans="1:5" hidden="1" x14ac:dyDescent="0.2">
      <c r="A1339" s="251"/>
      <c r="B1339" s="246"/>
      <c r="C1339" s="246" t="s">
        <v>1544</v>
      </c>
      <c r="D1339" s="247">
        <v>143.97999999999999</v>
      </c>
      <c r="E1339" s="248">
        <v>1</v>
      </c>
    </row>
    <row r="1340" spans="1:5" hidden="1" x14ac:dyDescent="0.2">
      <c r="A1340" s="251"/>
      <c r="B1340" s="246"/>
      <c r="C1340" s="246" t="s">
        <v>1545</v>
      </c>
      <c r="D1340" s="247">
        <v>143.97999999999999</v>
      </c>
      <c r="E1340" s="248">
        <v>1</v>
      </c>
    </row>
    <row r="1341" spans="1:5" hidden="1" x14ac:dyDescent="0.2">
      <c r="A1341" s="251"/>
      <c r="B1341" s="246"/>
      <c r="C1341" s="246" t="s">
        <v>1546</v>
      </c>
      <c r="D1341" s="247">
        <v>143.97999999999999</v>
      </c>
      <c r="E1341" s="248">
        <v>1</v>
      </c>
    </row>
    <row r="1342" spans="1:5" hidden="1" x14ac:dyDescent="0.2">
      <c r="A1342" s="251"/>
      <c r="B1342" s="246"/>
      <c r="C1342" s="246" t="s">
        <v>1547</v>
      </c>
      <c r="D1342" s="247">
        <v>143.97999999999999</v>
      </c>
      <c r="E1342" s="248">
        <v>1</v>
      </c>
    </row>
    <row r="1343" spans="1:5" hidden="1" x14ac:dyDescent="0.2">
      <c r="A1343" s="251"/>
      <c r="B1343" s="246"/>
      <c r="C1343" s="246" t="s">
        <v>1548</v>
      </c>
      <c r="D1343" s="247">
        <v>143.97999999999999</v>
      </c>
      <c r="E1343" s="248">
        <v>1</v>
      </c>
    </row>
    <row r="1344" spans="1:5" hidden="1" x14ac:dyDescent="0.2">
      <c r="A1344" s="251"/>
      <c r="B1344" s="246"/>
      <c r="C1344" s="246" t="s">
        <v>1549</v>
      </c>
      <c r="D1344" s="247">
        <v>143.97999999999999</v>
      </c>
      <c r="E1344" s="248">
        <v>1</v>
      </c>
    </row>
    <row r="1345" spans="1:5" hidden="1" x14ac:dyDescent="0.2">
      <c r="A1345" s="251"/>
      <c r="B1345" s="246"/>
      <c r="C1345" s="246" t="s">
        <v>1550</v>
      </c>
      <c r="D1345" s="247">
        <v>143.97999999999999</v>
      </c>
      <c r="E1345" s="248">
        <v>1</v>
      </c>
    </row>
    <row r="1346" spans="1:5" hidden="1" x14ac:dyDescent="0.2">
      <c r="A1346" s="251"/>
      <c r="B1346" s="246"/>
      <c r="C1346" s="246" t="s">
        <v>1551</v>
      </c>
      <c r="D1346" s="247">
        <v>143.97999999999999</v>
      </c>
      <c r="E1346" s="248">
        <v>1</v>
      </c>
    </row>
    <row r="1347" spans="1:5" hidden="1" x14ac:dyDescent="0.2">
      <c r="A1347" s="251"/>
      <c r="B1347" s="246"/>
      <c r="C1347" s="246" t="s">
        <v>1552</v>
      </c>
      <c r="D1347" s="247">
        <v>143.97999999999999</v>
      </c>
      <c r="E1347" s="248">
        <v>1</v>
      </c>
    </row>
    <row r="1348" spans="1:5" hidden="1" x14ac:dyDescent="0.2">
      <c r="A1348" s="251"/>
      <c r="B1348" s="246"/>
      <c r="C1348" s="246" t="s">
        <v>1553</v>
      </c>
      <c r="D1348" s="247">
        <v>143.97999999999999</v>
      </c>
      <c r="E1348" s="248">
        <v>1</v>
      </c>
    </row>
    <row r="1349" spans="1:5" hidden="1" x14ac:dyDescent="0.2">
      <c r="A1349" s="251"/>
      <c r="B1349" s="246"/>
      <c r="C1349" s="246" t="s">
        <v>1554</v>
      </c>
      <c r="D1349" s="247">
        <v>143.97999999999999</v>
      </c>
      <c r="E1349" s="248">
        <v>1</v>
      </c>
    </row>
    <row r="1350" spans="1:5" hidden="1" x14ac:dyDescent="0.2">
      <c r="A1350" s="251"/>
      <c r="B1350" s="246"/>
      <c r="C1350" s="246" t="s">
        <v>1555</v>
      </c>
      <c r="D1350" s="247">
        <v>143.97999999999999</v>
      </c>
      <c r="E1350" s="248">
        <v>1</v>
      </c>
    </row>
    <row r="1351" spans="1:5" hidden="1" x14ac:dyDescent="0.2">
      <c r="A1351" s="251"/>
      <c r="B1351" s="246"/>
      <c r="C1351" s="246" t="s">
        <v>1556</v>
      </c>
      <c r="D1351" s="247">
        <v>143.97999999999999</v>
      </c>
      <c r="E1351" s="248">
        <v>1</v>
      </c>
    </row>
    <row r="1352" spans="1:5" hidden="1" x14ac:dyDescent="0.2">
      <c r="A1352" s="251"/>
      <c r="B1352" s="246"/>
      <c r="C1352" s="246" t="s">
        <v>1557</v>
      </c>
      <c r="D1352" s="247">
        <v>143.97999999999999</v>
      </c>
      <c r="E1352" s="248">
        <v>1</v>
      </c>
    </row>
    <row r="1353" spans="1:5" hidden="1" x14ac:dyDescent="0.2">
      <c r="A1353" s="251"/>
      <c r="B1353" s="246"/>
      <c r="C1353" s="246" t="s">
        <v>1558</v>
      </c>
      <c r="D1353" s="247">
        <v>143.97999999999999</v>
      </c>
      <c r="E1353" s="248">
        <v>1</v>
      </c>
    </row>
    <row r="1354" spans="1:5" hidden="1" x14ac:dyDescent="0.2">
      <c r="A1354" s="251"/>
      <c r="B1354" s="246"/>
      <c r="C1354" s="246" t="s">
        <v>1559</v>
      </c>
      <c r="D1354" s="247">
        <v>143.97999999999999</v>
      </c>
      <c r="E1354" s="248">
        <v>1</v>
      </c>
    </row>
    <row r="1355" spans="1:5" hidden="1" x14ac:dyDescent="0.2">
      <c r="A1355" s="251"/>
      <c r="B1355" s="246"/>
      <c r="C1355" s="246" t="s">
        <v>1560</v>
      </c>
      <c r="D1355" s="247">
        <v>143.97999999999999</v>
      </c>
      <c r="E1355" s="248">
        <v>1</v>
      </c>
    </row>
    <row r="1356" spans="1:5" hidden="1" x14ac:dyDescent="0.2">
      <c r="A1356" s="251"/>
      <c r="B1356" s="246"/>
      <c r="C1356" s="246" t="s">
        <v>1561</v>
      </c>
      <c r="D1356" s="247">
        <v>143.97999999999999</v>
      </c>
      <c r="E1356" s="248">
        <v>1</v>
      </c>
    </row>
    <row r="1357" spans="1:5" hidden="1" x14ac:dyDescent="0.2">
      <c r="A1357" s="251"/>
      <c r="B1357" s="246"/>
      <c r="C1357" s="246" t="s">
        <v>1562</v>
      </c>
      <c r="D1357" s="247">
        <v>143.97999999999999</v>
      </c>
      <c r="E1357" s="248">
        <v>1</v>
      </c>
    </row>
    <row r="1358" spans="1:5" hidden="1" x14ac:dyDescent="0.2">
      <c r="A1358" s="251"/>
      <c r="B1358" s="246"/>
      <c r="C1358" s="246" t="s">
        <v>1563</v>
      </c>
      <c r="D1358" s="247">
        <v>143.97999999999999</v>
      </c>
      <c r="E1358" s="248">
        <v>1</v>
      </c>
    </row>
    <row r="1359" spans="1:5" hidden="1" x14ac:dyDescent="0.2">
      <c r="A1359" s="251"/>
      <c r="B1359" s="246"/>
      <c r="C1359" s="246" t="s">
        <v>1564</v>
      </c>
      <c r="D1359" s="247">
        <v>143.97999999999999</v>
      </c>
      <c r="E1359" s="248">
        <v>1</v>
      </c>
    </row>
    <row r="1360" spans="1:5" hidden="1" x14ac:dyDescent="0.2">
      <c r="A1360" s="251"/>
      <c r="B1360" s="246"/>
      <c r="C1360" s="246" t="s">
        <v>1565</v>
      </c>
      <c r="D1360" s="247">
        <v>143.97999999999999</v>
      </c>
      <c r="E1360" s="248">
        <v>1</v>
      </c>
    </row>
    <row r="1361" spans="1:5" hidden="1" x14ac:dyDescent="0.2">
      <c r="A1361" s="251"/>
      <c r="B1361" s="246"/>
      <c r="C1361" s="246" t="s">
        <v>1566</v>
      </c>
      <c r="D1361" s="247">
        <v>143.97999999999999</v>
      </c>
      <c r="E1361" s="248">
        <v>1</v>
      </c>
    </row>
    <row r="1362" spans="1:5" hidden="1" x14ac:dyDescent="0.2">
      <c r="A1362" s="251"/>
      <c r="B1362" s="246"/>
      <c r="C1362" s="246" t="s">
        <v>1567</v>
      </c>
      <c r="D1362" s="247">
        <v>143.97999999999999</v>
      </c>
      <c r="E1362" s="248">
        <v>1</v>
      </c>
    </row>
    <row r="1363" spans="1:5" hidden="1" x14ac:dyDescent="0.2">
      <c r="A1363" s="251"/>
      <c r="B1363" s="246"/>
      <c r="C1363" s="246" t="s">
        <v>2324</v>
      </c>
      <c r="D1363" s="247">
        <v>143.97999999999999</v>
      </c>
      <c r="E1363" s="248">
        <v>1</v>
      </c>
    </row>
    <row r="1364" spans="1:5" hidden="1" x14ac:dyDescent="0.2">
      <c r="A1364" s="251"/>
      <c r="B1364" s="246"/>
      <c r="C1364" s="246" t="s">
        <v>1568</v>
      </c>
      <c r="D1364" s="247">
        <v>143.97999999999999</v>
      </c>
      <c r="E1364" s="248">
        <v>1</v>
      </c>
    </row>
    <row r="1365" spans="1:5" hidden="1" x14ac:dyDescent="0.2">
      <c r="A1365" s="251"/>
      <c r="B1365" s="246"/>
      <c r="C1365" s="246" t="s">
        <v>1569</v>
      </c>
      <c r="D1365" s="247">
        <v>143.97999999999999</v>
      </c>
      <c r="E1365" s="248">
        <v>1</v>
      </c>
    </row>
    <row r="1366" spans="1:5" hidden="1" x14ac:dyDescent="0.2">
      <c r="A1366" s="251"/>
      <c r="B1366" s="246"/>
      <c r="C1366" s="246" t="s">
        <v>1570</v>
      </c>
      <c r="D1366" s="247">
        <v>143.97999999999999</v>
      </c>
      <c r="E1366" s="248">
        <v>1</v>
      </c>
    </row>
    <row r="1367" spans="1:5" hidden="1" x14ac:dyDescent="0.2">
      <c r="A1367" s="251"/>
      <c r="B1367" s="246"/>
      <c r="C1367" s="246" t="s">
        <v>1571</v>
      </c>
      <c r="D1367" s="247">
        <v>143.97999999999999</v>
      </c>
      <c r="E1367" s="248">
        <v>1</v>
      </c>
    </row>
    <row r="1368" spans="1:5" hidden="1" x14ac:dyDescent="0.2">
      <c r="A1368" s="251"/>
      <c r="B1368" s="246"/>
      <c r="C1368" s="246" t="s">
        <v>1572</v>
      </c>
      <c r="D1368" s="247">
        <v>143.97999999999999</v>
      </c>
      <c r="E1368" s="248">
        <v>1</v>
      </c>
    </row>
    <row r="1369" spans="1:5" hidden="1" x14ac:dyDescent="0.2">
      <c r="A1369" s="251"/>
      <c r="B1369" s="246"/>
      <c r="C1369" s="246" t="s">
        <v>1573</v>
      </c>
      <c r="D1369" s="247">
        <v>143.97999999999999</v>
      </c>
      <c r="E1369" s="248">
        <v>1</v>
      </c>
    </row>
    <row r="1370" spans="1:5" hidden="1" x14ac:dyDescent="0.2">
      <c r="A1370" s="251"/>
      <c r="B1370" s="246"/>
      <c r="C1370" s="246" t="s">
        <v>1574</v>
      </c>
      <c r="D1370" s="247">
        <v>143.97999999999999</v>
      </c>
      <c r="E1370" s="248">
        <v>1</v>
      </c>
    </row>
    <row r="1371" spans="1:5" hidden="1" x14ac:dyDescent="0.2">
      <c r="A1371" s="251"/>
      <c r="B1371" s="246"/>
      <c r="C1371" s="246" t="s">
        <v>1575</v>
      </c>
      <c r="D1371" s="247">
        <v>143.97999999999999</v>
      </c>
      <c r="E1371" s="248">
        <v>1</v>
      </c>
    </row>
    <row r="1372" spans="1:5" hidden="1" x14ac:dyDescent="0.2">
      <c r="A1372" s="251"/>
      <c r="B1372" s="246"/>
      <c r="C1372" s="246" t="s">
        <v>1576</v>
      </c>
      <c r="D1372" s="247">
        <v>143.97999999999999</v>
      </c>
      <c r="E1372" s="248">
        <v>1</v>
      </c>
    </row>
    <row r="1373" spans="1:5" hidden="1" x14ac:dyDescent="0.2">
      <c r="A1373" s="251"/>
      <c r="B1373" s="246"/>
      <c r="C1373" s="246" t="s">
        <v>1577</v>
      </c>
      <c r="D1373" s="247">
        <v>143.97999999999999</v>
      </c>
      <c r="E1373" s="248">
        <v>1</v>
      </c>
    </row>
    <row r="1374" spans="1:5" hidden="1" x14ac:dyDescent="0.2">
      <c r="A1374" s="251"/>
      <c r="B1374" s="246"/>
      <c r="C1374" s="246" t="s">
        <v>1578</v>
      </c>
      <c r="D1374" s="247">
        <v>143.97999999999999</v>
      </c>
      <c r="E1374" s="248">
        <v>1</v>
      </c>
    </row>
    <row r="1375" spans="1:5" hidden="1" x14ac:dyDescent="0.2">
      <c r="A1375" s="251"/>
      <c r="B1375" s="246"/>
      <c r="C1375" s="246" t="s">
        <v>1579</v>
      </c>
      <c r="D1375" s="247">
        <v>143.97999999999999</v>
      </c>
      <c r="E1375" s="248">
        <v>1</v>
      </c>
    </row>
    <row r="1376" spans="1:5" hidden="1" x14ac:dyDescent="0.2">
      <c r="A1376" s="251"/>
      <c r="B1376" s="246"/>
      <c r="C1376" s="246" t="s">
        <v>2325</v>
      </c>
      <c r="D1376" s="247">
        <v>143.97999999999999</v>
      </c>
      <c r="E1376" s="248">
        <v>1</v>
      </c>
    </row>
    <row r="1377" spans="1:5" hidden="1" x14ac:dyDescent="0.2">
      <c r="A1377" s="251"/>
      <c r="B1377" s="246"/>
      <c r="C1377" s="246" t="s">
        <v>1580</v>
      </c>
      <c r="D1377" s="247">
        <v>143.97999999999999</v>
      </c>
      <c r="E1377" s="248">
        <v>1</v>
      </c>
    </row>
    <row r="1378" spans="1:5" hidden="1" x14ac:dyDescent="0.2">
      <c r="A1378" s="251"/>
      <c r="B1378" s="246"/>
      <c r="C1378" s="246" t="s">
        <v>1581</v>
      </c>
      <c r="D1378" s="247">
        <v>143.97999999999999</v>
      </c>
      <c r="E1378" s="248">
        <v>1</v>
      </c>
    </row>
    <row r="1379" spans="1:5" hidden="1" x14ac:dyDescent="0.2">
      <c r="A1379" s="251"/>
      <c r="B1379" s="246"/>
      <c r="C1379" s="246" t="s">
        <v>1582</v>
      </c>
      <c r="D1379" s="247">
        <v>143.97999999999999</v>
      </c>
      <c r="E1379" s="248">
        <v>1</v>
      </c>
    </row>
    <row r="1380" spans="1:5" hidden="1" x14ac:dyDescent="0.2">
      <c r="A1380" s="251"/>
      <c r="B1380" s="246"/>
      <c r="C1380" s="246" t="s">
        <v>1583</v>
      </c>
      <c r="D1380" s="247">
        <v>143.97999999999999</v>
      </c>
      <c r="E1380" s="248">
        <v>1</v>
      </c>
    </row>
    <row r="1381" spans="1:5" hidden="1" x14ac:dyDescent="0.2">
      <c r="A1381" s="251"/>
      <c r="B1381" s="246"/>
      <c r="C1381" s="246" t="s">
        <v>1584</v>
      </c>
      <c r="D1381" s="247">
        <v>143.97999999999999</v>
      </c>
      <c r="E1381" s="248">
        <v>1</v>
      </c>
    </row>
    <row r="1382" spans="1:5" hidden="1" x14ac:dyDescent="0.2">
      <c r="A1382" s="251"/>
      <c r="B1382" s="246"/>
      <c r="C1382" s="246" t="s">
        <v>1585</v>
      </c>
      <c r="D1382" s="247">
        <v>143.97999999999999</v>
      </c>
      <c r="E1382" s="248">
        <v>1</v>
      </c>
    </row>
    <row r="1383" spans="1:5" hidden="1" x14ac:dyDescent="0.2">
      <c r="A1383" s="251"/>
      <c r="B1383" s="246"/>
      <c r="C1383" s="246" t="s">
        <v>1586</v>
      </c>
      <c r="D1383" s="247">
        <v>143.97999999999999</v>
      </c>
      <c r="E1383" s="248">
        <v>1</v>
      </c>
    </row>
    <row r="1384" spans="1:5" hidden="1" x14ac:dyDescent="0.2">
      <c r="A1384" s="251"/>
      <c r="B1384" s="246"/>
      <c r="C1384" s="246" t="s">
        <v>1587</v>
      </c>
      <c r="D1384" s="247">
        <v>143.97999999999999</v>
      </c>
      <c r="E1384" s="248">
        <v>1</v>
      </c>
    </row>
    <row r="1385" spans="1:5" hidden="1" x14ac:dyDescent="0.2">
      <c r="A1385" s="251"/>
      <c r="B1385" s="246"/>
      <c r="C1385" s="246" t="s">
        <v>1588</v>
      </c>
      <c r="D1385" s="247">
        <v>143.97999999999999</v>
      </c>
      <c r="E1385" s="248">
        <v>1</v>
      </c>
    </row>
    <row r="1386" spans="1:5" hidden="1" x14ac:dyDescent="0.2">
      <c r="A1386" s="251"/>
      <c r="B1386" s="246"/>
      <c r="C1386" s="246" t="s">
        <v>1589</v>
      </c>
      <c r="D1386" s="247">
        <v>143.97999999999999</v>
      </c>
      <c r="E1386" s="248">
        <v>1</v>
      </c>
    </row>
    <row r="1387" spans="1:5" hidden="1" x14ac:dyDescent="0.2">
      <c r="A1387" s="251"/>
      <c r="B1387" s="246"/>
      <c r="C1387" s="246" t="s">
        <v>1590</v>
      </c>
      <c r="D1387" s="247">
        <v>143.97999999999999</v>
      </c>
      <c r="E1387" s="248">
        <v>1</v>
      </c>
    </row>
    <row r="1388" spans="1:5" hidden="1" x14ac:dyDescent="0.2">
      <c r="A1388" s="251"/>
      <c r="B1388" s="246"/>
      <c r="C1388" s="246" t="s">
        <v>1591</v>
      </c>
      <c r="D1388" s="247">
        <v>143.97999999999999</v>
      </c>
      <c r="E1388" s="248">
        <v>1</v>
      </c>
    </row>
    <row r="1389" spans="1:5" hidden="1" x14ac:dyDescent="0.2">
      <c r="A1389" s="251"/>
      <c r="B1389" s="246"/>
      <c r="C1389" s="246" t="s">
        <v>1592</v>
      </c>
      <c r="D1389" s="247">
        <v>143.97999999999999</v>
      </c>
      <c r="E1389" s="248">
        <v>1</v>
      </c>
    </row>
    <row r="1390" spans="1:5" hidden="1" x14ac:dyDescent="0.2">
      <c r="A1390" s="251"/>
      <c r="B1390" s="246"/>
      <c r="C1390" s="246" t="s">
        <v>1593</v>
      </c>
      <c r="D1390" s="247">
        <v>143.97999999999999</v>
      </c>
      <c r="E1390" s="248">
        <v>1</v>
      </c>
    </row>
    <row r="1391" spans="1:5" hidden="1" x14ac:dyDescent="0.2">
      <c r="A1391" s="251"/>
      <c r="B1391" s="246"/>
      <c r="C1391" s="246" t="s">
        <v>1594</v>
      </c>
      <c r="D1391" s="247">
        <v>143.97999999999999</v>
      </c>
      <c r="E1391" s="248">
        <v>1</v>
      </c>
    </row>
    <row r="1392" spans="1:5" hidden="1" x14ac:dyDescent="0.2">
      <c r="A1392" s="251"/>
      <c r="B1392" s="246"/>
      <c r="C1392" s="246" t="s">
        <v>1595</v>
      </c>
      <c r="D1392" s="247">
        <v>143.97999999999999</v>
      </c>
      <c r="E1392" s="248">
        <v>1</v>
      </c>
    </row>
    <row r="1393" spans="1:5" hidden="1" x14ac:dyDescent="0.2">
      <c r="A1393" s="251"/>
      <c r="B1393" s="246"/>
      <c r="C1393" s="246" t="s">
        <v>2326</v>
      </c>
      <c r="D1393" s="247">
        <v>143.97999999999999</v>
      </c>
      <c r="E1393" s="248">
        <v>1</v>
      </c>
    </row>
    <row r="1394" spans="1:5" hidden="1" x14ac:dyDescent="0.2">
      <c r="A1394" s="251"/>
      <c r="B1394" s="246"/>
      <c r="C1394" s="246" t="s">
        <v>2327</v>
      </c>
      <c r="D1394" s="247">
        <v>143.97999999999999</v>
      </c>
      <c r="E1394" s="248">
        <v>1</v>
      </c>
    </row>
    <row r="1395" spans="1:5" hidden="1" x14ac:dyDescent="0.2">
      <c r="A1395" s="251"/>
      <c r="B1395" s="246"/>
      <c r="C1395" s="246" t="s">
        <v>1596</v>
      </c>
      <c r="D1395" s="247">
        <v>143.97999999999999</v>
      </c>
      <c r="E1395" s="248">
        <v>1</v>
      </c>
    </row>
    <row r="1396" spans="1:5" hidden="1" x14ac:dyDescent="0.2">
      <c r="A1396" s="251"/>
      <c r="B1396" s="246"/>
      <c r="C1396" s="246" t="s">
        <v>1597</v>
      </c>
      <c r="D1396" s="247">
        <v>143.97999999999999</v>
      </c>
      <c r="E1396" s="248">
        <v>1</v>
      </c>
    </row>
    <row r="1397" spans="1:5" hidden="1" x14ac:dyDescent="0.2">
      <c r="A1397" s="251"/>
      <c r="B1397" s="246"/>
      <c r="C1397" s="246" t="s">
        <v>2328</v>
      </c>
      <c r="D1397" s="247">
        <v>143.97999999999999</v>
      </c>
      <c r="E1397" s="248">
        <v>1</v>
      </c>
    </row>
    <row r="1398" spans="1:5" hidden="1" x14ac:dyDescent="0.2">
      <c r="A1398" s="251"/>
      <c r="B1398" s="246"/>
      <c r="C1398" s="246" t="s">
        <v>1598</v>
      </c>
      <c r="D1398" s="247">
        <v>143.97999999999999</v>
      </c>
      <c r="E1398" s="248">
        <v>1</v>
      </c>
    </row>
    <row r="1399" spans="1:5" hidden="1" x14ac:dyDescent="0.2">
      <c r="A1399" s="251"/>
      <c r="B1399" s="246"/>
      <c r="C1399" s="246" t="s">
        <v>1599</v>
      </c>
      <c r="D1399" s="247">
        <v>143.97999999999999</v>
      </c>
      <c r="E1399" s="248">
        <v>1</v>
      </c>
    </row>
    <row r="1400" spans="1:5" hidden="1" x14ac:dyDescent="0.2">
      <c r="A1400" s="251"/>
      <c r="B1400" s="246"/>
      <c r="C1400" s="246" t="s">
        <v>1600</v>
      </c>
      <c r="D1400" s="247">
        <v>143.97999999999999</v>
      </c>
      <c r="E1400" s="248">
        <v>1</v>
      </c>
    </row>
    <row r="1401" spans="1:5" hidden="1" x14ac:dyDescent="0.2">
      <c r="A1401" s="251"/>
      <c r="B1401" s="246"/>
      <c r="C1401" s="246" t="s">
        <v>1601</v>
      </c>
      <c r="D1401" s="247">
        <v>143.97999999999999</v>
      </c>
      <c r="E1401" s="248">
        <v>1</v>
      </c>
    </row>
    <row r="1402" spans="1:5" hidden="1" x14ac:dyDescent="0.2">
      <c r="A1402" s="251"/>
      <c r="B1402" s="246"/>
      <c r="C1402" s="246" t="s">
        <v>1602</v>
      </c>
      <c r="D1402" s="247">
        <v>140.94999999999999</v>
      </c>
      <c r="E1402" s="248">
        <v>2</v>
      </c>
    </row>
    <row r="1403" spans="1:5" hidden="1" x14ac:dyDescent="0.2">
      <c r="A1403" s="251"/>
      <c r="B1403" s="246"/>
      <c r="C1403" s="246" t="s">
        <v>1603</v>
      </c>
      <c r="D1403" s="247">
        <v>140.51</v>
      </c>
      <c r="E1403" s="248">
        <v>2</v>
      </c>
    </row>
    <row r="1404" spans="1:5" hidden="1" x14ac:dyDescent="0.2">
      <c r="A1404" s="251"/>
      <c r="B1404" s="246"/>
      <c r="C1404" s="246" t="s">
        <v>1604</v>
      </c>
      <c r="D1404" s="247">
        <v>139.35</v>
      </c>
      <c r="E1404" s="248">
        <v>3</v>
      </c>
    </row>
    <row r="1405" spans="1:5" hidden="1" x14ac:dyDescent="0.2">
      <c r="A1405" s="251"/>
      <c r="B1405" s="246"/>
      <c r="C1405" s="246" t="s">
        <v>1605</v>
      </c>
      <c r="D1405" s="247">
        <v>137.22</v>
      </c>
      <c r="E1405" s="248">
        <v>1</v>
      </c>
    </row>
    <row r="1406" spans="1:5" hidden="1" x14ac:dyDescent="0.2">
      <c r="A1406" s="251"/>
      <c r="B1406" s="246"/>
      <c r="C1406" s="246" t="s">
        <v>1606</v>
      </c>
      <c r="D1406" s="247">
        <v>135.53</v>
      </c>
      <c r="E1406" s="248">
        <v>1</v>
      </c>
    </row>
    <row r="1407" spans="1:5" hidden="1" x14ac:dyDescent="0.2">
      <c r="A1407" s="251"/>
      <c r="B1407" s="246"/>
      <c r="C1407" s="246" t="s">
        <v>1607</v>
      </c>
      <c r="D1407" s="247">
        <v>135.53</v>
      </c>
      <c r="E1407" s="248">
        <v>1</v>
      </c>
    </row>
    <row r="1408" spans="1:5" hidden="1" x14ac:dyDescent="0.2">
      <c r="A1408" s="251"/>
      <c r="B1408" s="246"/>
      <c r="C1408" s="246" t="s">
        <v>1608</v>
      </c>
      <c r="D1408" s="247">
        <v>135.51</v>
      </c>
      <c r="E1408" s="248">
        <v>1</v>
      </c>
    </row>
    <row r="1409" spans="1:5" hidden="1" x14ac:dyDescent="0.2">
      <c r="A1409" s="251"/>
      <c r="B1409" s="246"/>
      <c r="C1409" s="246" t="s">
        <v>1609</v>
      </c>
      <c r="D1409" s="247">
        <v>135.51</v>
      </c>
      <c r="E1409" s="248">
        <v>1</v>
      </c>
    </row>
    <row r="1410" spans="1:5" hidden="1" x14ac:dyDescent="0.2">
      <c r="A1410" s="251"/>
      <c r="B1410" s="246"/>
      <c r="C1410" s="246" t="s">
        <v>1610</v>
      </c>
      <c r="D1410" s="247">
        <v>135.51</v>
      </c>
      <c r="E1410" s="248">
        <v>1</v>
      </c>
    </row>
    <row r="1411" spans="1:5" hidden="1" x14ac:dyDescent="0.2">
      <c r="A1411" s="251"/>
      <c r="B1411" s="246"/>
      <c r="C1411" s="246" t="s">
        <v>1611</v>
      </c>
      <c r="D1411" s="247">
        <v>135.51</v>
      </c>
      <c r="E1411" s="248">
        <v>1</v>
      </c>
    </row>
    <row r="1412" spans="1:5" hidden="1" x14ac:dyDescent="0.2">
      <c r="A1412" s="251"/>
      <c r="B1412" s="246"/>
      <c r="C1412" s="246" t="s">
        <v>1612</v>
      </c>
      <c r="D1412" s="247">
        <v>135.51</v>
      </c>
      <c r="E1412" s="248">
        <v>1</v>
      </c>
    </row>
    <row r="1413" spans="1:5" hidden="1" x14ac:dyDescent="0.2">
      <c r="A1413" s="251"/>
      <c r="B1413" s="246"/>
      <c r="C1413" s="246" t="s">
        <v>1613</v>
      </c>
      <c r="D1413" s="247">
        <v>135.51</v>
      </c>
      <c r="E1413" s="248">
        <v>1</v>
      </c>
    </row>
    <row r="1414" spans="1:5" hidden="1" x14ac:dyDescent="0.2">
      <c r="A1414" s="251"/>
      <c r="B1414" s="246"/>
      <c r="C1414" s="246" t="s">
        <v>1614</v>
      </c>
      <c r="D1414" s="247">
        <v>135.41999999999999</v>
      </c>
      <c r="E1414" s="248">
        <v>2</v>
      </c>
    </row>
    <row r="1415" spans="1:5" hidden="1" x14ac:dyDescent="0.2">
      <c r="A1415" s="251"/>
      <c r="B1415" s="246"/>
      <c r="C1415" s="246" t="s">
        <v>1615</v>
      </c>
      <c r="D1415" s="247">
        <v>133.72999999999999</v>
      </c>
      <c r="E1415" s="248">
        <v>2</v>
      </c>
    </row>
    <row r="1416" spans="1:5" hidden="1" x14ac:dyDescent="0.2">
      <c r="A1416" s="251"/>
      <c r="B1416" s="246"/>
      <c r="C1416" s="246" t="s">
        <v>1616</v>
      </c>
      <c r="D1416" s="247">
        <v>133.5</v>
      </c>
      <c r="E1416" s="248">
        <v>1</v>
      </c>
    </row>
    <row r="1417" spans="1:5" hidden="1" x14ac:dyDescent="0.2">
      <c r="A1417" s="251"/>
      <c r="B1417" s="246"/>
      <c r="C1417" s="246" t="s">
        <v>1617</v>
      </c>
      <c r="D1417" s="247">
        <v>133.49</v>
      </c>
      <c r="E1417" s="248">
        <v>1</v>
      </c>
    </row>
    <row r="1418" spans="1:5" hidden="1" x14ac:dyDescent="0.2">
      <c r="A1418" s="251"/>
      <c r="B1418" s="246"/>
      <c r="C1418" s="246" t="s">
        <v>1618</v>
      </c>
      <c r="D1418" s="247">
        <v>133.49</v>
      </c>
      <c r="E1418" s="248">
        <v>1</v>
      </c>
    </row>
    <row r="1419" spans="1:5" hidden="1" x14ac:dyDescent="0.2">
      <c r="A1419" s="251"/>
      <c r="B1419" s="246"/>
      <c r="C1419" s="246" t="s">
        <v>1619</v>
      </c>
      <c r="D1419" s="247">
        <v>133.12</v>
      </c>
      <c r="E1419" s="248">
        <v>2</v>
      </c>
    </row>
    <row r="1420" spans="1:5" hidden="1" x14ac:dyDescent="0.2">
      <c r="A1420" s="251"/>
      <c r="B1420" s="246"/>
      <c r="C1420" s="246" t="s">
        <v>1620</v>
      </c>
      <c r="D1420" s="247">
        <v>133.12</v>
      </c>
      <c r="E1420" s="248">
        <v>2</v>
      </c>
    </row>
    <row r="1421" spans="1:5" hidden="1" x14ac:dyDescent="0.2">
      <c r="A1421" s="251"/>
      <c r="B1421" s="246"/>
      <c r="C1421" s="246" t="s">
        <v>1621</v>
      </c>
      <c r="D1421" s="247">
        <v>132.03</v>
      </c>
      <c r="E1421" s="248">
        <v>2</v>
      </c>
    </row>
    <row r="1422" spans="1:5" hidden="1" x14ac:dyDescent="0.2">
      <c r="A1422" s="251"/>
      <c r="B1422" s="246"/>
      <c r="C1422" s="246" t="s">
        <v>1622</v>
      </c>
      <c r="D1422" s="247">
        <v>131.11000000000001</v>
      </c>
      <c r="E1422" s="248">
        <v>1</v>
      </c>
    </row>
    <row r="1423" spans="1:5" hidden="1" x14ac:dyDescent="0.2">
      <c r="A1423" s="251"/>
      <c r="B1423" s="246"/>
      <c r="C1423" s="246" t="s">
        <v>1623</v>
      </c>
      <c r="D1423" s="247">
        <v>129.59</v>
      </c>
      <c r="E1423" s="248">
        <v>1</v>
      </c>
    </row>
    <row r="1424" spans="1:5" hidden="1" x14ac:dyDescent="0.2">
      <c r="A1424" s="251"/>
      <c r="B1424" s="246"/>
      <c r="C1424" s="246" t="s">
        <v>2329</v>
      </c>
      <c r="D1424" s="247">
        <v>129.59</v>
      </c>
      <c r="E1424" s="248">
        <v>1</v>
      </c>
    </row>
    <row r="1425" spans="1:5" hidden="1" x14ac:dyDescent="0.2">
      <c r="A1425" s="251"/>
      <c r="B1425" s="246"/>
      <c r="C1425" s="246" t="s">
        <v>1624</v>
      </c>
      <c r="D1425" s="247">
        <v>129.59</v>
      </c>
      <c r="E1425" s="248">
        <v>1</v>
      </c>
    </row>
    <row r="1426" spans="1:5" hidden="1" x14ac:dyDescent="0.2">
      <c r="A1426" s="251"/>
      <c r="B1426" s="246"/>
      <c r="C1426" s="246" t="s">
        <v>1625</v>
      </c>
      <c r="D1426" s="247">
        <v>129.59</v>
      </c>
      <c r="E1426" s="248">
        <v>1</v>
      </c>
    </row>
    <row r="1427" spans="1:5" hidden="1" x14ac:dyDescent="0.2">
      <c r="A1427" s="251"/>
      <c r="B1427" s="246"/>
      <c r="C1427" s="246" t="s">
        <v>1626</v>
      </c>
      <c r="D1427" s="247">
        <v>129.59</v>
      </c>
      <c r="E1427" s="248">
        <v>1</v>
      </c>
    </row>
    <row r="1428" spans="1:5" hidden="1" x14ac:dyDescent="0.2">
      <c r="A1428" s="251"/>
      <c r="B1428" s="246"/>
      <c r="C1428" s="246" t="s">
        <v>1627</v>
      </c>
      <c r="D1428" s="247">
        <v>129.59</v>
      </c>
      <c r="E1428" s="248">
        <v>1</v>
      </c>
    </row>
    <row r="1429" spans="1:5" hidden="1" x14ac:dyDescent="0.2">
      <c r="A1429" s="251"/>
      <c r="B1429" s="246"/>
      <c r="C1429" s="246" t="s">
        <v>1628</v>
      </c>
      <c r="D1429" s="247">
        <v>129.59</v>
      </c>
      <c r="E1429" s="248">
        <v>1</v>
      </c>
    </row>
    <row r="1430" spans="1:5" hidden="1" x14ac:dyDescent="0.2">
      <c r="A1430" s="251"/>
      <c r="B1430" s="246"/>
      <c r="C1430" s="246" t="s">
        <v>1629</v>
      </c>
      <c r="D1430" s="247">
        <v>129.59</v>
      </c>
      <c r="E1430" s="248">
        <v>1</v>
      </c>
    </row>
    <row r="1431" spans="1:5" hidden="1" x14ac:dyDescent="0.2">
      <c r="A1431" s="251"/>
      <c r="B1431" s="246"/>
      <c r="C1431" s="246" t="s">
        <v>1630</v>
      </c>
      <c r="D1431" s="247">
        <v>129.59</v>
      </c>
      <c r="E1431" s="248">
        <v>1</v>
      </c>
    </row>
    <row r="1432" spans="1:5" hidden="1" x14ac:dyDescent="0.2">
      <c r="A1432" s="251"/>
      <c r="B1432" s="246"/>
      <c r="C1432" s="246" t="s">
        <v>1631</v>
      </c>
      <c r="D1432" s="247">
        <v>129.59</v>
      </c>
      <c r="E1432" s="248">
        <v>1</v>
      </c>
    </row>
    <row r="1433" spans="1:5" hidden="1" x14ac:dyDescent="0.2">
      <c r="A1433" s="251"/>
      <c r="B1433" s="246"/>
      <c r="C1433" s="246" t="s">
        <v>1632</v>
      </c>
      <c r="D1433" s="247">
        <v>129.59</v>
      </c>
      <c r="E1433" s="248">
        <v>1</v>
      </c>
    </row>
    <row r="1434" spans="1:5" hidden="1" x14ac:dyDescent="0.2">
      <c r="A1434" s="251"/>
      <c r="B1434" s="246"/>
      <c r="C1434" s="246" t="s">
        <v>1633</v>
      </c>
      <c r="D1434" s="247">
        <v>129.59</v>
      </c>
      <c r="E1434" s="248">
        <v>1</v>
      </c>
    </row>
    <row r="1435" spans="1:5" hidden="1" x14ac:dyDescent="0.2">
      <c r="A1435" s="251"/>
      <c r="B1435" s="246"/>
      <c r="C1435" s="246" t="s">
        <v>1634</v>
      </c>
      <c r="D1435" s="247">
        <v>129.59</v>
      </c>
      <c r="E1435" s="248">
        <v>1</v>
      </c>
    </row>
    <row r="1436" spans="1:5" hidden="1" x14ac:dyDescent="0.2">
      <c r="A1436" s="251"/>
      <c r="B1436" s="246"/>
      <c r="C1436" s="246" t="s">
        <v>1635</v>
      </c>
      <c r="D1436" s="247">
        <v>129.59</v>
      </c>
      <c r="E1436" s="248">
        <v>1</v>
      </c>
    </row>
    <row r="1437" spans="1:5" hidden="1" x14ac:dyDescent="0.2">
      <c r="A1437" s="251"/>
      <c r="B1437" s="246"/>
      <c r="C1437" s="246" t="s">
        <v>1636</v>
      </c>
      <c r="D1437" s="247">
        <v>129.59</v>
      </c>
      <c r="E1437" s="248">
        <v>1</v>
      </c>
    </row>
    <row r="1438" spans="1:5" hidden="1" x14ac:dyDescent="0.2">
      <c r="A1438" s="251"/>
      <c r="B1438" s="246"/>
      <c r="C1438" s="246" t="s">
        <v>1637</v>
      </c>
      <c r="D1438" s="247">
        <v>129.59</v>
      </c>
      <c r="E1438" s="248">
        <v>1</v>
      </c>
    </row>
    <row r="1439" spans="1:5" hidden="1" x14ac:dyDescent="0.2">
      <c r="A1439" s="251"/>
      <c r="B1439" s="246"/>
      <c r="C1439" s="246" t="s">
        <v>1638</v>
      </c>
      <c r="D1439" s="247">
        <v>129.59</v>
      </c>
      <c r="E1439" s="248">
        <v>1</v>
      </c>
    </row>
    <row r="1440" spans="1:5" hidden="1" x14ac:dyDescent="0.2">
      <c r="A1440" s="251"/>
      <c r="B1440" s="246"/>
      <c r="C1440" s="246" t="s">
        <v>1639</v>
      </c>
      <c r="D1440" s="247">
        <v>129.59</v>
      </c>
      <c r="E1440" s="248">
        <v>1</v>
      </c>
    </row>
    <row r="1441" spans="1:5" hidden="1" x14ac:dyDescent="0.2">
      <c r="A1441" s="251"/>
      <c r="B1441" s="246"/>
      <c r="C1441" s="246" t="s">
        <v>1640</v>
      </c>
      <c r="D1441" s="247">
        <v>129.59</v>
      </c>
      <c r="E1441" s="248">
        <v>1</v>
      </c>
    </row>
    <row r="1442" spans="1:5" hidden="1" x14ac:dyDescent="0.2">
      <c r="A1442" s="251"/>
      <c r="B1442" s="246"/>
      <c r="C1442" s="246" t="s">
        <v>1641</v>
      </c>
      <c r="D1442" s="247">
        <v>129.59</v>
      </c>
      <c r="E1442" s="248">
        <v>1</v>
      </c>
    </row>
    <row r="1443" spans="1:5" hidden="1" x14ac:dyDescent="0.2">
      <c r="A1443" s="251"/>
      <c r="B1443" s="246"/>
      <c r="C1443" s="246" t="s">
        <v>1642</v>
      </c>
      <c r="D1443" s="247">
        <v>129.59</v>
      </c>
      <c r="E1443" s="248">
        <v>1</v>
      </c>
    </row>
    <row r="1444" spans="1:5" hidden="1" x14ac:dyDescent="0.2">
      <c r="A1444" s="251"/>
      <c r="B1444" s="246"/>
      <c r="C1444" s="246" t="s">
        <v>1643</v>
      </c>
      <c r="D1444" s="247">
        <v>129.59</v>
      </c>
      <c r="E1444" s="248">
        <v>1</v>
      </c>
    </row>
    <row r="1445" spans="1:5" hidden="1" x14ac:dyDescent="0.2">
      <c r="A1445" s="251"/>
      <c r="B1445" s="246"/>
      <c r="C1445" s="246" t="s">
        <v>1644</v>
      </c>
      <c r="D1445" s="247">
        <v>129.59</v>
      </c>
      <c r="E1445" s="248">
        <v>1</v>
      </c>
    </row>
    <row r="1446" spans="1:5" hidden="1" x14ac:dyDescent="0.2">
      <c r="A1446" s="251"/>
      <c r="B1446" s="246"/>
      <c r="C1446" s="246" t="s">
        <v>1645</v>
      </c>
      <c r="D1446" s="247">
        <v>129.59</v>
      </c>
      <c r="E1446" s="248">
        <v>1</v>
      </c>
    </row>
    <row r="1447" spans="1:5" hidden="1" x14ac:dyDescent="0.2">
      <c r="A1447" s="251"/>
      <c r="B1447" s="246"/>
      <c r="C1447" s="246" t="s">
        <v>1646</v>
      </c>
      <c r="D1447" s="247">
        <v>129.59</v>
      </c>
      <c r="E1447" s="248">
        <v>1</v>
      </c>
    </row>
    <row r="1448" spans="1:5" hidden="1" x14ac:dyDescent="0.2">
      <c r="A1448" s="251"/>
      <c r="B1448" s="246"/>
      <c r="C1448" s="246" t="s">
        <v>1647</v>
      </c>
      <c r="D1448" s="247">
        <v>129.59</v>
      </c>
      <c r="E1448" s="248">
        <v>1</v>
      </c>
    </row>
    <row r="1449" spans="1:5" hidden="1" x14ac:dyDescent="0.2">
      <c r="A1449" s="251"/>
      <c r="B1449" s="246"/>
      <c r="C1449" s="246" t="s">
        <v>1648</v>
      </c>
      <c r="D1449" s="247">
        <v>129.59</v>
      </c>
      <c r="E1449" s="248">
        <v>1</v>
      </c>
    </row>
    <row r="1450" spans="1:5" hidden="1" x14ac:dyDescent="0.2">
      <c r="A1450" s="251"/>
      <c r="B1450" s="246"/>
      <c r="C1450" s="246" t="s">
        <v>1649</v>
      </c>
      <c r="D1450" s="247">
        <v>129.59</v>
      </c>
      <c r="E1450" s="248">
        <v>1</v>
      </c>
    </row>
    <row r="1451" spans="1:5" hidden="1" x14ac:dyDescent="0.2">
      <c r="A1451" s="251"/>
      <c r="B1451" s="246"/>
      <c r="C1451" s="246" t="s">
        <v>1650</v>
      </c>
      <c r="D1451" s="247">
        <v>129.59</v>
      </c>
      <c r="E1451" s="248">
        <v>1</v>
      </c>
    </row>
    <row r="1452" spans="1:5" hidden="1" x14ac:dyDescent="0.2">
      <c r="A1452" s="251"/>
      <c r="B1452" s="246"/>
      <c r="C1452" s="246" t="s">
        <v>1651</v>
      </c>
      <c r="D1452" s="247">
        <v>129.59</v>
      </c>
      <c r="E1452" s="248">
        <v>1</v>
      </c>
    </row>
    <row r="1453" spans="1:5" hidden="1" x14ac:dyDescent="0.2">
      <c r="A1453" s="251"/>
      <c r="B1453" s="246"/>
      <c r="C1453" s="246" t="s">
        <v>1652</v>
      </c>
      <c r="D1453" s="247">
        <v>129.59</v>
      </c>
      <c r="E1453" s="248">
        <v>1</v>
      </c>
    </row>
    <row r="1454" spans="1:5" hidden="1" x14ac:dyDescent="0.2">
      <c r="A1454" s="251"/>
      <c r="B1454" s="246"/>
      <c r="C1454" s="246" t="s">
        <v>1653</v>
      </c>
      <c r="D1454" s="247">
        <v>129.59</v>
      </c>
      <c r="E1454" s="248">
        <v>1</v>
      </c>
    </row>
    <row r="1455" spans="1:5" hidden="1" x14ac:dyDescent="0.2">
      <c r="A1455" s="251"/>
      <c r="B1455" s="246"/>
      <c r="C1455" s="246" t="s">
        <v>1654</v>
      </c>
      <c r="D1455" s="247">
        <v>129.59</v>
      </c>
      <c r="E1455" s="248">
        <v>1</v>
      </c>
    </row>
    <row r="1456" spans="1:5" hidden="1" x14ac:dyDescent="0.2">
      <c r="A1456" s="251"/>
      <c r="B1456" s="246"/>
      <c r="C1456" s="246" t="s">
        <v>1655</v>
      </c>
      <c r="D1456" s="247">
        <v>129.59</v>
      </c>
      <c r="E1456" s="248">
        <v>1</v>
      </c>
    </row>
    <row r="1457" spans="1:5" hidden="1" x14ac:dyDescent="0.2">
      <c r="A1457" s="251"/>
      <c r="B1457" s="246"/>
      <c r="C1457" s="246" t="s">
        <v>1656</v>
      </c>
      <c r="D1457" s="247">
        <v>129.59</v>
      </c>
      <c r="E1457" s="248">
        <v>1</v>
      </c>
    </row>
    <row r="1458" spans="1:5" hidden="1" x14ac:dyDescent="0.2">
      <c r="A1458" s="251"/>
      <c r="B1458" s="246"/>
      <c r="C1458" s="246" t="s">
        <v>1657</v>
      </c>
      <c r="D1458" s="247">
        <v>129.59</v>
      </c>
      <c r="E1458" s="248">
        <v>1</v>
      </c>
    </row>
    <row r="1459" spans="1:5" hidden="1" x14ac:dyDescent="0.2">
      <c r="A1459" s="251"/>
      <c r="B1459" s="246"/>
      <c r="C1459" s="246" t="s">
        <v>1658</v>
      </c>
      <c r="D1459" s="247">
        <v>129.59</v>
      </c>
      <c r="E1459" s="248">
        <v>1</v>
      </c>
    </row>
    <row r="1460" spans="1:5" hidden="1" x14ac:dyDescent="0.2">
      <c r="A1460" s="251"/>
      <c r="B1460" s="246"/>
      <c r="C1460" s="246" t="s">
        <v>1659</v>
      </c>
      <c r="D1460" s="247">
        <v>129.59</v>
      </c>
      <c r="E1460" s="248">
        <v>1</v>
      </c>
    </row>
    <row r="1461" spans="1:5" hidden="1" x14ac:dyDescent="0.2">
      <c r="A1461" s="251"/>
      <c r="B1461" s="246"/>
      <c r="C1461" s="246" t="s">
        <v>1660</v>
      </c>
      <c r="D1461" s="247">
        <v>129.59</v>
      </c>
      <c r="E1461" s="248">
        <v>1</v>
      </c>
    </row>
    <row r="1462" spans="1:5" hidden="1" x14ac:dyDescent="0.2">
      <c r="A1462" s="251"/>
      <c r="B1462" s="246"/>
      <c r="C1462" s="246" t="s">
        <v>1661</v>
      </c>
      <c r="D1462" s="247">
        <v>129.59</v>
      </c>
      <c r="E1462" s="248">
        <v>1</v>
      </c>
    </row>
    <row r="1463" spans="1:5" hidden="1" x14ac:dyDescent="0.2">
      <c r="A1463" s="251"/>
      <c r="B1463" s="246"/>
      <c r="C1463" s="246" t="s">
        <v>1662</v>
      </c>
      <c r="D1463" s="247">
        <v>129.59</v>
      </c>
      <c r="E1463" s="248">
        <v>1</v>
      </c>
    </row>
    <row r="1464" spans="1:5" hidden="1" x14ac:dyDescent="0.2">
      <c r="A1464" s="251"/>
      <c r="B1464" s="246"/>
      <c r="C1464" s="246" t="s">
        <v>1663</v>
      </c>
      <c r="D1464" s="247">
        <v>129.59</v>
      </c>
      <c r="E1464" s="248">
        <v>1</v>
      </c>
    </row>
    <row r="1465" spans="1:5" hidden="1" x14ac:dyDescent="0.2">
      <c r="A1465" s="251"/>
      <c r="B1465" s="246"/>
      <c r="C1465" s="246" t="s">
        <v>1664</v>
      </c>
      <c r="D1465" s="247">
        <v>129.59</v>
      </c>
      <c r="E1465" s="248">
        <v>1</v>
      </c>
    </row>
    <row r="1466" spans="1:5" hidden="1" x14ac:dyDescent="0.2">
      <c r="A1466" s="251"/>
      <c r="B1466" s="246"/>
      <c r="C1466" s="246" t="s">
        <v>1665</v>
      </c>
      <c r="D1466" s="247">
        <v>129.59</v>
      </c>
      <c r="E1466" s="248">
        <v>1</v>
      </c>
    </row>
    <row r="1467" spans="1:5" hidden="1" x14ac:dyDescent="0.2">
      <c r="A1467" s="251"/>
      <c r="B1467" s="246"/>
      <c r="C1467" s="246" t="s">
        <v>1666</v>
      </c>
      <c r="D1467" s="247">
        <v>129.59</v>
      </c>
      <c r="E1467" s="248">
        <v>1</v>
      </c>
    </row>
    <row r="1468" spans="1:5" hidden="1" x14ac:dyDescent="0.2">
      <c r="A1468" s="251"/>
      <c r="B1468" s="246"/>
      <c r="C1468" s="246" t="s">
        <v>1667</v>
      </c>
      <c r="D1468" s="247">
        <v>129.59</v>
      </c>
      <c r="E1468" s="248">
        <v>1</v>
      </c>
    </row>
    <row r="1469" spans="1:5" hidden="1" x14ac:dyDescent="0.2">
      <c r="A1469" s="251"/>
      <c r="B1469" s="246"/>
      <c r="C1469" s="246" t="s">
        <v>1668</v>
      </c>
      <c r="D1469" s="247">
        <v>129.59</v>
      </c>
      <c r="E1469" s="248">
        <v>1</v>
      </c>
    </row>
    <row r="1470" spans="1:5" hidden="1" x14ac:dyDescent="0.2">
      <c r="A1470" s="251"/>
      <c r="B1470" s="246"/>
      <c r="C1470" s="246" t="s">
        <v>1669</v>
      </c>
      <c r="D1470" s="247">
        <v>129.59</v>
      </c>
      <c r="E1470" s="248">
        <v>1</v>
      </c>
    </row>
    <row r="1471" spans="1:5" hidden="1" x14ac:dyDescent="0.2">
      <c r="A1471" s="251"/>
      <c r="B1471" s="246"/>
      <c r="C1471" s="246" t="s">
        <v>1670</v>
      </c>
      <c r="D1471" s="247">
        <v>129.59</v>
      </c>
      <c r="E1471" s="248">
        <v>1</v>
      </c>
    </row>
    <row r="1472" spans="1:5" hidden="1" x14ac:dyDescent="0.2">
      <c r="A1472" s="251"/>
      <c r="B1472" s="246"/>
      <c r="C1472" s="246" t="s">
        <v>1671</v>
      </c>
      <c r="D1472" s="247">
        <v>129.59</v>
      </c>
      <c r="E1472" s="248">
        <v>1</v>
      </c>
    </row>
    <row r="1473" spans="1:5" hidden="1" x14ac:dyDescent="0.2">
      <c r="A1473" s="251"/>
      <c r="B1473" s="246"/>
      <c r="C1473" s="246" t="s">
        <v>1672</v>
      </c>
      <c r="D1473" s="247">
        <v>129.59</v>
      </c>
      <c r="E1473" s="248">
        <v>1</v>
      </c>
    </row>
    <row r="1474" spans="1:5" hidden="1" x14ac:dyDescent="0.2">
      <c r="A1474" s="251"/>
      <c r="B1474" s="246"/>
      <c r="C1474" s="246" t="s">
        <v>1673</v>
      </c>
      <c r="D1474" s="247">
        <v>129.59</v>
      </c>
      <c r="E1474" s="248">
        <v>1</v>
      </c>
    </row>
    <row r="1475" spans="1:5" hidden="1" x14ac:dyDescent="0.2">
      <c r="A1475" s="251"/>
      <c r="B1475" s="246"/>
      <c r="C1475" s="246" t="s">
        <v>1674</v>
      </c>
      <c r="D1475" s="247">
        <v>129.59</v>
      </c>
      <c r="E1475" s="248">
        <v>1</v>
      </c>
    </row>
    <row r="1476" spans="1:5" hidden="1" x14ac:dyDescent="0.2">
      <c r="A1476" s="251"/>
      <c r="B1476" s="246"/>
      <c r="C1476" s="246" t="s">
        <v>2330</v>
      </c>
      <c r="D1476" s="247">
        <v>129.59</v>
      </c>
      <c r="E1476" s="248">
        <v>1</v>
      </c>
    </row>
    <row r="1477" spans="1:5" hidden="1" x14ac:dyDescent="0.2">
      <c r="A1477" s="251"/>
      <c r="B1477" s="246"/>
      <c r="C1477" s="246" t="s">
        <v>1675</v>
      </c>
      <c r="D1477" s="247">
        <v>129.59</v>
      </c>
      <c r="E1477" s="248">
        <v>1</v>
      </c>
    </row>
    <row r="1478" spans="1:5" hidden="1" x14ac:dyDescent="0.2">
      <c r="A1478" s="251"/>
      <c r="B1478" s="246"/>
      <c r="C1478" s="246" t="s">
        <v>1676</v>
      </c>
      <c r="D1478" s="247">
        <v>129.59</v>
      </c>
      <c r="E1478" s="248">
        <v>1</v>
      </c>
    </row>
    <row r="1479" spans="1:5" hidden="1" x14ac:dyDescent="0.2">
      <c r="A1479" s="251"/>
      <c r="B1479" s="246"/>
      <c r="C1479" s="246" t="s">
        <v>1677</v>
      </c>
      <c r="D1479" s="247">
        <v>129.59</v>
      </c>
      <c r="E1479" s="248">
        <v>1</v>
      </c>
    </row>
    <row r="1480" spans="1:5" hidden="1" x14ac:dyDescent="0.2">
      <c r="A1480" s="251"/>
      <c r="B1480" s="246"/>
      <c r="C1480" s="246" t="s">
        <v>1678</v>
      </c>
      <c r="D1480" s="247">
        <v>129.59</v>
      </c>
      <c r="E1480" s="248">
        <v>1</v>
      </c>
    </row>
    <row r="1481" spans="1:5" hidden="1" x14ac:dyDescent="0.2">
      <c r="A1481" s="251"/>
      <c r="B1481" s="246"/>
      <c r="C1481" s="246" t="s">
        <v>1679</v>
      </c>
      <c r="D1481" s="247">
        <v>129.59</v>
      </c>
      <c r="E1481" s="248">
        <v>1</v>
      </c>
    </row>
    <row r="1482" spans="1:5" hidden="1" x14ac:dyDescent="0.2">
      <c r="A1482" s="251"/>
      <c r="B1482" s="246"/>
      <c r="C1482" s="246" t="s">
        <v>1680</v>
      </c>
      <c r="D1482" s="247">
        <v>129.59</v>
      </c>
      <c r="E1482" s="248">
        <v>1</v>
      </c>
    </row>
    <row r="1483" spans="1:5" hidden="1" x14ac:dyDescent="0.2">
      <c r="A1483" s="251"/>
      <c r="B1483" s="246"/>
      <c r="C1483" s="246" t="s">
        <v>1681</v>
      </c>
      <c r="D1483" s="247">
        <v>129.59</v>
      </c>
      <c r="E1483" s="248">
        <v>1</v>
      </c>
    </row>
    <row r="1484" spans="1:5" hidden="1" x14ac:dyDescent="0.2">
      <c r="A1484" s="251"/>
      <c r="B1484" s="246"/>
      <c r="C1484" s="246" t="s">
        <v>1682</v>
      </c>
      <c r="D1484" s="247">
        <v>129.59</v>
      </c>
      <c r="E1484" s="248">
        <v>1</v>
      </c>
    </row>
    <row r="1485" spans="1:5" hidden="1" x14ac:dyDescent="0.2">
      <c r="A1485" s="251"/>
      <c r="B1485" s="246"/>
      <c r="C1485" s="246" t="s">
        <v>1683</v>
      </c>
      <c r="D1485" s="247">
        <v>129.59</v>
      </c>
      <c r="E1485" s="248">
        <v>1</v>
      </c>
    </row>
    <row r="1486" spans="1:5" hidden="1" x14ac:dyDescent="0.2">
      <c r="A1486" s="251"/>
      <c r="B1486" s="246"/>
      <c r="C1486" s="246" t="s">
        <v>1684</v>
      </c>
      <c r="D1486" s="247">
        <v>129.59</v>
      </c>
      <c r="E1486" s="248">
        <v>1</v>
      </c>
    </row>
    <row r="1487" spans="1:5" hidden="1" x14ac:dyDescent="0.2">
      <c r="A1487" s="251"/>
      <c r="B1487" s="246"/>
      <c r="C1487" s="246" t="s">
        <v>1685</v>
      </c>
      <c r="D1487" s="247">
        <v>129.59</v>
      </c>
      <c r="E1487" s="248">
        <v>1</v>
      </c>
    </row>
    <row r="1488" spans="1:5" hidden="1" x14ac:dyDescent="0.2">
      <c r="A1488" s="251"/>
      <c r="B1488" s="246"/>
      <c r="C1488" s="246" t="s">
        <v>1686</v>
      </c>
      <c r="D1488" s="247">
        <v>129.59</v>
      </c>
      <c r="E1488" s="248">
        <v>1</v>
      </c>
    </row>
    <row r="1489" spans="1:5" hidden="1" x14ac:dyDescent="0.2">
      <c r="A1489" s="251"/>
      <c r="B1489" s="246"/>
      <c r="C1489" s="246" t="s">
        <v>1687</v>
      </c>
      <c r="D1489" s="247">
        <v>129.59</v>
      </c>
      <c r="E1489" s="248">
        <v>1</v>
      </c>
    </row>
    <row r="1490" spans="1:5" hidden="1" x14ac:dyDescent="0.2">
      <c r="A1490" s="251"/>
      <c r="B1490" s="246"/>
      <c r="C1490" s="246" t="s">
        <v>1688</v>
      </c>
      <c r="D1490" s="247">
        <v>129.59</v>
      </c>
      <c r="E1490" s="248">
        <v>1</v>
      </c>
    </row>
    <row r="1491" spans="1:5" hidden="1" x14ac:dyDescent="0.2">
      <c r="A1491" s="251"/>
      <c r="B1491" s="246"/>
      <c r="C1491" s="246" t="s">
        <v>1689</v>
      </c>
      <c r="D1491" s="247">
        <v>129.59</v>
      </c>
      <c r="E1491" s="248">
        <v>1</v>
      </c>
    </row>
    <row r="1492" spans="1:5" hidden="1" x14ac:dyDescent="0.2">
      <c r="A1492" s="251"/>
      <c r="B1492" s="246"/>
      <c r="C1492" s="246" t="s">
        <v>1690</v>
      </c>
      <c r="D1492" s="247">
        <v>129.59</v>
      </c>
      <c r="E1492" s="248">
        <v>1</v>
      </c>
    </row>
    <row r="1493" spans="1:5" hidden="1" x14ac:dyDescent="0.2">
      <c r="A1493" s="251"/>
      <c r="B1493" s="246"/>
      <c r="C1493" s="246" t="s">
        <v>1691</v>
      </c>
      <c r="D1493" s="247">
        <v>129.59</v>
      </c>
      <c r="E1493" s="248">
        <v>1</v>
      </c>
    </row>
    <row r="1494" spans="1:5" hidden="1" x14ac:dyDescent="0.2">
      <c r="A1494" s="251"/>
      <c r="B1494" s="246"/>
      <c r="C1494" s="246" t="s">
        <v>1692</v>
      </c>
      <c r="D1494" s="247">
        <v>129.59</v>
      </c>
      <c r="E1494" s="248">
        <v>1</v>
      </c>
    </row>
    <row r="1495" spans="1:5" hidden="1" x14ac:dyDescent="0.2">
      <c r="A1495" s="251"/>
      <c r="B1495" s="246"/>
      <c r="C1495" s="246" t="s">
        <v>1693</v>
      </c>
      <c r="D1495" s="247">
        <v>129.59</v>
      </c>
      <c r="E1495" s="248">
        <v>1</v>
      </c>
    </row>
    <row r="1496" spans="1:5" hidden="1" x14ac:dyDescent="0.2">
      <c r="A1496" s="251"/>
      <c r="B1496" s="246"/>
      <c r="C1496" s="246" t="s">
        <v>1694</v>
      </c>
      <c r="D1496" s="247">
        <v>129.59</v>
      </c>
      <c r="E1496" s="248">
        <v>1</v>
      </c>
    </row>
    <row r="1497" spans="1:5" hidden="1" x14ac:dyDescent="0.2">
      <c r="A1497" s="251"/>
      <c r="B1497" s="246"/>
      <c r="C1497" s="246" t="s">
        <v>1695</v>
      </c>
      <c r="D1497" s="247">
        <v>129.59</v>
      </c>
      <c r="E1497" s="248">
        <v>1</v>
      </c>
    </row>
    <row r="1498" spans="1:5" hidden="1" x14ac:dyDescent="0.2">
      <c r="A1498" s="251"/>
      <c r="B1498" s="246"/>
      <c r="C1498" s="246" t="s">
        <v>1696</v>
      </c>
      <c r="D1498" s="247">
        <v>129.59</v>
      </c>
      <c r="E1498" s="248">
        <v>1</v>
      </c>
    </row>
    <row r="1499" spans="1:5" hidden="1" x14ac:dyDescent="0.2">
      <c r="A1499" s="251"/>
      <c r="B1499" s="246"/>
      <c r="C1499" s="246" t="s">
        <v>1697</v>
      </c>
      <c r="D1499" s="247">
        <v>129.59</v>
      </c>
      <c r="E1499" s="248">
        <v>1</v>
      </c>
    </row>
    <row r="1500" spans="1:5" hidden="1" x14ac:dyDescent="0.2">
      <c r="A1500" s="251"/>
      <c r="B1500" s="246"/>
      <c r="C1500" s="246" t="s">
        <v>1698</v>
      </c>
      <c r="D1500" s="247">
        <v>129.59</v>
      </c>
      <c r="E1500" s="248">
        <v>1</v>
      </c>
    </row>
    <row r="1501" spans="1:5" hidden="1" x14ac:dyDescent="0.2">
      <c r="A1501" s="251"/>
      <c r="B1501" s="246"/>
      <c r="C1501" s="246" t="s">
        <v>1699</v>
      </c>
      <c r="D1501" s="247">
        <v>129.59</v>
      </c>
      <c r="E1501" s="248">
        <v>1</v>
      </c>
    </row>
    <row r="1502" spans="1:5" hidden="1" x14ac:dyDescent="0.2">
      <c r="A1502" s="251"/>
      <c r="B1502" s="246"/>
      <c r="C1502" s="246" t="s">
        <v>1700</v>
      </c>
      <c r="D1502" s="247">
        <v>129.59</v>
      </c>
      <c r="E1502" s="248">
        <v>1</v>
      </c>
    </row>
    <row r="1503" spans="1:5" hidden="1" x14ac:dyDescent="0.2">
      <c r="A1503" s="251"/>
      <c r="B1503" s="246"/>
      <c r="C1503" s="246" t="s">
        <v>1701</v>
      </c>
      <c r="D1503" s="247">
        <v>129.59</v>
      </c>
      <c r="E1503" s="248">
        <v>1</v>
      </c>
    </row>
    <row r="1504" spans="1:5" hidden="1" x14ac:dyDescent="0.2">
      <c r="A1504" s="251"/>
      <c r="B1504" s="246"/>
      <c r="C1504" s="246" t="s">
        <v>1702</v>
      </c>
      <c r="D1504" s="247">
        <v>129.59</v>
      </c>
      <c r="E1504" s="248">
        <v>1</v>
      </c>
    </row>
    <row r="1505" spans="1:5" hidden="1" x14ac:dyDescent="0.2">
      <c r="A1505" s="251"/>
      <c r="B1505" s="246"/>
      <c r="C1505" s="246" t="s">
        <v>1703</v>
      </c>
      <c r="D1505" s="247">
        <v>129.59</v>
      </c>
      <c r="E1505" s="248">
        <v>1</v>
      </c>
    </row>
    <row r="1506" spans="1:5" hidden="1" x14ac:dyDescent="0.2">
      <c r="A1506" s="251"/>
      <c r="B1506" s="246"/>
      <c r="C1506" s="246" t="s">
        <v>1704</v>
      </c>
      <c r="D1506" s="247">
        <v>129.59</v>
      </c>
      <c r="E1506" s="248">
        <v>1</v>
      </c>
    </row>
    <row r="1507" spans="1:5" hidden="1" x14ac:dyDescent="0.2">
      <c r="A1507" s="251"/>
      <c r="B1507" s="246"/>
      <c r="C1507" s="246" t="s">
        <v>1705</v>
      </c>
      <c r="D1507" s="247">
        <v>129.59</v>
      </c>
      <c r="E1507" s="248">
        <v>1</v>
      </c>
    </row>
    <row r="1508" spans="1:5" hidden="1" x14ac:dyDescent="0.2">
      <c r="A1508" s="251"/>
      <c r="B1508" s="246"/>
      <c r="C1508" s="246" t="s">
        <v>1706</v>
      </c>
      <c r="D1508" s="247">
        <v>129.59</v>
      </c>
      <c r="E1508" s="248">
        <v>1</v>
      </c>
    </row>
    <row r="1509" spans="1:5" hidden="1" x14ac:dyDescent="0.2">
      <c r="A1509" s="251"/>
      <c r="B1509" s="246"/>
      <c r="C1509" s="246" t="s">
        <v>1707</v>
      </c>
      <c r="D1509" s="247">
        <v>129.59</v>
      </c>
      <c r="E1509" s="248">
        <v>1</v>
      </c>
    </row>
    <row r="1510" spans="1:5" hidden="1" x14ac:dyDescent="0.2">
      <c r="A1510" s="251"/>
      <c r="B1510" s="246"/>
      <c r="C1510" s="246" t="s">
        <v>1708</v>
      </c>
      <c r="D1510" s="247">
        <v>129.59</v>
      </c>
      <c r="E1510" s="248">
        <v>1</v>
      </c>
    </row>
    <row r="1511" spans="1:5" hidden="1" x14ac:dyDescent="0.2">
      <c r="A1511" s="251"/>
      <c r="B1511" s="246"/>
      <c r="C1511" s="246" t="s">
        <v>1709</v>
      </c>
      <c r="D1511" s="247">
        <v>129.59</v>
      </c>
      <c r="E1511" s="248">
        <v>1</v>
      </c>
    </row>
    <row r="1512" spans="1:5" hidden="1" x14ac:dyDescent="0.2">
      <c r="A1512" s="251"/>
      <c r="B1512" s="246"/>
      <c r="C1512" s="246" t="s">
        <v>1710</v>
      </c>
      <c r="D1512" s="247">
        <v>129.59</v>
      </c>
      <c r="E1512" s="248">
        <v>1</v>
      </c>
    </row>
    <row r="1513" spans="1:5" hidden="1" x14ac:dyDescent="0.2">
      <c r="A1513" s="251"/>
      <c r="B1513" s="246"/>
      <c r="C1513" s="246" t="s">
        <v>1711</v>
      </c>
      <c r="D1513" s="247">
        <v>129.59</v>
      </c>
      <c r="E1513" s="248">
        <v>1</v>
      </c>
    </row>
    <row r="1514" spans="1:5" hidden="1" x14ac:dyDescent="0.2">
      <c r="A1514" s="251"/>
      <c r="B1514" s="246"/>
      <c r="C1514" s="246" t="s">
        <v>1712</v>
      </c>
      <c r="D1514" s="247">
        <v>129.59</v>
      </c>
      <c r="E1514" s="248">
        <v>1</v>
      </c>
    </row>
    <row r="1515" spans="1:5" hidden="1" x14ac:dyDescent="0.2">
      <c r="A1515" s="251"/>
      <c r="B1515" s="246"/>
      <c r="C1515" s="246" t="s">
        <v>1713</v>
      </c>
      <c r="D1515" s="247">
        <v>129.59</v>
      </c>
      <c r="E1515" s="248">
        <v>1</v>
      </c>
    </row>
    <row r="1516" spans="1:5" hidden="1" x14ac:dyDescent="0.2">
      <c r="A1516" s="251"/>
      <c r="B1516" s="246"/>
      <c r="C1516" s="246" t="s">
        <v>2331</v>
      </c>
      <c r="D1516" s="247">
        <v>129.59</v>
      </c>
      <c r="E1516" s="248">
        <v>1</v>
      </c>
    </row>
    <row r="1517" spans="1:5" hidden="1" x14ac:dyDescent="0.2">
      <c r="A1517" s="251"/>
      <c r="B1517" s="246"/>
      <c r="C1517" s="246" t="s">
        <v>1714</v>
      </c>
      <c r="D1517" s="247">
        <v>129.59</v>
      </c>
      <c r="E1517" s="248">
        <v>1</v>
      </c>
    </row>
    <row r="1518" spans="1:5" hidden="1" x14ac:dyDescent="0.2">
      <c r="A1518" s="251"/>
      <c r="B1518" s="246"/>
      <c r="C1518" s="246" t="s">
        <v>1715</v>
      </c>
      <c r="D1518" s="247">
        <v>129.59</v>
      </c>
      <c r="E1518" s="248">
        <v>1</v>
      </c>
    </row>
    <row r="1519" spans="1:5" hidden="1" x14ac:dyDescent="0.2">
      <c r="A1519" s="251"/>
      <c r="B1519" s="246"/>
      <c r="C1519" s="246" t="s">
        <v>1716</v>
      </c>
      <c r="D1519" s="247">
        <v>129.59</v>
      </c>
      <c r="E1519" s="248">
        <v>1</v>
      </c>
    </row>
    <row r="1520" spans="1:5" hidden="1" x14ac:dyDescent="0.2">
      <c r="A1520" s="251"/>
      <c r="B1520" s="246"/>
      <c r="C1520" s="246" t="s">
        <v>1717</v>
      </c>
      <c r="D1520" s="247">
        <v>129.59</v>
      </c>
      <c r="E1520" s="248">
        <v>1</v>
      </c>
    </row>
    <row r="1521" spans="1:5" hidden="1" x14ac:dyDescent="0.2">
      <c r="A1521" s="251"/>
      <c r="B1521" s="246"/>
      <c r="C1521" s="246" t="s">
        <v>1718</v>
      </c>
      <c r="D1521" s="247">
        <v>129.59</v>
      </c>
      <c r="E1521" s="248">
        <v>1</v>
      </c>
    </row>
    <row r="1522" spans="1:5" hidden="1" x14ac:dyDescent="0.2">
      <c r="A1522" s="251"/>
      <c r="B1522" s="246"/>
      <c r="C1522" s="246" t="s">
        <v>1719</v>
      </c>
      <c r="D1522" s="247">
        <v>129.58000000000001</v>
      </c>
      <c r="E1522" s="248">
        <v>1</v>
      </c>
    </row>
    <row r="1523" spans="1:5" hidden="1" x14ac:dyDescent="0.2">
      <c r="A1523" s="251"/>
      <c r="B1523" s="246"/>
      <c r="C1523" s="246" t="s">
        <v>1720</v>
      </c>
      <c r="D1523" s="247">
        <v>129.58000000000001</v>
      </c>
      <c r="E1523" s="248">
        <v>1</v>
      </c>
    </row>
    <row r="1524" spans="1:5" hidden="1" x14ac:dyDescent="0.2">
      <c r="A1524" s="251"/>
      <c r="B1524" s="246"/>
      <c r="C1524" s="246" t="s">
        <v>1721</v>
      </c>
      <c r="D1524" s="247">
        <v>129.58000000000001</v>
      </c>
      <c r="E1524" s="248">
        <v>1</v>
      </c>
    </row>
    <row r="1525" spans="1:5" hidden="1" x14ac:dyDescent="0.2">
      <c r="A1525" s="251"/>
      <c r="B1525" s="246"/>
      <c r="C1525" s="246" t="s">
        <v>1722</v>
      </c>
      <c r="D1525" s="247">
        <v>129.58000000000001</v>
      </c>
      <c r="E1525" s="248">
        <v>1</v>
      </c>
    </row>
    <row r="1526" spans="1:5" hidden="1" x14ac:dyDescent="0.2">
      <c r="A1526" s="251"/>
      <c r="B1526" s="246"/>
      <c r="C1526" s="246" t="s">
        <v>1723</v>
      </c>
      <c r="D1526" s="247">
        <v>129.58000000000001</v>
      </c>
      <c r="E1526" s="248">
        <v>1</v>
      </c>
    </row>
    <row r="1527" spans="1:5" hidden="1" x14ac:dyDescent="0.2">
      <c r="A1527" s="251"/>
      <c r="B1527" s="246"/>
      <c r="C1527" s="246" t="s">
        <v>1724</v>
      </c>
      <c r="D1527" s="247">
        <v>129.58000000000001</v>
      </c>
      <c r="E1527" s="248">
        <v>1</v>
      </c>
    </row>
    <row r="1528" spans="1:5" hidden="1" x14ac:dyDescent="0.2">
      <c r="A1528" s="251"/>
      <c r="B1528" s="246"/>
      <c r="C1528" s="246" t="s">
        <v>1725</v>
      </c>
      <c r="D1528" s="247">
        <v>129.58000000000001</v>
      </c>
      <c r="E1528" s="248">
        <v>1</v>
      </c>
    </row>
    <row r="1529" spans="1:5" hidden="1" x14ac:dyDescent="0.2">
      <c r="A1529" s="251"/>
      <c r="B1529" s="246"/>
      <c r="C1529" s="246" t="s">
        <v>1726</v>
      </c>
      <c r="D1529" s="247">
        <v>129.58000000000001</v>
      </c>
      <c r="E1529" s="248">
        <v>1</v>
      </c>
    </row>
    <row r="1530" spans="1:5" hidden="1" x14ac:dyDescent="0.2">
      <c r="A1530" s="251"/>
      <c r="B1530" s="246"/>
      <c r="C1530" s="246" t="s">
        <v>1727</v>
      </c>
      <c r="D1530" s="247">
        <v>129.58000000000001</v>
      </c>
      <c r="E1530" s="248">
        <v>1</v>
      </c>
    </row>
    <row r="1531" spans="1:5" hidden="1" x14ac:dyDescent="0.2">
      <c r="A1531" s="251"/>
      <c r="B1531" s="246"/>
      <c r="C1531" s="246" t="s">
        <v>1728</v>
      </c>
      <c r="D1531" s="247">
        <v>129.58000000000001</v>
      </c>
      <c r="E1531" s="248">
        <v>1</v>
      </c>
    </row>
    <row r="1532" spans="1:5" hidden="1" x14ac:dyDescent="0.2">
      <c r="A1532" s="251"/>
      <c r="B1532" s="246"/>
      <c r="C1532" s="246" t="s">
        <v>1729</v>
      </c>
      <c r="D1532" s="247">
        <v>129.58000000000001</v>
      </c>
      <c r="E1532" s="248">
        <v>1</v>
      </c>
    </row>
    <row r="1533" spans="1:5" hidden="1" x14ac:dyDescent="0.2">
      <c r="A1533" s="251"/>
      <c r="B1533" s="246"/>
      <c r="C1533" s="246" t="s">
        <v>1730</v>
      </c>
      <c r="D1533" s="247">
        <v>129.58000000000001</v>
      </c>
      <c r="E1533" s="248">
        <v>1</v>
      </c>
    </row>
    <row r="1534" spans="1:5" hidden="1" x14ac:dyDescent="0.2">
      <c r="A1534" s="251"/>
      <c r="B1534" s="246"/>
      <c r="C1534" s="246" t="s">
        <v>1731</v>
      </c>
      <c r="D1534" s="247">
        <v>129.58000000000001</v>
      </c>
      <c r="E1534" s="248">
        <v>1</v>
      </c>
    </row>
    <row r="1535" spans="1:5" hidden="1" x14ac:dyDescent="0.2">
      <c r="A1535" s="251"/>
      <c r="B1535" s="246"/>
      <c r="C1535" s="246" t="s">
        <v>1732</v>
      </c>
      <c r="D1535" s="247">
        <v>129.58000000000001</v>
      </c>
      <c r="E1535" s="248">
        <v>1</v>
      </c>
    </row>
    <row r="1536" spans="1:5" hidden="1" x14ac:dyDescent="0.2">
      <c r="A1536" s="251"/>
      <c r="B1536" s="246"/>
      <c r="C1536" s="246" t="s">
        <v>1733</v>
      </c>
      <c r="D1536" s="247">
        <v>129.58000000000001</v>
      </c>
      <c r="E1536" s="248">
        <v>1</v>
      </c>
    </row>
    <row r="1537" spans="1:5" hidden="1" x14ac:dyDescent="0.2">
      <c r="A1537" s="251"/>
      <c r="B1537" s="246"/>
      <c r="C1537" s="246" t="s">
        <v>1734</v>
      </c>
      <c r="D1537" s="247">
        <v>129.58000000000001</v>
      </c>
      <c r="E1537" s="248">
        <v>1</v>
      </c>
    </row>
    <row r="1538" spans="1:5" hidden="1" x14ac:dyDescent="0.2">
      <c r="A1538" s="251"/>
      <c r="B1538" s="246"/>
      <c r="C1538" s="246" t="s">
        <v>2332</v>
      </c>
      <c r="D1538" s="247">
        <v>129.58000000000001</v>
      </c>
      <c r="E1538" s="248">
        <v>1</v>
      </c>
    </row>
    <row r="1539" spans="1:5" hidden="1" x14ac:dyDescent="0.2">
      <c r="A1539" s="251"/>
      <c r="B1539" s="246"/>
      <c r="C1539" s="246" t="s">
        <v>1735</v>
      </c>
      <c r="D1539" s="247">
        <v>129.58000000000001</v>
      </c>
      <c r="E1539" s="248">
        <v>1</v>
      </c>
    </row>
    <row r="1540" spans="1:5" hidden="1" x14ac:dyDescent="0.2">
      <c r="A1540" s="251"/>
      <c r="B1540" s="246"/>
      <c r="C1540" s="246" t="s">
        <v>1736</v>
      </c>
      <c r="D1540" s="247">
        <v>129.58000000000001</v>
      </c>
      <c r="E1540" s="248">
        <v>1</v>
      </c>
    </row>
    <row r="1541" spans="1:5" hidden="1" x14ac:dyDescent="0.2">
      <c r="A1541" s="251"/>
      <c r="B1541" s="246"/>
      <c r="C1541" s="246" t="s">
        <v>1737</v>
      </c>
      <c r="D1541" s="247">
        <v>129.58000000000001</v>
      </c>
      <c r="E1541" s="248">
        <v>1</v>
      </c>
    </row>
    <row r="1542" spans="1:5" hidden="1" x14ac:dyDescent="0.2">
      <c r="A1542" s="251"/>
      <c r="B1542" s="246"/>
      <c r="C1542" s="246" t="s">
        <v>1738</v>
      </c>
      <c r="D1542" s="247">
        <v>129.58000000000001</v>
      </c>
      <c r="E1542" s="248">
        <v>1</v>
      </c>
    </row>
    <row r="1543" spans="1:5" hidden="1" x14ac:dyDescent="0.2">
      <c r="A1543" s="251"/>
      <c r="B1543" s="246"/>
      <c r="C1543" s="246" t="s">
        <v>1739</v>
      </c>
      <c r="D1543" s="247">
        <v>129.58000000000001</v>
      </c>
      <c r="E1543" s="248">
        <v>1</v>
      </c>
    </row>
    <row r="1544" spans="1:5" hidden="1" x14ac:dyDescent="0.2">
      <c r="A1544" s="251"/>
      <c r="B1544" s="246"/>
      <c r="C1544" s="246" t="s">
        <v>1740</v>
      </c>
      <c r="D1544" s="247">
        <v>129.58000000000001</v>
      </c>
      <c r="E1544" s="248">
        <v>1</v>
      </c>
    </row>
    <row r="1545" spans="1:5" hidden="1" x14ac:dyDescent="0.2">
      <c r="A1545" s="251"/>
      <c r="B1545" s="246"/>
      <c r="C1545" s="246" t="s">
        <v>1741</v>
      </c>
      <c r="D1545" s="247">
        <v>129.58000000000001</v>
      </c>
      <c r="E1545" s="248">
        <v>1</v>
      </c>
    </row>
    <row r="1546" spans="1:5" hidden="1" x14ac:dyDescent="0.2">
      <c r="A1546" s="251"/>
      <c r="B1546" s="246"/>
      <c r="C1546" s="246" t="s">
        <v>1742</v>
      </c>
      <c r="D1546" s="247">
        <v>129.58000000000001</v>
      </c>
      <c r="E1546" s="248">
        <v>1</v>
      </c>
    </row>
    <row r="1547" spans="1:5" hidden="1" x14ac:dyDescent="0.2">
      <c r="A1547" s="251"/>
      <c r="B1547" s="246"/>
      <c r="C1547" s="246" t="s">
        <v>1743</v>
      </c>
      <c r="D1547" s="247">
        <v>129.58000000000001</v>
      </c>
      <c r="E1547" s="248">
        <v>1</v>
      </c>
    </row>
    <row r="1548" spans="1:5" hidden="1" x14ac:dyDescent="0.2">
      <c r="A1548" s="251"/>
      <c r="B1548" s="246"/>
      <c r="C1548" s="246" t="s">
        <v>1744</v>
      </c>
      <c r="D1548" s="247">
        <v>129.58000000000001</v>
      </c>
      <c r="E1548" s="248">
        <v>1</v>
      </c>
    </row>
    <row r="1549" spans="1:5" hidden="1" x14ac:dyDescent="0.2">
      <c r="A1549" s="251"/>
      <c r="B1549" s="246"/>
      <c r="C1549" s="246" t="s">
        <v>1745</v>
      </c>
      <c r="D1549" s="247">
        <v>129.58000000000001</v>
      </c>
      <c r="E1549" s="248">
        <v>1</v>
      </c>
    </row>
    <row r="1550" spans="1:5" hidden="1" x14ac:dyDescent="0.2">
      <c r="A1550" s="251"/>
      <c r="B1550" s="246"/>
      <c r="C1550" s="246" t="s">
        <v>1746</v>
      </c>
      <c r="D1550" s="247">
        <v>129.58000000000001</v>
      </c>
      <c r="E1550" s="248">
        <v>1</v>
      </c>
    </row>
    <row r="1551" spans="1:5" hidden="1" x14ac:dyDescent="0.2">
      <c r="A1551" s="251"/>
      <c r="B1551" s="246"/>
      <c r="C1551" s="246" t="s">
        <v>1747</v>
      </c>
      <c r="D1551" s="247">
        <v>129.58000000000001</v>
      </c>
      <c r="E1551" s="248">
        <v>1</v>
      </c>
    </row>
    <row r="1552" spans="1:5" hidden="1" x14ac:dyDescent="0.2">
      <c r="A1552" s="251"/>
      <c r="B1552" s="246"/>
      <c r="C1552" s="246" t="s">
        <v>1748</v>
      </c>
      <c r="D1552" s="247">
        <v>129.58000000000001</v>
      </c>
      <c r="E1552" s="248">
        <v>1</v>
      </c>
    </row>
    <row r="1553" spans="1:5" hidden="1" x14ac:dyDescent="0.2">
      <c r="A1553" s="251"/>
      <c r="B1553" s="246"/>
      <c r="C1553" s="246" t="s">
        <v>1749</v>
      </c>
      <c r="D1553" s="247">
        <v>129.58000000000001</v>
      </c>
      <c r="E1553" s="248">
        <v>1</v>
      </c>
    </row>
    <row r="1554" spans="1:5" hidden="1" x14ac:dyDescent="0.2">
      <c r="A1554" s="251"/>
      <c r="B1554" s="246"/>
      <c r="C1554" s="246" t="s">
        <v>1750</v>
      </c>
      <c r="D1554" s="247">
        <v>129.58000000000001</v>
      </c>
      <c r="E1554" s="248">
        <v>1</v>
      </c>
    </row>
    <row r="1555" spans="1:5" hidden="1" x14ac:dyDescent="0.2">
      <c r="A1555" s="251"/>
      <c r="B1555" s="246"/>
      <c r="C1555" s="246" t="s">
        <v>1751</v>
      </c>
      <c r="D1555" s="247">
        <v>129.58000000000001</v>
      </c>
      <c r="E1555" s="248">
        <v>1</v>
      </c>
    </row>
    <row r="1556" spans="1:5" hidden="1" x14ac:dyDescent="0.2">
      <c r="A1556" s="251"/>
      <c r="B1556" s="246"/>
      <c r="C1556" s="246" t="s">
        <v>1752</v>
      </c>
      <c r="D1556" s="247">
        <v>129.58000000000001</v>
      </c>
      <c r="E1556" s="248">
        <v>1</v>
      </c>
    </row>
    <row r="1557" spans="1:5" hidden="1" x14ac:dyDescent="0.2">
      <c r="A1557" s="251"/>
      <c r="B1557" s="246"/>
      <c r="C1557" s="246" t="s">
        <v>1753</v>
      </c>
      <c r="D1557" s="247">
        <v>129.58000000000001</v>
      </c>
      <c r="E1557" s="248">
        <v>1</v>
      </c>
    </row>
    <row r="1558" spans="1:5" hidden="1" x14ac:dyDescent="0.2">
      <c r="A1558" s="251"/>
      <c r="B1558" s="246"/>
      <c r="C1558" s="246" t="s">
        <v>1754</v>
      </c>
      <c r="D1558" s="247">
        <v>129.58000000000001</v>
      </c>
      <c r="E1558" s="248">
        <v>1</v>
      </c>
    </row>
    <row r="1559" spans="1:5" hidden="1" x14ac:dyDescent="0.2">
      <c r="A1559" s="251"/>
      <c r="B1559" s="246"/>
      <c r="C1559" s="246" t="s">
        <v>1755</v>
      </c>
      <c r="D1559" s="247">
        <v>129.58000000000001</v>
      </c>
      <c r="E1559" s="248">
        <v>1</v>
      </c>
    </row>
    <row r="1560" spans="1:5" hidden="1" x14ac:dyDescent="0.2">
      <c r="A1560" s="251"/>
      <c r="B1560" s="246"/>
      <c r="C1560" s="246" t="s">
        <v>1756</v>
      </c>
      <c r="D1560" s="247">
        <v>129.58000000000001</v>
      </c>
      <c r="E1560" s="248">
        <v>1</v>
      </c>
    </row>
    <row r="1561" spans="1:5" hidden="1" x14ac:dyDescent="0.2">
      <c r="A1561" s="251"/>
      <c r="B1561" s="246"/>
      <c r="C1561" s="246" t="s">
        <v>1757</v>
      </c>
      <c r="D1561" s="247">
        <v>129.58000000000001</v>
      </c>
      <c r="E1561" s="248">
        <v>1</v>
      </c>
    </row>
    <row r="1562" spans="1:5" hidden="1" x14ac:dyDescent="0.2">
      <c r="A1562" s="251"/>
      <c r="B1562" s="246"/>
      <c r="C1562" s="246" t="s">
        <v>1758</v>
      </c>
      <c r="D1562" s="247">
        <v>129.58000000000001</v>
      </c>
      <c r="E1562" s="248">
        <v>1</v>
      </c>
    </row>
    <row r="1563" spans="1:5" hidden="1" x14ac:dyDescent="0.2">
      <c r="A1563" s="251"/>
      <c r="B1563" s="246"/>
      <c r="C1563" s="246" t="s">
        <v>1759</v>
      </c>
      <c r="D1563" s="247">
        <v>129.58000000000001</v>
      </c>
      <c r="E1563" s="248">
        <v>1</v>
      </c>
    </row>
    <row r="1564" spans="1:5" hidden="1" x14ac:dyDescent="0.2">
      <c r="A1564" s="251"/>
      <c r="B1564" s="246"/>
      <c r="C1564" s="246" t="s">
        <v>1760</v>
      </c>
      <c r="D1564" s="247">
        <v>129.58000000000001</v>
      </c>
      <c r="E1564" s="248">
        <v>1</v>
      </c>
    </row>
    <row r="1565" spans="1:5" hidden="1" x14ac:dyDescent="0.2">
      <c r="A1565" s="251"/>
      <c r="B1565" s="246"/>
      <c r="C1565" s="246" t="s">
        <v>1761</v>
      </c>
      <c r="D1565" s="247">
        <v>129.58000000000001</v>
      </c>
      <c r="E1565" s="248">
        <v>1</v>
      </c>
    </row>
    <row r="1566" spans="1:5" hidden="1" x14ac:dyDescent="0.2">
      <c r="A1566" s="251"/>
      <c r="B1566" s="246"/>
      <c r="C1566" s="246" t="s">
        <v>1762</v>
      </c>
      <c r="D1566" s="247">
        <v>129.58000000000001</v>
      </c>
      <c r="E1566" s="248">
        <v>1</v>
      </c>
    </row>
    <row r="1567" spans="1:5" hidden="1" x14ac:dyDescent="0.2">
      <c r="A1567" s="251"/>
      <c r="B1567" s="246"/>
      <c r="C1567" s="246" t="s">
        <v>1763</v>
      </c>
      <c r="D1567" s="247">
        <v>129.58000000000001</v>
      </c>
      <c r="E1567" s="248">
        <v>1</v>
      </c>
    </row>
    <row r="1568" spans="1:5" hidden="1" x14ac:dyDescent="0.2">
      <c r="A1568" s="251"/>
      <c r="B1568" s="246"/>
      <c r="C1568" s="246" t="s">
        <v>1764</v>
      </c>
      <c r="D1568" s="247">
        <v>129.58000000000001</v>
      </c>
      <c r="E1568" s="248">
        <v>1</v>
      </c>
    </row>
    <row r="1569" spans="1:5" hidden="1" x14ac:dyDescent="0.2">
      <c r="A1569" s="251"/>
      <c r="B1569" s="246"/>
      <c r="C1569" s="246" t="s">
        <v>1765</v>
      </c>
      <c r="D1569" s="247">
        <v>129.58000000000001</v>
      </c>
      <c r="E1569" s="248">
        <v>1</v>
      </c>
    </row>
    <row r="1570" spans="1:5" hidden="1" x14ac:dyDescent="0.2">
      <c r="A1570" s="251"/>
      <c r="B1570" s="246"/>
      <c r="C1570" s="246" t="s">
        <v>1766</v>
      </c>
      <c r="D1570" s="247">
        <v>129.58000000000001</v>
      </c>
      <c r="E1570" s="248">
        <v>1</v>
      </c>
    </row>
    <row r="1571" spans="1:5" hidden="1" x14ac:dyDescent="0.2">
      <c r="A1571" s="251"/>
      <c r="B1571" s="246"/>
      <c r="C1571" s="246" t="s">
        <v>1767</v>
      </c>
      <c r="D1571" s="247">
        <v>129.58000000000001</v>
      </c>
      <c r="E1571" s="248">
        <v>1</v>
      </c>
    </row>
    <row r="1572" spans="1:5" hidden="1" x14ac:dyDescent="0.2">
      <c r="A1572" s="251"/>
      <c r="B1572" s="246"/>
      <c r="C1572" s="246" t="s">
        <v>1768</v>
      </c>
      <c r="D1572" s="247">
        <v>129.58000000000001</v>
      </c>
      <c r="E1572" s="248">
        <v>1</v>
      </c>
    </row>
    <row r="1573" spans="1:5" hidden="1" x14ac:dyDescent="0.2">
      <c r="A1573" s="251"/>
      <c r="B1573" s="246"/>
      <c r="C1573" s="246" t="s">
        <v>1769</v>
      </c>
      <c r="D1573" s="247">
        <v>129.58000000000001</v>
      </c>
      <c r="E1573" s="248">
        <v>1</v>
      </c>
    </row>
    <row r="1574" spans="1:5" hidden="1" x14ac:dyDescent="0.2">
      <c r="A1574" s="251"/>
      <c r="B1574" s="246"/>
      <c r="C1574" s="246" t="s">
        <v>1770</v>
      </c>
      <c r="D1574" s="247">
        <v>129.58000000000001</v>
      </c>
      <c r="E1574" s="248">
        <v>1</v>
      </c>
    </row>
    <row r="1575" spans="1:5" hidden="1" x14ac:dyDescent="0.2">
      <c r="A1575" s="251"/>
      <c r="B1575" s="246"/>
      <c r="C1575" s="246" t="s">
        <v>1771</v>
      </c>
      <c r="D1575" s="247">
        <v>129.58000000000001</v>
      </c>
      <c r="E1575" s="248">
        <v>1</v>
      </c>
    </row>
    <row r="1576" spans="1:5" hidden="1" x14ac:dyDescent="0.2">
      <c r="A1576" s="251"/>
      <c r="B1576" s="246"/>
      <c r="C1576" s="246" t="s">
        <v>1772</v>
      </c>
      <c r="D1576" s="247">
        <v>129.58000000000001</v>
      </c>
      <c r="E1576" s="248">
        <v>1</v>
      </c>
    </row>
    <row r="1577" spans="1:5" hidden="1" x14ac:dyDescent="0.2">
      <c r="A1577" s="251"/>
      <c r="B1577" s="246"/>
      <c r="C1577" s="246" t="s">
        <v>1773</v>
      </c>
      <c r="D1577" s="247">
        <v>129.58000000000001</v>
      </c>
      <c r="E1577" s="248">
        <v>1</v>
      </c>
    </row>
    <row r="1578" spans="1:5" hidden="1" x14ac:dyDescent="0.2">
      <c r="A1578" s="251"/>
      <c r="B1578" s="246"/>
      <c r="C1578" s="246" t="s">
        <v>1774</v>
      </c>
      <c r="D1578" s="247">
        <v>129.58000000000001</v>
      </c>
      <c r="E1578" s="248">
        <v>1</v>
      </c>
    </row>
    <row r="1579" spans="1:5" hidden="1" x14ac:dyDescent="0.2">
      <c r="A1579" s="251"/>
      <c r="B1579" s="246"/>
      <c r="C1579" s="246" t="s">
        <v>1775</v>
      </c>
      <c r="D1579" s="247">
        <v>129.58000000000001</v>
      </c>
      <c r="E1579" s="248">
        <v>1</v>
      </c>
    </row>
    <row r="1580" spans="1:5" hidden="1" x14ac:dyDescent="0.2">
      <c r="A1580" s="251"/>
      <c r="B1580" s="246"/>
      <c r="C1580" s="246" t="s">
        <v>1776</v>
      </c>
      <c r="D1580" s="247">
        <v>129.51</v>
      </c>
      <c r="E1580" s="248">
        <v>2</v>
      </c>
    </row>
    <row r="1581" spans="1:5" hidden="1" x14ac:dyDescent="0.2">
      <c r="A1581" s="251"/>
      <c r="B1581" s="246"/>
      <c r="C1581" s="246" t="s">
        <v>1777</v>
      </c>
      <c r="D1581" s="247">
        <v>129.51</v>
      </c>
      <c r="E1581" s="248">
        <v>2</v>
      </c>
    </row>
    <row r="1582" spans="1:5" hidden="1" x14ac:dyDescent="0.2">
      <c r="A1582" s="251"/>
      <c r="B1582" s="246"/>
      <c r="C1582" s="246" t="s">
        <v>2333</v>
      </c>
      <c r="D1582" s="247">
        <v>128.35</v>
      </c>
      <c r="E1582" s="248">
        <v>1</v>
      </c>
    </row>
    <row r="1583" spans="1:5" hidden="1" x14ac:dyDescent="0.2">
      <c r="A1583" s="251"/>
      <c r="B1583" s="246"/>
      <c r="C1583" s="246" t="s">
        <v>1778</v>
      </c>
      <c r="D1583" s="247">
        <v>127.82</v>
      </c>
      <c r="E1583" s="248">
        <v>2</v>
      </c>
    </row>
    <row r="1584" spans="1:5" hidden="1" x14ac:dyDescent="0.2">
      <c r="A1584" s="251"/>
      <c r="B1584" s="246"/>
      <c r="C1584" s="246" t="s">
        <v>1779</v>
      </c>
      <c r="D1584" s="247">
        <v>127.82</v>
      </c>
      <c r="E1584" s="248">
        <v>2</v>
      </c>
    </row>
    <row r="1585" spans="1:5" hidden="1" x14ac:dyDescent="0.2">
      <c r="A1585" s="251"/>
      <c r="B1585" s="246"/>
      <c r="C1585" s="246" t="s">
        <v>1780</v>
      </c>
      <c r="D1585" s="247">
        <v>127.81</v>
      </c>
      <c r="E1585" s="248">
        <v>2</v>
      </c>
    </row>
    <row r="1586" spans="1:5" hidden="1" x14ac:dyDescent="0.2">
      <c r="A1586" s="251"/>
      <c r="B1586" s="246"/>
      <c r="C1586" s="246" t="s">
        <v>1781</v>
      </c>
      <c r="D1586" s="247">
        <v>127.04</v>
      </c>
      <c r="E1586" s="248">
        <v>1</v>
      </c>
    </row>
    <row r="1587" spans="1:5" hidden="1" x14ac:dyDescent="0.2">
      <c r="A1587" s="251"/>
      <c r="B1587" s="246"/>
      <c r="C1587" s="246" t="s">
        <v>1782</v>
      </c>
      <c r="D1587" s="247">
        <v>127.04</v>
      </c>
      <c r="E1587" s="248">
        <v>1</v>
      </c>
    </row>
    <row r="1588" spans="1:5" hidden="1" x14ac:dyDescent="0.2">
      <c r="A1588" s="251"/>
      <c r="B1588" s="246"/>
      <c r="C1588" s="246" t="s">
        <v>2334</v>
      </c>
      <c r="D1588" s="247">
        <v>127.03</v>
      </c>
      <c r="E1588" s="248">
        <v>1</v>
      </c>
    </row>
    <row r="1589" spans="1:5" hidden="1" x14ac:dyDescent="0.2">
      <c r="A1589" s="251"/>
      <c r="B1589" s="246"/>
      <c r="C1589" s="246" t="s">
        <v>1783</v>
      </c>
      <c r="D1589" s="247">
        <v>127.03</v>
      </c>
      <c r="E1589" s="248">
        <v>1</v>
      </c>
    </row>
    <row r="1590" spans="1:5" hidden="1" x14ac:dyDescent="0.2">
      <c r="A1590" s="251"/>
      <c r="B1590" s="246"/>
      <c r="C1590" s="246" t="s">
        <v>1784</v>
      </c>
      <c r="D1590" s="247">
        <v>126.95</v>
      </c>
      <c r="E1590" s="248">
        <v>2</v>
      </c>
    </row>
    <row r="1591" spans="1:5" hidden="1" x14ac:dyDescent="0.2">
      <c r="A1591" s="251"/>
      <c r="B1591" s="246"/>
      <c r="C1591" s="246" t="s">
        <v>1785</v>
      </c>
      <c r="D1591" s="247">
        <v>125.27</v>
      </c>
      <c r="E1591" s="248">
        <v>2</v>
      </c>
    </row>
    <row r="1592" spans="1:5" hidden="1" x14ac:dyDescent="0.2">
      <c r="A1592" s="251"/>
      <c r="B1592" s="246"/>
      <c r="C1592" s="246" t="s">
        <v>1786</v>
      </c>
      <c r="D1592" s="247">
        <v>123.56</v>
      </c>
      <c r="E1592" s="248">
        <v>2</v>
      </c>
    </row>
    <row r="1593" spans="1:5" hidden="1" x14ac:dyDescent="0.2">
      <c r="A1593" s="251"/>
      <c r="B1593" s="246"/>
      <c r="C1593" s="246" t="s">
        <v>1787</v>
      </c>
      <c r="D1593" s="247">
        <v>122.64</v>
      </c>
      <c r="E1593" s="248">
        <v>2</v>
      </c>
    </row>
    <row r="1594" spans="1:5" hidden="1" x14ac:dyDescent="0.2">
      <c r="A1594" s="251"/>
      <c r="B1594" s="246"/>
      <c r="C1594" s="246" t="s">
        <v>1788</v>
      </c>
      <c r="D1594" s="247">
        <v>121.96</v>
      </c>
      <c r="E1594" s="248">
        <v>1</v>
      </c>
    </row>
    <row r="1595" spans="1:5" hidden="1" x14ac:dyDescent="0.2">
      <c r="A1595" s="251"/>
      <c r="B1595" s="246"/>
      <c r="C1595" s="246" t="s">
        <v>2335</v>
      </c>
      <c r="D1595" s="247">
        <v>121.88</v>
      </c>
      <c r="E1595" s="248">
        <v>2</v>
      </c>
    </row>
    <row r="1596" spans="1:5" hidden="1" x14ac:dyDescent="0.2">
      <c r="A1596" s="251"/>
      <c r="B1596" s="246"/>
      <c r="C1596" s="246" t="s">
        <v>1789</v>
      </c>
      <c r="D1596" s="247">
        <v>120.25</v>
      </c>
      <c r="E1596" s="248">
        <v>1</v>
      </c>
    </row>
    <row r="1597" spans="1:5" hidden="1" x14ac:dyDescent="0.2">
      <c r="A1597" s="251"/>
      <c r="B1597" s="246"/>
      <c r="C1597" s="246" t="s">
        <v>2336</v>
      </c>
      <c r="D1597" s="247">
        <v>115.86</v>
      </c>
      <c r="E1597" s="248">
        <v>1</v>
      </c>
    </row>
    <row r="1598" spans="1:5" hidden="1" x14ac:dyDescent="0.2">
      <c r="A1598" s="251"/>
      <c r="B1598" s="246"/>
      <c r="C1598" s="246" t="s">
        <v>1790</v>
      </c>
      <c r="D1598" s="247">
        <v>115.19</v>
      </c>
      <c r="E1598" s="248">
        <v>1</v>
      </c>
    </row>
    <row r="1599" spans="1:5" hidden="1" x14ac:dyDescent="0.2">
      <c r="A1599" s="251"/>
      <c r="B1599" s="246"/>
      <c r="C1599" s="246" t="s">
        <v>1791</v>
      </c>
      <c r="D1599" s="247">
        <v>115.19</v>
      </c>
      <c r="E1599" s="248">
        <v>1</v>
      </c>
    </row>
    <row r="1600" spans="1:5" hidden="1" x14ac:dyDescent="0.2">
      <c r="A1600" s="251"/>
      <c r="B1600" s="246"/>
      <c r="C1600" s="246" t="s">
        <v>1792</v>
      </c>
      <c r="D1600" s="247">
        <v>115.19</v>
      </c>
      <c r="E1600" s="248">
        <v>1</v>
      </c>
    </row>
    <row r="1601" spans="1:5" hidden="1" x14ac:dyDescent="0.2">
      <c r="A1601" s="251"/>
      <c r="B1601" s="246"/>
      <c r="C1601" s="246" t="s">
        <v>1793</v>
      </c>
      <c r="D1601" s="247">
        <v>115.19</v>
      </c>
      <c r="E1601" s="248">
        <v>1</v>
      </c>
    </row>
    <row r="1602" spans="1:5" hidden="1" x14ac:dyDescent="0.2">
      <c r="A1602" s="251"/>
      <c r="B1602" s="246"/>
      <c r="C1602" s="246" t="s">
        <v>1794</v>
      </c>
      <c r="D1602" s="247">
        <v>115.19</v>
      </c>
      <c r="E1602" s="248">
        <v>1</v>
      </c>
    </row>
    <row r="1603" spans="1:5" hidden="1" x14ac:dyDescent="0.2">
      <c r="A1603" s="251"/>
      <c r="B1603" s="246"/>
      <c r="C1603" s="246" t="s">
        <v>1795</v>
      </c>
      <c r="D1603" s="247">
        <v>115.19</v>
      </c>
      <c r="E1603" s="248">
        <v>1</v>
      </c>
    </row>
    <row r="1604" spans="1:5" hidden="1" x14ac:dyDescent="0.2">
      <c r="A1604" s="251"/>
      <c r="B1604" s="246"/>
      <c r="C1604" s="246" t="s">
        <v>1796</v>
      </c>
      <c r="D1604" s="247">
        <v>115.19</v>
      </c>
      <c r="E1604" s="248">
        <v>1</v>
      </c>
    </row>
    <row r="1605" spans="1:5" hidden="1" x14ac:dyDescent="0.2">
      <c r="A1605" s="251"/>
      <c r="B1605" s="246"/>
      <c r="C1605" s="246" t="s">
        <v>1797</v>
      </c>
      <c r="D1605" s="247">
        <v>115.19</v>
      </c>
      <c r="E1605" s="248">
        <v>1</v>
      </c>
    </row>
    <row r="1606" spans="1:5" hidden="1" x14ac:dyDescent="0.2">
      <c r="A1606" s="251"/>
      <c r="B1606" s="246"/>
      <c r="C1606" s="246" t="s">
        <v>1798</v>
      </c>
      <c r="D1606" s="247">
        <v>115.19</v>
      </c>
      <c r="E1606" s="248">
        <v>1</v>
      </c>
    </row>
    <row r="1607" spans="1:5" hidden="1" x14ac:dyDescent="0.2">
      <c r="A1607" s="251"/>
      <c r="B1607" s="246"/>
      <c r="C1607" s="246" t="s">
        <v>1799</v>
      </c>
      <c r="D1607" s="247">
        <v>115.19</v>
      </c>
      <c r="E1607" s="248">
        <v>1</v>
      </c>
    </row>
    <row r="1608" spans="1:5" hidden="1" x14ac:dyDescent="0.2">
      <c r="A1608" s="251"/>
      <c r="B1608" s="246"/>
      <c r="C1608" s="246" t="s">
        <v>1800</v>
      </c>
      <c r="D1608" s="247">
        <v>115.19</v>
      </c>
      <c r="E1608" s="248">
        <v>1</v>
      </c>
    </row>
    <row r="1609" spans="1:5" hidden="1" x14ac:dyDescent="0.2">
      <c r="A1609" s="251"/>
      <c r="B1609" s="246"/>
      <c r="C1609" s="246" t="s">
        <v>1801</v>
      </c>
      <c r="D1609" s="247">
        <v>115.19</v>
      </c>
      <c r="E1609" s="248">
        <v>1</v>
      </c>
    </row>
    <row r="1610" spans="1:5" hidden="1" x14ac:dyDescent="0.2">
      <c r="A1610" s="251"/>
      <c r="B1610" s="246"/>
      <c r="C1610" s="246" t="s">
        <v>1802</v>
      </c>
      <c r="D1610" s="247">
        <v>115.19</v>
      </c>
      <c r="E1610" s="248">
        <v>1</v>
      </c>
    </row>
    <row r="1611" spans="1:5" hidden="1" x14ac:dyDescent="0.2">
      <c r="A1611" s="251"/>
      <c r="B1611" s="246"/>
      <c r="C1611" s="246" t="s">
        <v>1803</v>
      </c>
      <c r="D1611" s="247">
        <v>115.19</v>
      </c>
      <c r="E1611" s="248">
        <v>1</v>
      </c>
    </row>
    <row r="1612" spans="1:5" hidden="1" x14ac:dyDescent="0.2">
      <c r="A1612" s="251"/>
      <c r="B1612" s="246"/>
      <c r="C1612" s="246" t="s">
        <v>1804</v>
      </c>
      <c r="D1612" s="247">
        <v>115.19</v>
      </c>
      <c r="E1612" s="248">
        <v>1</v>
      </c>
    </row>
    <row r="1613" spans="1:5" hidden="1" x14ac:dyDescent="0.2">
      <c r="A1613" s="251"/>
      <c r="B1613" s="246"/>
      <c r="C1613" s="246" t="s">
        <v>1805</v>
      </c>
      <c r="D1613" s="247">
        <v>115.19</v>
      </c>
      <c r="E1613" s="248">
        <v>1</v>
      </c>
    </row>
    <row r="1614" spans="1:5" hidden="1" x14ac:dyDescent="0.2">
      <c r="A1614" s="251"/>
      <c r="B1614" s="246"/>
      <c r="C1614" s="246" t="s">
        <v>1806</v>
      </c>
      <c r="D1614" s="247">
        <v>115.19</v>
      </c>
      <c r="E1614" s="248">
        <v>1</v>
      </c>
    </row>
    <row r="1615" spans="1:5" hidden="1" x14ac:dyDescent="0.2">
      <c r="A1615" s="251"/>
      <c r="B1615" s="246"/>
      <c r="C1615" s="246" t="s">
        <v>1807</v>
      </c>
      <c r="D1615" s="247">
        <v>115.19</v>
      </c>
      <c r="E1615" s="248">
        <v>1</v>
      </c>
    </row>
    <row r="1616" spans="1:5" hidden="1" x14ac:dyDescent="0.2">
      <c r="A1616" s="251"/>
      <c r="B1616" s="246"/>
      <c r="C1616" s="246" t="s">
        <v>1808</v>
      </c>
      <c r="D1616" s="247">
        <v>115.19</v>
      </c>
      <c r="E1616" s="248">
        <v>1</v>
      </c>
    </row>
    <row r="1617" spans="1:5" hidden="1" x14ac:dyDescent="0.2">
      <c r="A1617" s="251"/>
      <c r="B1617" s="246"/>
      <c r="C1617" s="246" t="s">
        <v>1809</v>
      </c>
      <c r="D1617" s="247">
        <v>115.19</v>
      </c>
      <c r="E1617" s="248">
        <v>1</v>
      </c>
    </row>
    <row r="1618" spans="1:5" hidden="1" x14ac:dyDescent="0.2">
      <c r="A1618" s="251"/>
      <c r="B1618" s="246"/>
      <c r="C1618" s="246" t="s">
        <v>1810</v>
      </c>
      <c r="D1618" s="247">
        <v>115.19</v>
      </c>
      <c r="E1618" s="248">
        <v>1</v>
      </c>
    </row>
    <row r="1619" spans="1:5" hidden="1" x14ac:dyDescent="0.2">
      <c r="A1619" s="251"/>
      <c r="B1619" s="246"/>
      <c r="C1619" s="246" t="s">
        <v>1811</v>
      </c>
      <c r="D1619" s="247">
        <v>115.19</v>
      </c>
      <c r="E1619" s="248">
        <v>1</v>
      </c>
    </row>
    <row r="1620" spans="1:5" hidden="1" x14ac:dyDescent="0.2">
      <c r="A1620" s="251"/>
      <c r="B1620" s="246"/>
      <c r="C1620" s="246" t="s">
        <v>1812</v>
      </c>
      <c r="D1620" s="247">
        <v>115.19</v>
      </c>
      <c r="E1620" s="248">
        <v>1</v>
      </c>
    </row>
    <row r="1621" spans="1:5" hidden="1" x14ac:dyDescent="0.2">
      <c r="A1621" s="251"/>
      <c r="B1621" s="246"/>
      <c r="C1621" s="246" t="s">
        <v>1813</v>
      </c>
      <c r="D1621" s="247">
        <v>115.19</v>
      </c>
      <c r="E1621" s="248">
        <v>1</v>
      </c>
    </row>
    <row r="1622" spans="1:5" hidden="1" x14ac:dyDescent="0.2">
      <c r="A1622" s="251"/>
      <c r="B1622" s="246"/>
      <c r="C1622" s="246" t="s">
        <v>1814</v>
      </c>
      <c r="D1622" s="247">
        <v>115.19</v>
      </c>
      <c r="E1622" s="248">
        <v>1</v>
      </c>
    </row>
    <row r="1623" spans="1:5" hidden="1" x14ac:dyDescent="0.2">
      <c r="A1623" s="251"/>
      <c r="B1623" s="246"/>
      <c r="C1623" s="246" t="s">
        <v>1815</v>
      </c>
      <c r="D1623" s="247">
        <v>115.19</v>
      </c>
      <c r="E1623" s="248">
        <v>1</v>
      </c>
    </row>
    <row r="1624" spans="1:5" hidden="1" x14ac:dyDescent="0.2">
      <c r="A1624" s="251"/>
      <c r="B1624" s="246"/>
      <c r="C1624" s="246" t="s">
        <v>1816</v>
      </c>
      <c r="D1624" s="247">
        <v>115.19</v>
      </c>
      <c r="E1624" s="248">
        <v>1</v>
      </c>
    </row>
    <row r="1625" spans="1:5" hidden="1" x14ac:dyDescent="0.2">
      <c r="A1625" s="251"/>
      <c r="B1625" s="246"/>
      <c r="C1625" s="246" t="s">
        <v>1817</v>
      </c>
      <c r="D1625" s="247">
        <v>115.19</v>
      </c>
      <c r="E1625" s="248">
        <v>1</v>
      </c>
    </row>
    <row r="1626" spans="1:5" hidden="1" x14ac:dyDescent="0.2">
      <c r="A1626" s="251"/>
      <c r="B1626" s="246"/>
      <c r="C1626" s="246" t="s">
        <v>1818</v>
      </c>
      <c r="D1626" s="247">
        <v>115.19</v>
      </c>
      <c r="E1626" s="248">
        <v>1</v>
      </c>
    </row>
    <row r="1627" spans="1:5" hidden="1" x14ac:dyDescent="0.2">
      <c r="A1627" s="251"/>
      <c r="B1627" s="246"/>
      <c r="C1627" s="246" t="s">
        <v>1819</v>
      </c>
      <c r="D1627" s="247">
        <v>115.19</v>
      </c>
      <c r="E1627" s="248">
        <v>1</v>
      </c>
    </row>
    <row r="1628" spans="1:5" hidden="1" x14ac:dyDescent="0.2">
      <c r="A1628" s="251"/>
      <c r="B1628" s="246"/>
      <c r="C1628" s="246" t="s">
        <v>1820</v>
      </c>
      <c r="D1628" s="247">
        <v>115.19</v>
      </c>
      <c r="E1628" s="248">
        <v>1</v>
      </c>
    </row>
    <row r="1629" spans="1:5" hidden="1" x14ac:dyDescent="0.2">
      <c r="A1629" s="251"/>
      <c r="B1629" s="246"/>
      <c r="C1629" s="246" t="s">
        <v>1821</v>
      </c>
      <c r="D1629" s="247">
        <v>115.19</v>
      </c>
      <c r="E1629" s="248">
        <v>1</v>
      </c>
    </row>
    <row r="1630" spans="1:5" hidden="1" x14ac:dyDescent="0.2">
      <c r="A1630" s="251"/>
      <c r="B1630" s="246"/>
      <c r="C1630" s="246" t="s">
        <v>1822</v>
      </c>
      <c r="D1630" s="247">
        <v>115.19</v>
      </c>
      <c r="E1630" s="248">
        <v>1</v>
      </c>
    </row>
    <row r="1631" spans="1:5" hidden="1" x14ac:dyDescent="0.2">
      <c r="A1631" s="251"/>
      <c r="B1631" s="246"/>
      <c r="C1631" s="246" t="s">
        <v>1823</v>
      </c>
      <c r="D1631" s="247">
        <v>115.19</v>
      </c>
      <c r="E1631" s="248">
        <v>1</v>
      </c>
    </row>
    <row r="1632" spans="1:5" hidden="1" x14ac:dyDescent="0.2">
      <c r="A1632" s="251"/>
      <c r="B1632" s="246"/>
      <c r="C1632" s="246" t="s">
        <v>1824</v>
      </c>
      <c r="D1632" s="247">
        <v>115.19</v>
      </c>
      <c r="E1632" s="248">
        <v>1</v>
      </c>
    </row>
    <row r="1633" spans="1:5" hidden="1" x14ac:dyDescent="0.2">
      <c r="A1633" s="251"/>
      <c r="B1633" s="246"/>
      <c r="C1633" s="246" t="s">
        <v>1825</v>
      </c>
      <c r="D1633" s="247">
        <v>115.19</v>
      </c>
      <c r="E1633" s="248">
        <v>1</v>
      </c>
    </row>
    <row r="1634" spans="1:5" hidden="1" x14ac:dyDescent="0.2">
      <c r="A1634" s="251"/>
      <c r="B1634" s="246"/>
      <c r="C1634" s="246" t="s">
        <v>1826</v>
      </c>
      <c r="D1634" s="247">
        <v>115.19</v>
      </c>
      <c r="E1634" s="248">
        <v>1</v>
      </c>
    </row>
    <row r="1635" spans="1:5" hidden="1" x14ac:dyDescent="0.2">
      <c r="A1635" s="251"/>
      <c r="B1635" s="246"/>
      <c r="C1635" s="246" t="s">
        <v>1827</v>
      </c>
      <c r="D1635" s="247">
        <v>115.19</v>
      </c>
      <c r="E1635" s="248">
        <v>1</v>
      </c>
    </row>
    <row r="1636" spans="1:5" hidden="1" x14ac:dyDescent="0.2">
      <c r="A1636" s="251"/>
      <c r="B1636" s="246"/>
      <c r="C1636" s="246" t="s">
        <v>1828</v>
      </c>
      <c r="D1636" s="247">
        <v>115.19</v>
      </c>
      <c r="E1636" s="248">
        <v>1</v>
      </c>
    </row>
    <row r="1637" spans="1:5" hidden="1" x14ac:dyDescent="0.2">
      <c r="A1637" s="251"/>
      <c r="B1637" s="246"/>
      <c r="C1637" s="246" t="s">
        <v>1829</v>
      </c>
      <c r="D1637" s="247">
        <v>115.19</v>
      </c>
      <c r="E1637" s="248">
        <v>1</v>
      </c>
    </row>
    <row r="1638" spans="1:5" hidden="1" x14ac:dyDescent="0.2">
      <c r="A1638" s="251"/>
      <c r="B1638" s="246"/>
      <c r="C1638" s="246" t="s">
        <v>1830</v>
      </c>
      <c r="D1638" s="247">
        <v>115.19</v>
      </c>
      <c r="E1638" s="248">
        <v>1</v>
      </c>
    </row>
    <row r="1639" spans="1:5" hidden="1" x14ac:dyDescent="0.2">
      <c r="A1639" s="251"/>
      <c r="B1639" s="246"/>
      <c r="C1639" s="246" t="s">
        <v>1831</v>
      </c>
      <c r="D1639" s="247">
        <v>115.19</v>
      </c>
      <c r="E1639" s="248">
        <v>1</v>
      </c>
    </row>
    <row r="1640" spans="1:5" hidden="1" x14ac:dyDescent="0.2">
      <c r="A1640" s="251"/>
      <c r="B1640" s="246"/>
      <c r="C1640" s="246" t="s">
        <v>1832</v>
      </c>
      <c r="D1640" s="247">
        <v>115.19</v>
      </c>
      <c r="E1640" s="248">
        <v>1</v>
      </c>
    </row>
    <row r="1641" spans="1:5" hidden="1" x14ac:dyDescent="0.2">
      <c r="A1641" s="251"/>
      <c r="B1641" s="246"/>
      <c r="C1641" s="246" t="s">
        <v>1833</v>
      </c>
      <c r="D1641" s="247">
        <v>115.19</v>
      </c>
      <c r="E1641" s="248">
        <v>1</v>
      </c>
    </row>
    <row r="1642" spans="1:5" hidden="1" x14ac:dyDescent="0.2">
      <c r="A1642" s="251"/>
      <c r="B1642" s="246"/>
      <c r="C1642" s="246" t="s">
        <v>1834</v>
      </c>
      <c r="D1642" s="247">
        <v>115.19</v>
      </c>
      <c r="E1642" s="248">
        <v>1</v>
      </c>
    </row>
    <row r="1643" spans="1:5" hidden="1" x14ac:dyDescent="0.2">
      <c r="A1643" s="251"/>
      <c r="B1643" s="246"/>
      <c r="C1643" s="246" t="s">
        <v>1835</v>
      </c>
      <c r="D1643" s="247">
        <v>115.19</v>
      </c>
      <c r="E1643" s="248">
        <v>1</v>
      </c>
    </row>
    <row r="1644" spans="1:5" hidden="1" x14ac:dyDescent="0.2">
      <c r="A1644" s="251"/>
      <c r="B1644" s="246"/>
      <c r="C1644" s="246" t="s">
        <v>1836</v>
      </c>
      <c r="D1644" s="247">
        <v>115.19</v>
      </c>
      <c r="E1644" s="248">
        <v>1</v>
      </c>
    </row>
    <row r="1645" spans="1:5" hidden="1" x14ac:dyDescent="0.2">
      <c r="A1645" s="251"/>
      <c r="B1645" s="246"/>
      <c r="C1645" s="246" t="s">
        <v>1837</v>
      </c>
      <c r="D1645" s="247">
        <v>115.19</v>
      </c>
      <c r="E1645" s="248">
        <v>1</v>
      </c>
    </row>
    <row r="1646" spans="1:5" hidden="1" x14ac:dyDescent="0.2">
      <c r="A1646" s="251"/>
      <c r="B1646" s="246"/>
      <c r="C1646" s="246" t="s">
        <v>1838</v>
      </c>
      <c r="D1646" s="247">
        <v>115.19</v>
      </c>
      <c r="E1646" s="248">
        <v>1</v>
      </c>
    </row>
    <row r="1647" spans="1:5" hidden="1" x14ac:dyDescent="0.2">
      <c r="A1647" s="251"/>
      <c r="B1647" s="246"/>
      <c r="C1647" s="246" t="s">
        <v>1839</v>
      </c>
      <c r="D1647" s="247">
        <v>115.19</v>
      </c>
      <c r="E1647" s="248">
        <v>1</v>
      </c>
    </row>
    <row r="1648" spans="1:5" hidden="1" x14ac:dyDescent="0.2">
      <c r="A1648" s="251"/>
      <c r="B1648" s="246"/>
      <c r="C1648" s="246" t="s">
        <v>1840</v>
      </c>
      <c r="D1648" s="247">
        <v>115.19</v>
      </c>
      <c r="E1648" s="248">
        <v>1</v>
      </c>
    </row>
    <row r="1649" spans="1:5" hidden="1" x14ac:dyDescent="0.2">
      <c r="A1649" s="251"/>
      <c r="B1649" s="246"/>
      <c r="C1649" s="246" t="s">
        <v>1841</v>
      </c>
      <c r="D1649" s="247">
        <v>115.19</v>
      </c>
      <c r="E1649" s="248">
        <v>1</v>
      </c>
    </row>
    <row r="1650" spans="1:5" hidden="1" x14ac:dyDescent="0.2">
      <c r="A1650" s="251"/>
      <c r="B1650" s="246"/>
      <c r="C1650" s="246" t="s">
        <v>1842</v>
      </c>
      <c r="D1650" s="247">
        <v>115.19</v>
      </c>
      <c r="E1650" s="248">
        <v>1</v>
      </c>
    </row>
    <row r="1651" spans="1:5" hidden="1" x14ac:dyDescent="0.2">
      <c r="A1651" s="251"/>
      <c r="B1651" s="246"/>
      <c r="C1651" s="246" t="s">
        <v>1843</v>
      </c>
      <c r="D1651" s="247">
        <v>115.19</v>
      </c>
      <c r="E1651" s="248">
        <v>1</v>
      </c>
    </row>
    <row r="1652" spans="1:5" hidden="1" x14ac:dyDescent="0.2">
      <c r="A1652" s="251"/>
      <c r="B1652" s="246"/>
      <c r="C1652" s="246" t="s">
        <v>1844</v>
      </c>
      <c r="D1652" s="247">
        <v>115.19</v>
      </c>
      <c r="E1652" s="248">
        <v>1</v>
      </c>
    </row>
    <row r="1653" spans="1:5" hidden="1" x14ac:dyDescent="0.2">
      <c r="A1653" s="251"/>
      <c r="B1653" s="246"/>
      <c r="C1653" s="246" t="s">
        <v>1845</v>
      </c>
      <c r="D1653" s="247">
        <v>115.19</v>
      </c>
      <c r="E1653" s="248">
        <v>1</v>
      </c>
    </row>
    <row r="1654" spans="1:5" hidden="1" x14ac:dyDescent="0.2">
      <c r="A1654" s="251"/>
      <c r="B1654" s="246"/>
      <c r="C1654" s="246" t="s">
        <v>1846</v>
      </c>
      <c r="D1654" s="247">
        <v>115.19</v>
      </c>
      <c r="E1654" s="248">
        <v>1</v>
      </c>
    </row>
    <row r="1655" spans="1:5" hidden="1" x14ac:dyDescent="0.2">
      <c r="A1655" s="251"/>
      <c r="B1655" s="246"/>
      <c r="C1655" s="246" t="s">
        <v>1847</v>
      </c>
      <c r="D1655" s="247">
        <v>115.19</v>
      </c>
      <c r="E1655" s="248">
        <v>1</v>
      </c>
    </row>
    <row r="1656" spans="1:5" hidden="1" x14ac:dyDescent="0.2">
      <c r="A1656" s="251"/>
      <c r="B1656" s="246"/>
      <c r="C1656" s="246" t="s">
        <v>1848</v>
      </c>
      <c r="D1656" s="247">
        <v>115.19</v>
      </c>
      <c r="E1656" s="248">
        <v>1</v>
      </c>
    </row>
    <row r="1657" spans="1:5" hidden="1" x14ac:dyDescent="0.2">
      <c r="A1657" s="251"/>
      <c r="B1657" s="246"/>
      <c r="C1657" s="246" t="s">
        <v>1849</v>
      </c>
      <c r="D1657" s="247">
        <v>115.19</v>
      </c>
      <c r="E1657" s="248">
        <v>1</v>
      </c>
    </row>
    <row r="1658" spans="1:5" hidden="1" x14ac:dyDescent="0.2">
      <c r="A1658" s="251"/>
      <c r="B1658" s="246"/>
      <c r="C1658" s="246" t="s">
        <v>1850</v>
      </c>
      <c r="D1658" s="247">
        <v>115.19</v>
      </c>
      <c r="E1658" s="248">
        <v>1</v>
      </c>
    </row>
    <row r="1659" spans="1:5" hidden="1" x14ac:dyDescent="0.2">
      <c r="A1659" s="251"/>
      <c r="B1659" s="246"/>
      <c r="C1659" s="246" t="s">
        <v>1851</v>
      </c>
      <c r="D1659" s="247">
        <v>115.19</v>
      </c>
      <c r="E1659" s="248">
        <v>1</v>
      </c>
    </row>
    <row r="1660" spans="1:5" hidden="1" x14ac:dyDescent="0.2">
      <c r="A1660" s="251"/>
      <c r="B1660" s="246"/>
      <c r="C1660" s="246" t="s">
        <v>1852</v>
      </c>
      <c r="D1660" s="247">
        <v>115.19</v>
      </c>
      <c r="E1660" s="248">
        <v>1</v>
      </c>
    </row>
    <row r="1661" spans="1:5" hidden="1" x14ac:dyDescent="0.2">
      <c r="A1661" s="251"/>
      <c r="B1661" s="246"/>
      <c r="C1661" s="246" t="s">
        <v>1853</v>
      </c>
      <c r="D1661" s="247">
        <v>115.19</v>
      </c>
      <c r="E1661" s="248">
        <v>1</v>
      </c>
    </row>
    <row r="1662" spans="1:5" hidden="1" x14ac:dyDescent="0.2">
      <c r="A1662" s="251"/>
      <c r="B1662" s="246"/>
      <c r="C1662" s="246" t="s">
        <v>1854</v>
      </c>
      <c r="D1662" s="247">
        <v>115.19</v>
      </c>
      <c r="E1662" s="248">
        <v>1</v>
      </c>
    </row>
    <row r="1663" spans="1:5" hidden="1" x14ac:dyDescent="0.2">
      <c r="A1663" s="251"/>
      <c r="B1663" s="246"/>
      <c r="C1663" s="246" t="s">
        <v>1855</v>
      </c>
      <c r="D1663" s="247">
        <v>115.19</v>
      </c>
      <c r="E1663" s="248">
        <v>1</v>
      </c>
    </row>
    <row r="1664" spans="1:5" hidden="1" x14ac:dyDescent="0.2">
      <c r="A1664" s="251"/>
      <c r="B1664" s="246"/>
      <c r="C1664" s="246" t="s">
        <v>1856</v>
      </c>
      <c r="D1664" s="247">
        <v>115.19</v>
      </c>
      <c r="E1664" s="248">
        <v>1</v>
      </c>
    </row>
    <row r="1665" spans="1:5" hidden="1" x14ac:dyDescent="0.2">
      <c r="A1665" s="251"/>
      <c r="B1665" s="246"/>
      <c r="C1665" s="246" t="s">
        <v>1857</v>
      </c>
      <c r="D1665" s="247">
        <v>115.19</v>
      </c>
      <c r="E1665" s="248">
        <v>1</v>
      </c>
    </row>
    <row r="1666" spans="1:5" hidden="1" x14ac:dyDescent="0.2">
      <c r="A1666" s="251"/>
      <c r="B1666" s="246"/>
      <c r="C1666" s="246" t="s">
        <v>1858</v>
      </c>
      <c r="D1666" s="247">
        <v>115.19</v>
      </c>
      <c r="E1666" s="248">
        <v>1</v>
      </c>
    </row>
    <row r="1667" spans="1:5" hidden="1" x14ac:dyDescent="0.2">
      <c r="A1667" s="251"/>
      <c r="B1667" s="246"/>
      <c r="C1667" s="246" t="s">
        <v>1859</v>
      </c>
      <c r="D1667" s="247">
        <v>115.19</v>
      </c>
      <c r="E1667" s="248">
        <v>1</v>
      </c>
    </row>
    <row r="1668" spans="1:5" hidden="1" x14ac:dyDescent="0.2">
      <c r="A1668" s="251"/>
      <c r="B1668" s="246"/>
      <c r="C1668" s="246" t="s">
        <v>1860</v>
      </c>
      <c r="D1668" s="247">
        <v>115.19</v>
      </c>
      <c r="E1668" s="248">
        <v>1</v>
      </c>
    </row>
    <row r="1669" spans="1:5" hidden="1" x14ac:dyDescent="0.2">
      <c r="A1669" s="251"/>
      <c r="B1669" s="246"/>
      <c r="C1669" s="246" t="s">
        <v>1861</v>
      </c>
      <c r="D1669" s="247">
        <v>115.19</v>
      </c>
      <c r="E1669" s="248">
        <v>1</v>
      </c>
    </row>
    <row r="1670" spans="1:5" hidden="1" x14ac:dyDescent="0.2">
      <c r="A1670" s="251"/>
      <c r="B1670" s="246"/>
      <c r="C1670" s="246" t="s">
        <v>1862</v>
      </c>
      <c r="D1670" s="247">
        <v>115.19</v>
      </c>
      <c r="E1670" s="248">
        <v>1</v>
      </c>
    </row>
    <row r="1671" spans="1:5" hidden="1" x14ac:dyDescent="0.2">
      <c r="A1671" s="251"/>
      <c r="B1671" s="246"/>
      <c r="C1671" s="246" t="s">
        <v>1863</v>
      </c>
      <c r="D1671" s="247">
        <v>115.19</v>
      </c>
      <c r="E1671" s="248">
        <v>1</v>
      </c>
    </row>
    <row r="1672" spans="1:5" hidden="1" x14ac:dyDescent="0.2">
      <c r="A1672" s="251"/>
      <c r="B1672" s="246"/>
      <c r="C1672" s="246" t="s">
        <v>1864</v>
      </c>
      <c r="D1672" s="247">
        <v>115.19</v>
      </c>
      <c r="E1672" s="248">
        <v>1</v>
      </c>
    </row>
    <row r="1673" spans="1:5" hidden="1" x14ac:dyDescent="0.2">
      <c r="A1673" s="251"/>
      <c r="B1673" s="246"/>
      <c r="C1673" s="246" t="s">
        <v>1865</v>
      </c>
      <c r="D1673" s="247">
        <v>115.19</v>
      </c>
      <c r="E1673" s="248">
        <v>1</v>
      </c>
    </row>
    <row r="1674" spans="1:5" hidden="1" x14ac:dyDescent="0.2">
      <c r="A1674" s="251"/>
      <c r="B1674" s="246"/>
      <c r="C1674" s="246" t="s">
        <v>1866</v>
      </c>
      <c r="D1674" s="247">
        <v>115.19</v>
      </c>
      <c r="E1674" s="248">
        <v>1</v>
      </c>
    </row>
    <row r="1675" spans="1:5" hidden="1" x14ac:dyDescent="0.2">
      <c r="A1675" s="251"/>
      <c r="B1675" s="246"/>
      <c r="C1675" s="246" t="s">
        <v>1867</v>
      </c>
      <c r="D1675" s="247">
        <v>115.19</v>
      </c>
      <c r="E1675" s="248">
        <v>1</v>
      </c>
    </row>
    <row r="1676" spans="1:5" hidden="1" x14ac:dyDescent="0.2">
      <c r="A1676" s="251"/>
      <c r="B1676" s="246"/>
      <c r="C1676" s="246" t="s">
        <v>1868</v>
      </c>
      <c r="D1676" s="247">
        <v>115.19</v>
      </c>
      <c r="E1676" s="248">
        <v>1</v>
      </c>
    </row>
    <row r="1677" spans="1:5" hidden="1" x14ac:dyDescent="0.2">
      <c r="A1677" s="251"/>
      <c r="B1677" s="246"/>
      <c r="C1677" s="246" t="s">
        <v>1869</v>
      </c>
      <c r="D1677" s="247">
        <v>115.19</v>
      </c>
      <c r="E1677" s="248">
        <v>1</v>
      </c>
    </row>
    <row r="1678" spans="1:5" hidden="1" x14ac:dyDescent="0.2">
      <c r="A1678" s="251"/>
      <c r="B1678" s="246"/>
      <c r="C1678" s="246" t="s">
        <v>1870</v>
      </c>
      <c r="D1678" s="247">
        <v>115.19</v>
      </c>
      <c r="E1678" s="248">
        <v>1</v>
      </c>
    </row>
    <row r="1679" spans="1:5" hidden="1" x14ac:dyDescent="0.2">
      <c r="A1679" s="251"/>
      <c r="B1679" s="246"/>
      <c r="C1679" s="246" t="s">
        <v>1871</v>
      </c>
      <c r="D1679" s="247">
        <v>115.19</v>
      </c>
      <c r="E1679" s="248">
        <v>1</v>
      </c>
    </row>
    <row r="1680" spans="1:5" hidden="1" x14ac:dyDescent="0.2">
      <c r="A1680" s="251"/>
      <c r="B1680" s="246"/>
      <c r="C1680" s="246" t="s">
        <v>1872</v>
      </c>
      <c r="D1680" s="247">
        <v>115.19</v>
      </c>
      <c r="E1680" s="248">
        <v>1</v>
      </c>
    </row>
    <row r="1681" spans="1:5" hidden="1" x14ac:dyDescent="0.2">
      <c r="A1681" s="251"/>
      <c r="B1681" s="246"/>
      <c r="C1681" s="246" t="s">
        <v>1873</v>
      </c>
      <c r="D1681" s="247">
        <v>115.19</v>
      </c>
      <c r="E1681" s="248">
        <v>1</v>
      </c>
    </row>
    <row r="1682" spans="1:5" hidden="1" x14ac:dyDescent="0.2">
      <c r="A1682" s="251"/>
      <c r="B1682" s="246"/>
      <c r="C1682" s="246" t="s">
        <v>1874</v>
      </c>
      <c r="D1682" s="247">
        <v>115.19</v>
      </c>
      <c r="E1682" s="248">
        <v>1</v>
      </c>
    </row>
    <row r="1683" spans="1:5" hidden="1" x14ac:dyDescent="0.2">
      <c r="A1683" s="251"/>
      <c r="B1683" s="246"/>
      <c r="C1683" s="246" t="s">
        <v>1875</v>
      </c>
      <c r="D1683" s="247">
        <v>115.19</v>
      </c>
      <c r="E1683" s="248">
        <v>1</v>
      </c>
    </row>
    <row r="1684" spans="1:5" hidden="1" x14ac:dyDescent="0.2">
      <c r="A1684" s="251"/>
      <c r="B1684" s="246"/>
      <c r="C1684" s="246" t="s">
        <v>1876</v>
      </c>
      <c r="D1684" s="247">
        <v>115.19</v>
      </c>
      <c r="E1684" s="248">
        <v>1</v>
      </c>
    </row>
    <row r="1685" spans="1:5" hidden="1" x14ac:dyDescent="0.2">
      <c r="A1685" s="251"/>
      <c r="B1685" s="246"/>
      <c r="C1685" s="246" t="s">
        <v>1877</v>
      </c>
      <c r="D1685" s="247">
        <v>115.19</v>
      </c>
      <c r="E1685" s="248">
        <v>1</v>
      </c>
    </row>
    <row r="1686" spans="1:5" hidden="1" x14ac:dyDescent="0.2">
      <c r="A1686" s="251"/>
      <c r="B1686" s="246"/>
      <c r="C1686" s="246" t="s">
        <v>1878</v>
      </c>
      <c r="D1686" s="247">
        <v>115.19</v>
      </c>
      <c r="E1686" s="248">
        <v>1</v>
      </c>
    </row>
    <row r="1687" spans="1:5" hidden="1" x14ac:dyDescent="0.2">
      <c r="A1687" s="251"/>
      <c r="B1687" s="246"/>
      <c r="C1687" s="246" t="s">
        <v>1879</v>
      </c>
      <c r="D1687" s="247">
        <v>115.19</v>
      </c>
      <c r="E1687" s="248">
        <v>1</v>
      </c>
    </row>
    <row r="1688" spans="1:5" hidden="1" x14ac:dyDescent="0.2">
      <c r="A1688" s="251"/>
      <c r="B1688" s="246"/>
      <c r="C1688" s="246" t="s">
        <v>1880</v>
      </c>
      <c r="D1688" s="247">
        <v>115.19</v>
      </c>
      <c r="E1688" s="248">
        <v>1</v>
      </c>
    </row>
    <row r="1689" spans="1:5" hidden="1" x14ac:dyDescent="0.2">
      <c r="A1689" s="251"/>
      <c r="B1689" s="246"/>
      <c r="C1689" s="246" t="s">
        <v>1881</v>
      </c>
      <c r="D1689" s="247">
        <v>115.19</v>
      </c>
      <c r="E1689" s="248">
        <v>1</v>
      </c>
    </row>
    <row r="1690" spans="1:5" hidden="1" x14ac:dyDescent="0.2">
      <c r="A1690" s="251"/>
      <c r="B1690" s="246"/>
      <c r="C1690" s="246" t="s">
        <v>1882</v>
      </c>
      <c r="D1690" s="247">
        <v>115.19</v>
      </c>
      <c r="E1690" s="248">
        <v>1</v>
      </c>
    </row>
    <row r="1691" spans="1:5" hidden="1" x14ac:dyDescent="0.2">
      <c r="A1691" s="251"/>
      <c r="B1691" s="246"/>
      <c r="C1691" s="246" t="s">
        <v>1883</v>
      </c>
      <c r="D1691" s="247">
        <v>115.19</v>
      </c>
      <c r="E1691" s="248">
        <v>1</v>
      </c>
    </row>
    <row r="1692" spans="1:5" hidden="1" x14ac:dyDescent="0.2">
      <c r="A1692" s="251"/>
      <c r="B1692" s="246"/>
      <c r="C1692" s="246" t="s">
        <v>1884</v>
      </c>
      <c r="D1692" s="247">
        <v>115.19</v>
      </c>
      <c r="E1692" s="248">
        <v>1</v>
      </c>
    </row>
    <row r="1693" spans="1:5" hidden="1" x14ac:dyDescent="0.2">
      <c r="A1693" s="251"/>
      <c r="B1693" s="246"/>
      <c r="C1693" s="246" t="s">
        <v>1885</v>
      </c>
      <c r="D1693" s="247">
        <v>115.19</v>
      </c>
      <c r="E1693" s="248">
        <v>1</v>
      </c>
    </row>
    <row r="1694" spans="1:5" hidden="1" x14ac:dyDescent="0.2">
      <c r="A1694" s="251"/>
      <c r="B1694" s="246"/>
      <c r="C1694" s="246" t="s">
        <v>1886</v>
      </c>
      <c r="D1694" s="247">
        <v>115.19</v>
      </c>
      <c r="E1694" s="248">
        <v>1</v>
      </c>
    </row>
    <row r="1695" spans="1:5" hidden="1" x14ac:dyDescent="0.2">
      <c r="A1695" s="251"/>
      <c r="B1695" s="246"/>
      <c r="C1695" s="246" t="s">
        <v>1887</v>
      </c>
      <c r="D1695" s="247">
        <v>115.19</v>
      </c>
      <c r="E1695" s="248">
        <v>1</v>
      </c>
    </row>
    <row r="1696" spans="1:5" hidden="1" x14ac:dyDescent="0.2">
      <c r="A1696" s="251"/>
      <c r="B1696" s="246"/>
      <c r="C1696" s="246" t="s">
        <v>1888</v>
      </c>
      <c r="D1696" s="247">
        <v>115.19</v>
      </c>
      <c r="E1696" s="248">
        <v>1</v>
      </c>
    </row>
    <row r="1697" spans="1:5" hidden="1" x14ac:dyDescent="0.2">
      <c r="A1697" s="251"/>
      <c r="B1697" s="246"/>
      <c r="C1697" s="246" t="s">
        <v>1889</v>
      </c>
      <c r="D1697" s="247">
        <v>115.19</v>
      </c>
      <c r="E1697" s="248">
        <v>1</v>
      </c>
    </row>
    <row r="1698" spans="1:5" hidden="1" x14ac:dyDescent="0.2">
      <c r="A1698" s="251"/>
      <c r="B1698" s="246"/>
      <c r="C1698" s="246" t="s">
        <v>1890</v>
      </c>
      <c r="D1698" s="247">
        <v>115.19</v>
      </c>
      <c r="E1698" s="248">
        <v>1</v>
      </c>
    </row>
    <row r="1699" spans="1:5" hidden="1" x14ac:dyDescent="0.2">
      <c r="A1699" s="251"/>
      <c r="B1699" s="246"/>
      <c r="C1699" s="246" t="s">
        <v>1891</v>
      </c>
      <c r="D1699" s="247">
        <v>115.19</v>
      </c>
      <c r="E1699" s="248">
        <v>1</v>
      </c>
    </row>
    <row r="1700" spans="1:5" hidden="1" x14ac:dyDescent="0.2">
      <c r="A1700" s="251"/>
      <c r="B1700" s="246"/>
      <c r="C1700" s="246" t="s">
        <v>1892</v>
      </c>
      <c r="D1700" s="247">
        <v>115.19</v>
      </c>
      <c r="E1700" s="248">
        <v>1</v>
      </c>
    </row>
    <row r="1701" spans="1:5" hidden="1" x14ac:dyDescent="0.2">
      <c r="A1701" s="251"/>
      <c r="B1701" s="246"/>
      <c r="C1701" s="246" t="s">
        <v>1893</v>
      </c>
      <c r="D1701" s="247">
        <v>115.18</v>
      </c>
      <c r="E1701" s="248">
        <v>1</v>
      </c>
    </row>
    <row r="1702" spans="1:5" hidden="1" x14ac:dyDescent="0.2">
      <c r="A1702" s="251"/>
      <c r="B1702" s="246"/>
      <c r="C1702" s="246" t="s">
        <v>1894</v>
      </c>
      <c r="D1702" s="247">
        <v>115.18</v>
      </c>
      <c r="E1702" s="248">
        <v>1</v>
      </c>
    </row>
    <row r="1703" spans="1:5" hidden="1" x14ac:dyDescent="0.2">
      <c r="A1703" s="251"/>
      <c r="B1703" s="246"/>
      <c r="C1703" s="246" t="s">
        <v>1895</v>
      </c>
      <c r="D1703" s="247">
        <v>115.18</v>
      </c>
      <c r="E1703" s="248">
        <v>1</v>
      </c>
    </row>
    <row r="1704" spans="1:5" hidden="1" x14ac:dyDescent="0.2">
      <c r="A1704" s="251"/>
      <c r="B1704" s="246"/>
      <c r="C1704" s="246" t="s">
        <v>1896</v>
      </c>
      <c r="D1704" s="247">
        <v>115.18</v>
      </c>
      <c r="E1704" s="248">
        <v>1</v>
      </c>
    </row>
    <row r="1705" spans="1:5" hidden="1" x14ac:dyDescent="0.2">
      <c r="A1705" s="251"/>
      <c r="B1705" s="246"/>
      <c r="C1705" s="246" t="s">
        <v>1897</v>
      </c>
      <c r="D1705" s="247">
        <v>115.18</v>
      </c>
      <c r="E1705" s="248">
        <v>1</v>
      </c>
    </row>
    <row r="1706" spans="1:5" hidden="1" x14ac:dyDescent="0.2">
      <c r="A1706" s="251"/>
      <c r="B1706" s="246"/>
      <c r="C1706" s="246" t="s">
        <v>1898</v>
      </c>
      <c r="D1706" s="247">
        <v>115.18</v>
      </c>
      <c r="E1706" s="248">
        <v>1</v>
      </c>
    </row>
    <row r="1707" spans="1:5" hidden="1" x14ac:dyDescent="0.2">
      <c r="A1707" s="251"/>
      <c r="B1707" s="246"/>
      <c r="C1707" s="246" t="s">
        <v>1899</v>
      </c>
      <c r="D1707" s="247">
        <v>115.18</v>
      </c>
      <c r="E1707" s="248">
        <v>1</v>
      </c>
    </row>
    <row r="1708" spans="1:5" hidden="1" x14ac:dyDescent="0.2">
      <c r="A1708" s="251"/>
      <c r="B1708" s="246"/>
      <c r="C1708" s="246" t="s">
        <v>1900</v>
      </c>
      <c r="D1708" s="247">
        <v>115.18</v>
      </c>
      <c r="E1708" s="248">
        <v>1</v>
      </c>
    </row>
    <row r="1709" spans="1:5" hidden="1" x14ac:dyDescent="0.2">
      <c r="A1709" s="251"/>
      <c r="B1709" s="246"/>
      <c r="C1709" s="246" t="s">
        <v>1901</v>
      </c>
      <c r="D1709" s="247">
        <v>115.18</v>
      </c>
      <c r="E1709" s="248">
        <v>1</v>
      </c>
    </row>
    <row r="1710" spans="1:5" hidden="1" x14ac:dyDescent="0.2">
      <c r="A1710" s="251"/>
      <c r="B1710" s="246"/>
      <c r="C1710" s="246" t="s">
        <v>1902</v>
      </c>
      <c r="D1710" s="247">
        <v>115.18</v>
      </c>
      <c r="E1710" s="248">
        <v>1</v>
      </c>
    </row>
    <row r="1711" spans="1:5" hidden="1" x14ac:dyDescent="0.2">
      <c r="A1711" s="251"/>
      <c r="B1711" s="246"/>
      <c r="C1711" s="246" t="s">
        <v>1903</v>
      </c>
      <c r="D1711" s="247">
        <v>115.18</v>
      </c>
      <c r="E1711" s="248">
        <v>1</v>
      </c>
    </row>
    <row r="1712" spans="1:5" hidden="1" x14ac:dyDescent="0.2">
      <c r="A1712" s="251"/>
      <c r="B1712" s="246"/>
      <c r="C1712" s="246" t="s">
        <v>1904</v>
      </c>
      <c r="D1712" s="247">
        <v>115.18</v>
      </c>
      <c r="E1712" s="248">
        <v>1</v>
      </c>
    </row>
    <row r="1713" spans="1:5" hidden="1" x14ac:dyDescent="0.2">
      <c r="A1713" s="251"/>
      <c r="B1713" s="246"/>
      <c r="C1713" s="246" t="s">
        <v>1905</v>
      </c>
      <c r="D1713" s="247">
        <v>115.18</v>
      </c>
      <c r="E1713" s="248">
        <v>1</v>
      </c>
    </row>
    <row r="1714" spans="1:5" hidden="1" x14ac:dyDescent="0.2">
      <c r="A1714" s="251"/>
      <c r="B1714" s="246"/>
      <c r="C1714" s="246" t="s">
        <v>1906</v>
      </c>
      <c r="D1714" s="247">
        <v>115.18</v>
      </c>
      <c r="E1714" s="248">
        <v>1</v>
      </c>
    </row>
    <row r="1715" spans="1:5" hidden="1" x14ac:dyDescent="0.2">
      <c r="A1715" s="251"/>
      <c r="B1715" s="246"/>
      <c r="C1715" s="246" t="s">
        <v>1907</v>
      </c>
      <c r="D1715" s="247">
        <v>115.18</v>
      </c>
      <c r="E1715" s="248">
        <v>1</v>
      </c>
    </row>
    <row r="1716" spans="1:5" hidden="1" x14ac:dyDescent="0.2">
      <c r="A1716" s="251"/>
      <c r="B1716" s="246"/>
      <c r="C1716" s="246" t="s">
        <v>1908</v>
      </c>
      <c r="D1716" s="247">
        <v>115.18</v>
      </c>
      <c r="E1716" s="248">
        <v>1</v>
      </c>
    </row>
    <row r="1717" spans="1:5" hidden="1" x14ac:dyDescent="0.2">
      <c r="A1717" s="251"/>
      <c r="B1717" s="246"/>
      <c r="C1717" s="246" t="s">
        <v>1909</v>
      </c>
      <c r="D1717" s="247">
        <v>115.18</v>
      </c>
      <c r="E1717" s="248">
        <v>1</v>
      </c>
    </row>
    <row r="1718" spans="1:5" hidden="1" x14ac:dyDescent="0.2">
      <c r="A1718" s="251"/>
      <c r="B1718" s="246"/>
      <c r="C1718" s="246" t="s">
        <v>1910</v>
      </c>
      <c r="D1718" s="247">
        <v>115.18</v>
      </c>
      <c r="E1718" s="248">
        <v>1</v>
      </c>
    </row>
    <row r="1719" spans="1:5" hidden="1" x14ac:dyDescent="0.2">
      <c r="A1719" s="251"/>
      <c r="B1719" s="246"/>
      <c r="C1719" s="246" t="s">
        <v>1911</v>
      </c>
      <c r="D1719" s="247">
        <v>115.18</v>
      </c>
      <c r="E1719" s="248">
        <v>1</v>
      </c>
    </row>
    <row r="1720" spans="1:5" hidden="1" x14ac:dyDescent="0.2">
      <c r="A1720" s="251"/>
      <c r="B1720" s="246"/>
      <c r="C1720" s="246" t="s">
        <v>1912</v>
      </c>
      <c r="D1720" s="247">
        <v>115.18</v>
      </c>
      <c r="E1720" s="248">
        <v>1</v>
      </c>
    </row>
    <row r="1721" spans="1:5" hidden="1" x14ac:dyDescent="0.2">
      <c r="A1721" s="251"/>
      <c r="B1721" s="246"/>
      <c r="C1721" s="246" t="s">
        <v>1913</v>
      </c>
      <c r="D1721" s="247">
        <v>115.18</v>
      </c>
      <c r="E1721" s="248">
        <v>1</v>
      </c>
    </row>
    <row r="1722" spans="1:5" hidden="1" x14ac:dyDescent="0.2">
      <c r="A1722" s="251"/>
      <c r="B1722" s="246"/>
      <c r="C1722" s="246" t="s">
        <v>1914</v>
      </c>
      <c r="D1722" s="247">
        <v>115.18</v>
      </c>
      <c r="E1722" s="248">
        <v>1</v>
      </c>
    </row>
    <row r="1723" spans="1:5" hidden="1" x14ac:dyDescent="0.2">
      <c r="A1723" s="251"/>
      <c r="B1723" s="246"/>
      <c r="C1723" s="246" t="s">
        <v>1915</v>
      </c>
      <c r="D1723" s="247">
        <v>115.18</v>
      </c>
      <c r="E1723" s="248">
        <v>1</v>
      </c>
    </row>
    <row r="1724" spans="1:5" hidden="1" x14ac:dyDescent="0.2">
      <c r="A1724" s="251"/>
      <c r="B1724" s="246"/>
      <c r="C1724" s="246" t="s">
        <v>1916</v>
      </c>
      <c r="D1724" s="247">
        <v>115.18</v>
      </c>
      <c r="E1724" s="248">
        <v>1</v>
      </c>
    </row>
    <row r="1725" spans="1:5" hidden="1" x14ac:dyDescent="0.2">
      <c r="A1725" s="251"/>
      <c r="B1725" s="246"/>
      <c r="C1725" s="246" t="s">
        <v>1917</v>
      </c>
      <c r="D1725" s="247">
        <v>115.18</v>
      </c>
      <c r="E1725" s="248">
        <v>1</v>
      </c>
    </row>
    <row r="1726" spans="1:5" hidden="1" x14ac:dyDescent="0.2">
      <c r="A1726" s="251"/>
      <c r="B1726" s="246"/>
      <c r="C1726" s="246" t="s">
        <v>1918</v>
      </c>
      <c r="D1726" s="247">
        <v>115.18</v>
      </c>
      <c r="E1726" s="248">
        <v>1</v>
      </c>
    </row>
    <row r="1727" spans="1:5" hidden="1" x14ac:dyDescent="0.2">
      <c r="A1727" s="251"/>
      <c r="B1727" s="246"/>
      <c r="C1727" s="246" t="s">
        <v>1919</v>
      </c>
      <c r="D1727" s="247">
        <v>115.18</v>
      </c>
      <c r="E1727" s="248">
        <v>1</v>
      </c>
    </row>
    <row r="1728" spans="1:5" hidden="1" x14ac:dyDescent="0.2">
      <c r="A1728" s="251"/>
      <c r="B1728" s="246"/>
      <c r="C1728" s="246" t="s">
        <v>1920</v>
      </c>
      <c r="D1728" s="247">
        <v>115.18</v>
      </c>
      <c r="E1728" s="248">
        <v>1</v>
      </c>
    </row>
    <row r="1729" spans="1:5" hidden="1" x14ac:dyDescent="0.2">
      <c r="A1729" s="251"/>
      <c r="B1729" s="246"/>
      <c r="C1729" s="246" t="s">
        <v>1921</v>
      </c>
      <c r="D1729" s="247">
        <v>115.18</v>
      </c>
      <c r="E1729" s="248">
        <v>1</v>
      </c>
    </row>
    <row r="1730" spans="1:5" hidden="1" x14ac:dyDescent="0.2">
      <c r="A1730" s="251"/>
      <c r="B1730" s="246"/>
      <c r="C1730" s="246" t="s">
        <v>1922</v>
      </c>
      <c r="D1730" s="247">
        <v>115.18</v>
      </c>
      <c r="E1730" s="248">
        <v>1</v>
      </c>
    </row>
    <row r="1731" spans="1:5" hidden="1" x14ac:dyDescent="0.2">
      <c r="A1731" s="251"/>
      <c r="B1731" s="246"/>
      <c r="C1731" s="246" t="s">
        <v>1923</v>
      </c>
      <c r="D1731" s="247">
        <v>115.18</v>
      </c>
      <c r="E1731" s="248">
        <v>1</v>
      </c>
    </row>
    <row r="1732" spans="1:5" hidden="1" x14ac:dyDescent="0.2">
      <c r="A1732" s="251"/>
      <c r="B1732" s="246"/>
      <c r="C1732" s="246" t="s">
        <v>1924</v>
      </c>
      <c r="D1732" s="247">
        <v>115.08</v>
      </c>
      <c r="E1732" s="248">
        <v>2</v>
      </c>
    </row>
    <row r="1733" spans="1:5" hidden="1" x14ac:dyDescent="0.2">
      <c r="A1733" s="251"/>
      <c r="B1733" s="246"/>
      <c r="C1733" s="246" t="s">
        <v>1925</v>
      </c>
      <c r="D1733" s="247">
        <v>114.33</v>
      </c>
      <c r="E1733" s="248">
        <v>1</v>
      </c>
    </row>
    <row r="1734" spans="1:5" hidden="1" x14ac:dyDescent="0.2">
      <c r="A1734" s="251"/>
      <c r="B1734" s="246"/>
      <c r="C1734" s="246" t="s">
        <v>2337</v>
      </c>
      <c r="D1734" s="247">
        <v>114.33</v>
      </c>
      <c r="E1734" s="248">
        <v>1</v>
      </c>
    </row>
    <row r="1735" spans="1:5" hidden="1" x14ac:dyDescent="0.2">
      <c r="A1735" s="251"/>
      <c r="B1735" s="246"/>
      <c r="C1735" s="246" t="s">
        <v>1926</v>
      </c>
      <c r="D1735" s="247">
        <v>114.33</v>
      </c>
      <c r="E1735" s="248">
        <v>1</v>
      </c>
    </row>
    <row r="1736" spans="1:5" hidden="1" x14ac:dyDescent="0.2">
      <c r="A1736" s="251"/>
      <c r="B1736" s="246"/>
      <c r="C1736" s="246" t="s">
        <v>1927</v>
      </c>
      <c r="D1736" s="247">
        <v>114.33</v>
      </c>
      <c r="E1736" s="248">
        <v>1</v>
      </c>
    </row>
    <row r="1737" spans="1:5" hidden="1" x14ac:dyDescent="0.2">
      <c r="A1737" s="251"/>
      <c r="B1737" s="246"/>
      <c r="C1737" s="246" t="s">
        <v>1928</v>
      </c>
      <c r="D1737" s="247">
        <v>114.33</v>
      </c>
      <c r="E1737" s="248">
        <v>1</v>
      </c>
    </row>
    <row r="1738" spans="1:5" hidden="1" x14ac:dyDescent="0.2">
      <c r="A1738" s="251"/>
      <c r="B1738" s="246"/>
      <c r="C1738" s="246" t="s">
        <v>1929</v>
      </c>
      <c r="D1738" s="247">
        <v>114.33</v>
      </c>
      <c r="E1738" s="248">
        <v>1</v>
      </c>
    </row>
    <row r="1739" spans="1:5" hidden="1" x14ac:dyDescent="0.2">
      <c r="A1739" s="251"/>
      <c r="B1739" s="246"/>
      <c r="C1739" s="246" t="s">
        <v>1930</v>
      </c>
      <c r="D1739" s="247">
        <v>114.33</v>
      </c>
      <c r="E1739" s="248">
        <v>1</v>
      </c>
    </row>
    <row r="1740" spans="1:5" hidden="1" x14ac:dyDescent="0.2">
      <c r="A1740" s="251"/>
      <c r="B1740" s="246"/>
      <c r="C1740" s="246" t="s">
        <v>1931</v>
      </c>
      <c r="D1740" s="247">
        <v>114.33</v>
      </c>
      <c r="E1740" s="248">
        <v>1</v>
      </c>
    </row>
    <row r="1741" spans="1:5" hidden="1" x14ac:dyDescent="0.2">
      <c r="A1741" s="251"/>
      <c r="B1741" s="246"/>
      <c r="C1741" s="246" t="s">
        <v>1932</v>
      </c>
      <c r="D1741" s="247">
        <v>114.33</v>
      </c>
      <c r="E1741" s="248">
        <v>1</v>
      </c>
    </row>
    <row r="1742" spans="1:5" hidden="1" x14ac:dyDescent="0.2">
      <c r="A1742" s="251"/>
      <c r="B1742" s="246"/>
      <c r="C1742" s="246" t="s">
        <v>1933</v>
      </c>
      <c r="D1742" s="247">
        <v>114.33</v>
      </c>
      <c r="E1742" s="248">
        <v>1</v>
      </c>
    </row>
    <row r="1743" spans="1:5" hidden="1" x14ac:dyDescent="0.2">
      <c r="A1743" s="251"/>
      <c r="B1743" s="246"/>
      <c r="C1743" s="246" t="s">
        <v>1934</v>
      </c>
      <c r="D1743" s="247">
        <v>114.33</v>
      </c>
      <c r="E1743" s="248">
        <v>1</v>
      </c>
    </row>
    <row r="1744" spans="1:5" hidden="1" x14ac:dyDescent="0.2">
      <c r="A1744" s="251"/>
      <c r="B1744" s="246"/>
      <c r="C1744" s="246" t="s">
        <v>1935</v>
      </c>
      <c r="D1744" s="247">
        <v>114.33</v>
      </c>
      <c r="E1744" s="248">
        <v>1</v>
      </c>
    </row>
    <row r="1745" spans="1:5" hidden="1" x14ac:dyDescent="0.2">
      <c r="A1745" s="251"/>
      <c r="B1745" s="246"/>
      <c r="C1745" s="246" t="s">
        <v>1936</v>
      </c>
      <c r="D1745" s="247">
        <v>114.33</v>
      </c>
      <c r="E1745" s="248">
        <v>1</v>
      </c>
    </row>
    <row r="1746" spans="1:5" hidden="1" x14ac:dyDescent="0.2">
      <c r="A1746" s="251"/>
      <c r="B1746" s="246"/>
      <c r="C1746" s="246" t="s">
        <v>1937</v>
      </c>
      <c r="D1746" s="247">
        <v>114.33</v>
      </c>
      <c r="E1746" s="248">
        <v>1</v>
      </c>
    </row>
    <row r="1747" spans="1:5" hidden="1" x14ac:dyDescent="0.2">
      <c r="A1747" s="251"/>
      <c r="B1747" s="246"/>
      <c r="C1747" s="246" t="s">
        <v>1938</v>
      </c>
      <c r="D1747" s="247">
        <v>114.33</v>
      </c>
      <c r="E1747" s="248">
        <v>1</v>
      </c>
    </row>
    <row r="1748" spans="1:5" hidden="1" x14ac:dyDescent="0.2">
      <c r="A1748" s="251"/>
      <c r="B1748" s="246"/>
      <c r="C1748" s="246" t="s">
        <v>1939</v>
      </c>
      <c r="D1748" s="247">
        <v>114.33</v>
      </c>
      <c r="E1748" s="248">
        <v>1</v>
      </c>
    </row>
    <row r="1749" spans="1:5" hidden="1" x14ac:dyDescent="0.2">
      <c r="A1749" s="251"/>
      <c r="B1749" s="246"/>
      <c r="C1749" s="246" t="s">
        <v>1940</v>
      </c>
      <c r="D1749" s="247">
        <v>114.33</v>
      </c>
      <c r="E1749" s="248">
        <v>1</v>
      </c>
    </row>
    <row r="1750" spans="1:5" hidden="1" x14ac:dyDescent="0.2">
      <c r="A1750" s="251"/>
      <c r="B1750" s="246"/>
      <c r="C1750" s="246" t="s">
        <v>1941</v>
      </c>
      <c r="D1750" s="247">
        <v>114.33</v>
      </c>
      <c r="E1750" s="248">
        <v>1</v>
      </c>
    </row>
    <row r="1751" spans="1:5" hidden="1" x14ac:dyDescent="0.2">
      <c r="A1751" s="251"/>
      <c r="B1751" s="246"/>
      <c r="C1751" s="246" t="s">
        <v>1942</v>
      </c>
      <c r="D1751" s="247">
        <v>114.33</v>
      </c>
      <c r="E1751" s="248">
        <v>1</v>
      </c>
    </row>
    <row r="1752" spans="1:5" hidden="1" x14ac:dyDescent="0.2">
      <c r="A1752" s="251"/>
      <c r="B1752" s="246"/>
      <c r="C1752" s="246" t="s">
        <v>1943</v>
      </c>
      <c r="D1752" s="247">
        <v>114.33</v>
      </c>
      <c r="E1752" s="248">
        <v>1</v>
      </c>
    </row>
    <row r="1753" spans="1:5" hidden="1" x14ac:dyDescent="0.2">
      <c r="A1753" s="251"/>
      <c r="B1753" s="246"/>
      <c r="C1753" s="246" t="s">
        <v>1944</v>
      </c>
      <c r="D1753" s="247">
        <v>114.33</v>
      </c>
      <c r="E1753" s="248">
        <v>1</v>
      </c>
    </row>
    <row r="1754" spans="1:5" hidden="1" x14ac:dyDescent="0.2">
      <c r="A1754" s="251"/>
      <c r="B1754" s="246"/>
      <c r="C1754" s="246" t="s">
        <v>2338</v>
      </c>
      <c r="D1754" s="247">
        <v>114.33</v>
      </c>
      <c r="E1754" s="248">
        <v>1</v>
      </c>
    </row>
    <row r="1755" spans="1:5" hidden="1" x14ac:dyDescent="0.2">
      <c r="A1755" s="251"/>
      <c r="B1755" s="246"/>
      <c r="C1755" s="246" t="s">
        <v>1945</v>
      </c>
      <c r="D1755" s="247">
        <v>114.33</v>
      </c>
      <c r="E1755" s="248">
        <v>1</v>
      </c>
    </row>
    <row r="1756" spans="1:5" hidden="1" x14ac:dyDescent="0.2">
      <c r="A1756" s="251"/>
      <c r="B1756" s="246"/>
      <c r="C1756" s="246" t="s">
        <v>1946</v>
      </c>
      <c r="D1756" s="247">
        <v>114.33</v>
      </c>
      <c r="E1756" s="248">
        <v>1</v>
      </c>
    </row>
    <row r="1757" spans="1:5" hidden="1" x14ac:dyDescent="0.2">
      <c r="A1757" s="251"/>
      <c r="B1757" s="246"/>
      <c r="C1757" s="246" t="s">
        <v>1947</v>
      </c>
      <c r="D1757" s="247">
        <v>114.33</v>
      </c>
      <c r="E1757" s="248">
        <v>1</v>
      </c>
    </row>
    <row r="1758" spans="1:5" hidden="1" x14ac:dyDescent="0.2">
      <c r="A1758" s="251"/>
      <c r="B1758" s="246"/>
      <c r="C1758" s="246" t="s">
        <v>1948</v>
      </c>
      <c r="D1758" s="247">
        <v>114.33</v>
      </c>
      <c r="E1758" s="248">
        <v>1</v>
      </c>
    </row>
    <row r="1759" spans="1:5" hidden="1" x14ac:dyDescent="0.2">
      <c r="A1759" s="251"/>
      <c r="B1759" s="246"/>
      <c r="C1759" s="246" t="s">
        <v>1949</v>
      </c>
      <c r="D1759" s="247">
        <v>114.33</v>
      </c>
      <c r="E1759" s="248">
        <v>1</v>
      </c>
    </row>
    <row r="1760" spans="1:5" hidden="1" x14ac:dyDescent="0.2">
      <c r="A1760" s="251"/>
      <c r="B1760" s="246"/>
      <c r="C1760" s="246" t="s">
        <v>1950</v>
      </c>
      <c r="D1760" s="247">
        <v>114.33</v>
      </c>
      <c r="E1760" s="248">
        <v>1</v>
      </c>
    </row>
    <row r="1761" spans="1:5" hidden="1" x14ac:dyDescent="0.2">
      <c r="A1761" s="251"/>
      <c r="B1761" s="246"/>
      <c r="C1761" s="246" t="s">
        <v>1951</v>
      </c>
      <c r="D1761" s="247">
        <v>114.33</v>
      </c>
      <c r="E1761" s="248">
        <v>1</v>
      </c>
    </row>
    <row r="1762" spans="1:5" hidden="1" x14ac:dyDescent="0.2">
      <c r="A1762" s="251"/>
      <c r="B1762" s="246"/>
      <c r="C1762" s="246" t="s">
        <v>1952</v>
      </c>
      <c r="D1762" s="247">
        <v>114.33</v>
      </c>
      <c r="E1762" s="248">
        <v>1</v>
      </c>
    </row>
    <row r="1763" spans="1:5" hidden="1" x14ac:dyDescent="0.2">
      <c r="A1763" s="251"/>
      <c r="B1763" s="246"/>
      <c r="C1763" s="246" t="s">
        <v>1953</v>
      </c>
      <c r="D1763" s="247">
        <v>114.33</v>
      </c>
      <c r="E1763" s="248">
        <v>1</v>
      </c>
    </row>
    <row r="1764" spans="1:5" hidden="1" x14ac:dyDescent="0.2">
      <c r="A1764" s="251"/>
      <c r="B1764" s="246"/>
      <c r="C1764" s="246" t="s">
        <v>1954</v>
      </c>
      <c r="D1764" s="247">
        <v>114.32</v>
      </c>
      <c r="E1764" s="248">
        <v>1</v>
      </c>
    </row>
    <row r="1765" spans="1:5" hidden="1" x14ac:dyDescent="0.2">
      <c r="A1765" s="251"/>
      <c r="B1765" s="246"/>
      <c r="C1765" s="246" t="s">
        <v>1955</v>
      </c>
      <c r="D1765" s="247">
        <v>114.32</v>
      </c>
      <c r="E1765" s="248">
        <v>1</v>
      </c>
    </row>
    <row r="1766" spans="1:5" hidden="1" x14ac:dyDescent="0.2">
      <c r="A1766" s="251"/>
      <c r="B1766" s="246"/>
      <c r="C1766" s="246" t="s">
        <v>1956</v>
      </c>
      <c r="D1766" s="247">
        <v>114.32</v>
      </c>
      <c r="E1766" s="248">
        <v>1</v>
      </c>
    </row>
    <row r="1767" spans="1:5" hidden="1" x14ac:dyDescent="0.2">
      <c r="A1767" s="251"/>
      <c r="B1767" s="246"/>
      <c r="C1767" s="246" t="s">
        <v>1957</v>
      </c>
      <c r="D1767" s="247">
        <v>114.32</v>
      </c>
      <c r="E1767" s="248">
        <v>1</v>
      </c>
    </row>
    <row r="1768" spans="1:5" hidden="1" x14ac:dyDescent="0.2">
      <c r="A1768" s="251"/>
      <c r="B1768" s="246"/>
      <c r="C1768" s="246" t="s">
        <v>2339</v>
      </c>
      <c r="D1768" s="247">
        <v>114.32</v>
      </c>
      <c r="E1768" s="248">
        <v>1</v>
      </c>
    </row>
    <row r="1769" spans="1:5" hidden="1" x14ac:dyDescent="0.2">
      <c r="A1769" s="251"/>
      <c r="B1769" s="246"/>
      <c r="C1769" s="246" t="s">
        <v>1958</v>
      </c>
      <c r="D1769" s="247">
        <v>114.32</v>
      </c>
      <c r="E1769" s="248">
        <v>1</v>
      </c>
    </row>
    <row r="1770" spans="1:5" hidden="1" x14ac:dyDescent="0.2">
      <c r="A1770" s="251"/>
      <c r="B1770" s="246"/>
      <c r="C1770" s="246" t="s">
        <v>1959</v>
      </c>
      <c r="D1770" s="247">
        <v>114.32</v>
      </c>
      <c r="E1770" s="248">
        <v>1</v>
      </c>
    </row>
    <row r="1771" spans="1:5" hidden="1" x14ac:dyDescent="0.2">
      <c r="A1771" s="251"/>
      <c r="B1771" s="246"/>
      <c r="C1771" s="246" t="s">
        <v>1960</v>
      </c>
      <c r="D1771" s="247">
        <v>114.32</v>
      </c>
      <c r="E1771" s="248">
        <v>1</v>
      </c>
    </row>
    <row r="1772" spans="1:5" hidden="1" x14ac:dyDescent="0.2">
      <c r="A1772" s="251"/>
      <c r="B1772" s="246"/>
      <c r="C1772" s="246" t="s">
        <v>1961</v>
      </c>
      <c r="D1772" s="247">
        <v>114.32</v>
      </c>
      <c r="E1772" s="248">
        <v>1</v>
      </c>
    </row>
    <row r="1773" spans="1:5" hidden="1" x14ac:dyDescent="0.2">
      <c r="A1773" s="251"/>
      <c r="B1773" s="246"/>
      <c r="C1773" s="246" t="s">
        <v>1962</v>
      </c>
      <c r="D1773" s="247">
        <v>114.32</v>
      </c>
      <c r="E1773" s="248">
        <v>1</v>
      </c>
    </row>
    <row r="1774" spans="1:5" hidden="1" x14ac:dyDescent="0.2">
      <c r="A1774" s="251"/>
      <c r="B1774" s="246"/>
      <c r="C1774" s="246" t="s">
        <v>1963</v>
      </c>
      <c r="D1774" s="247">
        <v>114.32</v>
      </c>
      <c r="E1774" s="248">
        <v>1</v>
      </c>
    </row>
    <row r="1775" spans="1:5" hidden="1" x14ac:dyDescent="0.2">
      <c r="A1775" s="251"/>
      <c r="B1775" s="246"/>
      <c r="C1775" s="246" t="s">
        <v>1964</v>
      </c>
      <c r="D1775" s="247">
        <v>114.32</v>
      </c>
      <c r="E1775" s="248">
        <v>1</v>
      </c>
    </row>
    <row r="1776" spans="1:5" hidden="1" x14ac:dyDescent="0.2">
      <c r="A1776" s="251"/>
      <c r="B1776" s="246"/>
      <c r="C1776" s="246" t="s">
        <v>1965</v>
      </c>
      <c r="D1776" s="247">
        <v>114.32</v>
      </c>
      <c r="E1776" s="248">
        <v>1</v>
      </c>
    </row>
    <row r="1777" spans="1:5" hidden="1" x14ac:dyDescent="0.2">
      <c r="A1777" s="251"/>
      <c r="B1777" s="246"/>
      <c r="C1777" s="246" t="s">
        <v>1966</v>
      </c>
      <c r="D1777" s="247">
        <v>114.32</v>
      </c>
      <c r="E1777" s="248">
        <v>1</v>
      </c>
    </row>
    <row r="1778" spans="1:5" hidden="1" x14ac:dyDescent="0.2">
      <c r="A1778" s="251"/>
      <c r="B1778" s="246"/>
      <c r="C1778" s="246" t="s">
        <v>1967</v>
      </c>
      <c r="D1778" s="247">
        <v>114.32</v>
      </c>
      <c r="E1778" s="248">
        <v>1</v>
      </c>
    </row>
    <row r="1779" spans="1:5" hidden="1" x14ac:dyDescent="0.2">
      <c r="A1779" s="251"/>
      <c r="B1779" s="246"/>
      <c r="C1779" s="246" t="s">
        <v>1968</v>
      </c>
      <c r="D1779" s="247">
        <v>114.32</v>
      </c>
      <c r="E1779" s="248">
        <v>1</v>
      </c>
    </row>
    <row r="1780" spans="1:5" hidden="1" x14ac:dyDescent="0.2">
      <c r="A1780" s="251"/>
      <c r="B1780" s="246"/>
      <c r="C1780" s="246" t="s">
        <v>1969</v>
      </c>
      <c r="D1780" s="247">
        <v>114.32</v>
      </c>
      <c r="E1780" s="248">
        <v>1</v>
      </c>
    </row>
    <row r="1781" spans="1:5" hidden="1" x14ac:dyDescent="0.2">
      <c r="A1781" s="251"/>
      <c r="B1781" s="246"/>
      <c r="C1781" s="246" t="s">
        <v>1970</v>
      </c>
      <c r="D1781" s="247">
        <v>114.32</v>
      </c>
      <c r="E1781" s="248">
        <v>1</v>
      </c>
    </row>
    <row r="1782" spans="1:5" hidden="1" x14ac:dyDescent="0.2">
      <c r="A1782" s="251"/>
      <c r="B1782" s="246"/>
      <c r="C1782" s="246" t="s">
        <v>1971</v>
      </c>
      <c r="D1782" s="247">
        <v>114.32</v>
      </c>
      <c r="E1782" s="248">
        <v>1</v>
      </c>
    </row>
    <row r="1783" spans="1:5" hidden="1" x14ac:dyDescent="0.2">
      <c r="A1783" s="251"/>
      <c r="B1783" s="246"/>
      <c r="C1783" s="246" t="s">
        <v>1972</v>
      </c>
      <c r="D1783" s="247">
        <v>114.32</v>
      </c>
      <c r="E1783" s="248">
        <v>1</v>
      </c>
    </row>
    <row r="1784" spans="1:5" hidden="1" x14ac:dyDescent="0.2">
      <c r="A1784" s="251"/>
      <c r="B1784" s="246"/>
      <c r="C1784" s="246" t="s">
        <v>1973</v>
      </c>
      <c r="D1784" s="247">
        <v>114.32</v>
      </c>
      <c r="E1784" s="248">
        <v>1</v>
      </c>
    </row>
    <row r="1785" spans="1:5" hidden="1" x14ac:dyDescent="0.2">
      <c r="A1785" s="251"/>
      <c r="B1785" s="246"/>
      <c r="C1785" s="246" t="s">
        <v>1974</v>
      </c>
      <c r="D1785" s="247">
        <v>114.26</v>
      </c>
      <c r="E1785" s="248">
        <v>2</v>
      </c>
    </row>
    <row r="1786" spans="1:5" hidden="1" x14ac:dyDescent="0.2">
      <c r="A1786" s="251"/>
      <c r="B1786" s="246"/>
      <c r="C1786" s="246" t="s">
        <v>1975</v>
      </c>
      <c r="D1786" s="247">
        <v>111.78</v>
      </c>
      <c r="E1786" s="248">
        <v>1</v>
      </c>
    </row>
    <row r="1787" spans="1:5" hidden="1" x14ac:dyDescent="0.2">
      <c r="A1787" s="251"/>
      <c r="B1787" s="246"/>
      <c r="C1787" s="246" t="s">
        <v>1976</v>
      </c>
      <c r="D1787" s="247">
        <v>110.93</v>
      </c>
      <c r="E1787" s="248">
        <v>5</v>
      </c>
    </row>
    <row r="1788" spans="1:5" hidden="1" x14ac:dyDescent="0.2">
      <c r="A1788" s="251"/>
      <c r="B1788" s="246"/>
      <c r="C1788" s="246" t="s">
        <v>1977</v>
      </c>
      <c r="D1788" s="247">
        <v>110.09</v>
      </c>
      <c r="E1788" s="248">
        <v>1</v>
      </c>
    </row>
    <row r="1789" spans="1:5" hidden="1" x14ac:dyDescent="0.2">
      <c r="A1789" s="251"/>
      <c r="B1789" s="246"/>
      <c r="C1789" s="246" t="s">
        <v>1978</v>
      </c>
      <c r="D1789" s="247">
        <v>110.08</v>
      </c>
      <c r="E1789" s="248">
        <v>1</v>
      </c>
    </row>
    <row r="1790" spans="1:5" hidden="1" x14ac:dyDescent="0.2">
      <c r="A1790" s="251"/>
      <c r="B1790" s="246"/>
      <c r="C1790" s="246" t="s">
        <v>1979</v>
      </c>
      <c r="D1790" s="247">
        <v>110</v>
      </c>
      <c r="E1790" s="248">
        <v>2</v>
      </c>
    </row>
    <row r="1791" spans="1:5" hidden="1" x14ac:dyDescent="0.2">
      <c r="A1791" s="251"/>
      <c r="B1791" s="246"/>
      <c r="C1791" s="246" t="s">
        <v>1980</v>
      </c>
      <c r="D1791" s="247">
        <v>108.23</v>
      </c>
      <c r="E1791" s="248">
        <v>1</v>
      </c>
    </row>
    <row r="1792" spans="1:5" hidden="1" x14ac:dyDescent="0.2">
      <c r="A1792" s="251"/>
      <c r="B1792" s="246"/>
      <c r="C1792" s="246" t="s">
        <v>1981</v>
      </c>
      <c r="D1792" s="247">
        <v>108.23</v>
      </c>
      <c r="E1792" s="248">
        <v>1</v>
      </c>
    </row>
    <row r="1793" spans="1:5" hidden="1" x14ac:dyDescent="0.2">
      <c r="A1793" s="251"/>
      <c r="B1793" s="246"/>
      <c r="C1793" s="246" t="s">
        <v>1982</v>
      </c>
      <c r="D1793" s="247">
        <v>103.22</v>
      </c>
      <c r="E1793" s="248">
        <v>2</v>
      </c>
    </row>
    <row r="1794" spans="1:5" hidden="1" x14ac:dyDescent="0.2">
      <c r="A1794" s="251"/>
      <c r="B1794" s="246"/>
      <c r="C1794" s="246" t="s">
        <v>1983</v>
      </c>
      <c r="D1794" s="247">
        <v>103.05</v>
      </c>
      <c r="E1794" s="248">
        <v>4</v>
      </c>
    </row>
    <row r="1795" spans="1:5" hidden="1" x14ac:dyDescent="0.2">
      <c r="A1795" s="251"/>
      <c r="B1795" s="246"/>
      <c r="C1795" s="246" t="s">
        <v>1984</v>
      </c>
      <c r="D1795" s="247">
        <v>102.99</v>
      </c>
      <c r="E1795" s="248">
        <v>1</v>
      </c>
    </row>
    <row r="1796" spans="1:5" hidden="1" x14ac:dyDescent="0.2">
      <c r="A1796" s="251"/>
      <c r="B1796" s="246"/>
      <c r="C1796" s="246" t="s">
        <v>1985</v>
      </c>
      <c r="D1796" s="247">
        <v>102.98</v>
      </c>
      <c r="E1796" s="248">
        <v>1</v>
      </c>
    </row>
    <row r="1797" spans="1:5" hidden="1" x14ac:dyDescent="0.2">
      <c r="A1797" s="251"/>
      <c r="B1797" s="246"/>
      <c r="C1797" s="246" t="s">
        <v>1986</v>
      </c>
      <c r="D1797" s="247">
        <v>102.89</v>
      </c>
      <c r="E1797" s="248">
        <v>1</v>
      </c>
    </row>
    <row r="1798" spans="1:5" hidden="1" x14ac:dyDescent="0.2">
      <c r="A1798" s="251"/>
      <c r="B1798" s="246"/>
      <c r="C1798" s="246" t="s">
        <v>1987</v>
      </c>
      <c r="D1798" s="247">
        <v>102.89</v>
      </c>
      <c r="E1798" s="248">
        <v>1</v>
      </c>
    </row>
    <row r="1799" spans="1:5" hidden="1" x14ac:dyDescent="0.2">
      <c r="A1799" s="251"/>
      <c r="B1799" s="246"/>
      <c r="C1799" s="246" t="s">
        <v>1988</v>
      </c>
      <c r="D1799" s="247">
        <v>102.89</v>
      </c>
      <c r="E1799" s="248">
        <v>1</v>
      </c>
    </row>
    <row r="1800" spans="1:5" hidden="1" x14ac:dyDescent="0.2">
      <c r="A1800" s="251"/>
      <c r="B1800" s="246"/>
      <c r="C1800" s="246" t="s">
        <v>1989</v>
      </c>
      <c r="D1800" s="247">
        <v>102.89</v>
      </c>
      <c r="E1800" s="248">
        <v>1</v>
      </c>
    </row>
    <row r="1801" spans="1:5" hidden="1" x14ac:dyDescent="0.2">
      <c r="A1801" s="251"/>
      <c r="B1801" s="246"/>
      <c r="C1801" s="246" t="s">
        <v>1990</v>
      </c>
      <c r="D1801" s="247">
        <v>102.89</v>
      </c>
      <c r="E1801" s="248">
        <v>1</v>
      </c>
    </row>
    <row r="1802" spans="1:5" hidden="1" x14ac:dyDescent="0.2">
      <c r="A1802" s="251"/>
      <c r="B1802" s="246"/>
      <c r="C1802" s="246" t="s">
        <v>1991</v>
      </c>
      <c r="D1802" s="247">
        <v>102.89</v>
      </c>
      <c r="E1802" s="248">
        <v>1</v>
      </c>
    </row>
    <row r="1803" spans="1:5" hidden="1" x14ac:dyDescent="0.2">
      <c r="A1803" s="251"/>
      <c r="B1803" s="246"/>
      <c r="C1803" s="246" t="s">
        <v>1992</v>
      </c>
      <c r="D1803" s="247">
        <v>102.89</v>
      </c>
      <c r="E1803" s="248">
        <v>1</v>
      </c>
    </row>
    <row r="1804" spans="1:5" hidden="1" x14ac:dyDescent="0.2">
      <c r="A1804" s="251"/>
      <c r="B1804" s="246"/>
      <c r="C1804" s="246" t="s">
        <v>1993</v>
      </c>
      <c r="D1804" s="247">
        <v>102.89</v>
      </c>
      <c r="E1804" s="248">
        <v>1</v>
      </c>
    </row>
    <row r="1805" spans="1:5" hidden="1" x14ac:dyDescent="0.2">
      <c r="A1805" s="251"/>
      <c r="B1805" s="246"/>
      <c r="C1805" s="246" t="s">
        <v>1994</v>
      </c>
      <c r="D1805" s="247">
        <v>102.89</v>
      </c>
      <c r="E1805" s="248">
        <v>1</v>
      </c>
    </row>
    <row r="1806" spans="1:5" hidden="1" x14ac:dyDescent="0.2">
      <c r="A1806" s="251"/>
      <c r="B1806" s="246"/>
      <c r="C1806" s="246" t="s">
        <v>1995</v>
      </c>
      <c r="D1806" s="247">
        <v>102.89</v>
      </c>
      <c r="E1806" s="248">
        <v>1</v>
      </c>
    </row>
    <row r="1807" spans="1:5" hidden="1" x14ac:dyDescent="0.2">
      <c r="A1807" s="251"/>
      <c r="B1807" s="246"/>
      <c r="C1807" s="246" t="s">
        <v>1996</v>
      </c>
      <c r="D1807" s="247">
        <v>102.89</v>
      </c>
      <c r="E1807" s="248">
        <v>1</v>
      </c>
    </row>
    <row r="1808" spans="1:5" hidden="1" x14ac:dyDescent="0.2">
      <c r="A1808" s="251"/>
      <c r="B1808" s="246"/>
      <c r="C1808" s="246" t="s">
        <v>1997</v>
      </c>
      <c r="D1808" s="247">
        <v>102.89</v>
      </c>
      <c r="E1808" s="248">
        <v>1</v>
      </c>
    </row>
    <row r="1809" spans="1:5" hidden="1" x14ac:dyDescent="0.2">
      <c r="A1809" s="251"/>
      <c r="B1809" s="246"/>
      <c r="C1809" s="246" t="s">
        <v>1998</v>
      </c>
      <c r="D1809" s="247">
        <v>102.89</v>
      </c>
      <c r="E1809" s="248">
        <v>1</v>
      </c>
    </row>
    <row r="1810" spans="1:5" hidden="1" x14ac:dyDescent="0.2">
      <c r="A1810" s="251"/>
      <c r="B1810" s="246"/>
      <c r="C1810" s="246" t="s">
        <v>1999</v>
      </c>
      <c r="D1810" s="247">
        <v>102.89</v>
      </c>
      <c r="E1810" s="248">
        <v>1</v>
      </c>
    </row>
    <row r="1811" spans="1:5" hidden="1" x14ac:dyDescent="0.2">
      <c r="A1811" s="251"/>
      <c r="B1811" s="246"/>
      <c r="C1811" s="246" t="s">
        <v>2000</v>
      </c>
      <c r="D1811" s="247">
        <v>102.46</v>
      </c>
      <c r="E1811" s="248">
        <v>1</v>
      </c>
    </row>
    <row r="1812" spans="1:5" hidden="1" x14ac:dyDescent="0.2">
      <c r="A1812" s="251"/>
      <c r="B1812" s="246"/>
      <c r="C1812" s="246" t="s">
        <v>2001</v>
      </c>
      <c r="D1812" s="247">
        <v>102.46</v>
      </c>
      <c r="E1812" s="248">
        <v>1</v>
      </c>
    </row>
    <row r="1813" spans="1:5" hidden="1" x14ac:dyDescent="0.2">
      <c r="A1813" s="251"/>
      <c r="B1813" s="246"/>
      <c r="C1813" s="246" t="s">
        <v>2002</v>
      </c>
      <c r="D1813" s="247">
        <v>102.46</v>
      </c>
      <c r="E1813" s="248">
        <v>1</v>
      </c>
    </row>
    <row r="1814" spans="1:5" hidden="1" x14ac:dyDescent="0.2">
      <c r="A1814" s="251"/>
      <c r="B1814" s="246"/>
      <c r="C1814" s="246" t="s">
        <v>2340</v>
      </c>
      <c r="D1814" s="247">
        <v>102.46</v>
      </c>
      <c r="E1814" s="248">
        <v>1</v>
      </c>
    </row>
    <row r="1815" spans="1:5" hidden="1" x14ac:dyDescent="0.2">
      <c r="A1815" s="251"/>
      <c r="B1815" s="246"/>
      <c r="C1815" s="246" t="s">
        <v>2003</v>
      </c>
      <c r="D1815" s="247">
        <v>102.46</v>
      </c>
      <c r="E1815" s="248">
        <v>1</v>
      </c>
    </row>
    <row r="1816" spans="1:5" hidden="1" x14ac:dyDescent="0.2">
      <c r="A1816" s="251"/>
      <c r="B1816" s="246"/>
      <c r="C1816" s="246" t="s">
        <v>2004</v>
      </c>
      <c r="D1816" s="247">
        <v>102.46</v>
      </c>
      <c r="E1816" s="248">
        <v>1</v>
      </c>
    </row>
    <row r="1817" spans="1:5" hidden="1" x14ac:dyDescent="0.2">
      <c r="A1817" s="251"/>
      <c r="B1817" s="246"/>
      <c r="C1817" s="246" t="s">
        <v>2005</v>
      </c>
      <c r="D1817" s="247">
        <v>102.38</v>
      </c>
      <c r="E1817" s="248">
        <v>2</v>
      </c>
    </row>
    <row r="1818" spans="1:5" hidden="1" x14ac:dyDescent="0.2">
      <c r="A1818" s="251"/>
      <c r="B1818" s="246"/>
      <c r="C1818" s="246" t="s">
        <v>2006</v>
      </c>
      <c r="D1818" s="247">
        <v>101.53</v>
      </c>
      <c r="E1818" s="248">
        <v>2</v>
      </c>
    </row>
    <row r="1819" spans="1:5" hidden="1" x14ac:dyDescent="0.2">
      <c r="A1819" s="251"/>
      <c r="B1819" s="246"/>
      <c r="C1819" s="246" t="s">
        <v>2007</v>
      </c>
      <c r="D1819" s="247">
        <v>101.52</v>
      </c>
      <c r="E1819" s="248">
        <v>2</v>
      </c>
    </row>
    <row r="1820" spans="1:5" hidden="1" x14ac:dyDescent="0.2">
      <c r="A1820" s="251"/>
      <c r="B1820" s="246"/>
      <c r="C1820" s="246" t="s">
        <v>2008</v>
      </c>
      <c r="D1820" s="247">
        <v>100.79</v>
      </c>
      <c r="E1820" s="248">
        <v>1</v>
      </c>
    </row>
    <row r="1821" spans="1:5" hidden="1" x14ac:dyDescent="0.2">
      <c r="A1821" s="251"/>
      <c r="B1821" s="246"/>
      <c r="C1821" s="246" t="s">
        <v>2009</v>
      </c>
      <c r="D1821" s="247">
        <v>99.08</v>
      </c>
      <c r="E1821" s="248">
        <v>1</v>
      </c>
    </row>
    <row r="1822" spans="1:5" hidden="1" x14ac:dyDescent="0.2">
      <c r="A1822" s="251"/>
      <c r="B1822" s="246"/>
      <c r="C1822" s="246" t="s">
        <v>2010</v>
      </c>
      <c r="D1822" s="247">
        <v>99.08</v>
      </c>
      <c r="E1822" s="248">
        <v>1</v>
      </c>
    </row>
    <row r="1823" spans="1:5" hidden="1" x14ac:dyDescent="0.2">
      <c r="A1823" s="251"/>
      <c r="B1823" s="246"/>
      <c r="C1823" s="246" t="s">
        <v>2011</v>
      </c>
      <c r="D1823" s="247">
        <v>93.99</v>
      </c>
      <c r="E1823" s="248">
        <v>1</v>
      </c>
    </row>
    <row r="1824" spans="1:5" hidden="1" x14ac:dyDescent="0.2">
      <c r="A1824" s="251"/>
      <c r="B1824" s="246"/>
      <c r="C1824" s="246" t="s">
        <v>2012</v>
      </c>
      <c r="D1824" s="247">
        <v>93.99</v>
      </c>
      <c r="E1824" s="248">
        <v>1</v>
      </c>
    </row>
    <row r="1825" spans="1:5" hidden="1" x14ac:dyDescent="0.2">
      <c r="A1825" s="251"/>
      <c r="B1825" s="246"/>
      <c r="C1825" s="246" t="s">
        <v>2341</v>
      </c>
      <c r="D1825" s="247">
        <v>93.99</v>
      </c>
      <c r="E1825" s="248">
        <v>1</v>
      </c>
    </row>
    <row r="1826" spans="1:5" hidden="1" x14ac:dyDescent="0.2">
      <c r="A1826" s="251"/>
      <c r="B1826" s="246"/>
      <c r="C1826" s="246" t="s">
        <v>2013</v>
      </c>
      <c r="D1826" s="247">
        <v>93.99</v>
      </c>
      <c r="E1826" s="248">
        <v>1</v>
      </c>
    </row>
    <row r="1827" spans="1:5" hidden="1" x14ac:dyDescent="0.2">
      <c r="A1827" s="251"/>
      <c r="B1827" s="246"/>
      <c r="C1827" s="246" t="s">
        <v>2014</v>
      </c>
      <c r="D1827" s="247">
        <v>93.99</v>
      </c>
      <c r="E1827" s="248">
        <v>1</v>
      </c>
    </row>
    <row r="1828" spans="1:5" hidden="1" x14ac:dyDescent="0.2">
      <c r="A1828" s="251"/>
      <c r="B1828" s="246"/>
      <c r="C1828" s="246" t="s">
        <v>2015</v>
      </c>
      <c r="D1828" s="247">
        <v>93.99</v>
      </c>
      <c r="E1828" s="248">
        <v>1</v>
      </c>
    </row>
    <row r="1829" spans="1:5" hidden="1" x14ac:dyDescent="0.2">
      <c r="A1829" s="251"/>
      <c r="B1829" s="246"/>
      <c r="C1829" s="246" t="s">
        <v>2016</v>
      </c>
      <c r="D1829" s="247">
        <v>93.99</v>
      </c>
      <c r="E1829" s="248">
        <v>1</v>
      </c>
    </row>
    <row r="1830" spans="1:5" hidden="1" x14ac:dyDescent="0.2">
      <c r="A1830" s="251"/>
      <c r="B1830" s="246"/>
      <c r="C1830" s="246" t="s">
        <v>2017</v>
      </c>
      <c r="D1830" s="247">
        <v>93.99</v>
      </c>
      <c r="E1830" s="248">
        <v>1</v>
      </c>
    </row>
    <row r="1831" spans="1:5" hidden="1" x14ac:dyDescent="0.2">
      <c r="A1831" s="251"/>
      <c r="B1831" s="246"/>
      <c r="C1831" s="246" t="s">
        <v>2018</v>
      </c>
      <c r="D1831" s="247">
        <v>93.99</v>
      </c>
      <c r="E1831" s="248">
        <v>1</v>
      </c>
    </row>
    <row r="1832" spans="1:5" hidden="1" x14ac:dyDescent="0.2">
      <c r="A1832" s="251"/>
      <c r="B1832" s="246"/>
      <c r="C1832" s="246" t="s">
        <v>2019</v>
      </c>
      <c r="D1832" s="247">
        <v>93.98</v>
      </c>
      <c r="E1832" s="248">
        <v>1</v>
      </c>
    </row>
    <row r="1833" spans="1:5" hidden="1" x14ac:dyDescent="0.2">
      <c r="A1833" s="251"/>
      <c r="B1833" s="246"/>
      <c r="C1833" s="246" t="s">
        <v>2020</v>
      </c>
      <c r="D1833" s="247">
        <v>93.98</v>
      </c>
      <c r="E1833" s="248">
        <v>1</v>
      </c>
    </row>
    <row r="1834" spans="1:5" hidden="1" x14ac:dyDescent="0.2">
      <c r="A1834" s="251"/>
      <c r="B1834" s="246"/>
      <c r="C1834" s="246" t="s">
        <v>2021</v>
      </c>
      <c r="D1834" s="247">
        <v>93.98</v>
      </c>
      <c r="E1834" s="248">
        <v>1</v>
      </c>
    </row>
    <row r="1835" spans="1:5" hidden="1" x14ac:dyDescent="0.2">
      <c r="A1835" s="251"/>
      <c r="B1835" s="246"/>
      <c r="C1835" s="246" t="s">
        <v>2022</v>
      </c>
      <c r="D1835" s="247">
        <v>93.81</v>
      </c>
      <c r="E1835" s="248">
        <v>3</v>
      </c>
    </row>
    <row r="1836" spans="1:5" hidden="1" x14ac:dyDescent="0.2">
      <c r="A1836" s="251"/>
      <c r="B1836" s="246"/>
      <c r="C1836" s="246" t="s">
        <v>2023</v>
      </c>
      <c r="D1836" s="247">
        <v>92.21</v>
      </c>
      <c r="E1836" s="248">
        <v>1</v>
      </c>
    </row>
    <row r="1837" spans="1:5" hidden="1" x14ac:dyDescent="0.2">
      <c r="A1837" s="251"/>
      <c r="B1837" s="246"/>
      <c r="C1837" s="246" t="s">
        <v>2024</v>
      </c>
      <c r="D1837" s="247">
        <v>92.21</v>
      </c>
      <c r="E1837" s="248">
        <v>1</v>
      </c>
    </row>
    <row r="1838" spans="1:5" hidden="1" x14ac:dyDescent="0.2">
      <c r="A1838" s="251"/>
      <c r="B1838" s="246"/>
      <c r="C1838" s="246" t="s">
        <v>2025</v>
      </c>
      <c r="D1838" s="247">
        <v>91.19</v>
      </c>
      <c r="E1838" s="248">
        <v>6</v>
      </c>
    </row>
    <row r="1839" spans="1:5" hidden="1" x14ac:dyDescent="0.2">
      <c r="A1839" s="251"/>
      <c r="B1839" s="246"/>
      <c r="C1839" s="246" t="s">
        <v>2026</v>
      </c>
      <c r="D1839" s="247">
        <v>91.19</v>
      </c>
      <c r="E1839" s="248">
        <v>4</v>
      </c>
    </row>
    <row r="1840" spans="1:5" hidden="1" x14ac:dyDescent="0.2">
      <c r="A1840" s="251"/>
      <c r="B1840" s="246"/>
      <c r="C1840" s="246" t="s">
        <v>2027</v>
      </c>
      <c r="D1840" s="247">
        <v>89.75</v>
      </c>
      <c r="E1840" s="248">
        <v>1</v>
      </c>
    </row>
    <row r="1841" spans="1:5" hidden="1" x14ac:dyDescent="0.2">
      <c r="A1841" s="251"/>
      <c r="B1841" s="246"/>
      <c r="C1841" s="246" t="s">
        <v>2028</v>
      </c>
      <c r="D1841" s="247">
        <v>89.75</v>
      </c>
      <c r="E1841" s="248">
        <v>1</v>
      </c>
    </row>
    <row r="1842" spans="1:5" hidden="1" x14ac:dyDescent="0.2">
      <c r="A1842" s="251"/>
      <c r="B1842" s="246"/>
      <c r="C1842" s="246" t="s">
        <v>2029</v>
      </c>
      <c r="D1842" s="247">
        <v>89.74</v>
      </c>
      <c r="E1842" s="248">
        <v>1</v>
      </c>
    </row>
    <row r="1843" spans="1:5" hidden="1" x14ac:dyDescent="0.2">
      <c r="A1843" s="251"/>
      <c r="B1843" s="246"/>
      <c r="C1843" s="246" t="s">
        <v>2030</v>
      </c>
      <c r="D1843" s="247">
        <v>89.74</v>
      </c>
      <c r="E1843" s="248">
        <v>1</v>
      </c>
    </row>
    <row r="1844" spans="1:5" hidden="1" x14ac:dyDescent="0.2">
      <c r="A1844" s="251"/>
      <c r="B1844" s="246"/>
      <c r="C1844" s="246" t="s">
        <v>2031</v>
      </c>
      <c r="D1844" s="247">
        <v>89.74</v>
      </c>
      <c r="E1844" s="248">
        <v>1</v>
      </c>
    </row>
    <row r="1845" spans="1:5" hidden="1" x14ac:dyDescent="0.2">
      <c r="A1845" s="251"/>
      <c r="B1845" s="246"/>
      <c r="C1845" s="246" t="s">
        <v>2032</v>
      </c>
      <c r="D1845" s="247">
        <v>87.65</v>
      </c>
      <c r="E1845" s="248">
        <v>2</v>
      </c>
    </row>
    <row r="1846" spans="1:5" hidden="1" x14ac:dyDescent="0.2">
      <c r="A1846" s="251"/>
      <c r="B1846" s="246"/>
      <c r="C1846" s="246" t="s">
        <v>2033</v>
      </c>
      <c r="D1846" s="247">
        <v>87.64</v>
      </c>
      <c r="E1846" s="248">
        <v>2</v>
      </c>
    </row>
    <row r="1847" spans="1:5" hidden="1" x14ac:dyDescent="0.2">
      <c r="A1847" s="251"/>
      <c r="B1847" s="246"/>
      <c r="C1847" s="246" t="s">
        <v>2034</v>
      </c>
      <c r="D1847" s="247">
        <v>85.51</v>
      </c>
      <c r="E1847" s="248">
        <v>5</v>
      </c>
    </row>
    <row r="1848" spans="1:5" hidden="1" x14ac:dyDescent="0.2">
      <c r="A1848" s="251"/>
      <c r="B1848" s="246"/>
      <c r="C1848" s="246" t="s">
        <v>2035</v>
      </c>
      <c r="D1848" s="247">
        <v>85.51</v>
      </c>
      <c r="E1848" s="248">
        <v>1</v>
      </c>
    </row>
    <row r="1849" spans="1:5" hidden="1" x14ac:dyDescent="0.2">
      <c r="A1849" s="251"/>
      <c r="B1849" s="246"/>
      <c r="C1849" s="246" t="s">
        <v>2342</v>
      </c>
      <c r="D1849" s="247">
        <v>85.51</v>
      </c>
      <c r="E1849" s="248">
        <v>1</v>
      </c>
    </row>
    <row r="1850" spans="1:5" hidden="1" x14ac:dyDescent="0.2">
      <c r="A1850" s="251"/>
      <c r="B1850" s="246"/>
      <c r="C1850" s="246" t="s">
        <v>2036</v>
      </c>
      <c r="D1850" s="247">
        <v>85.51</v>
      </c>
      <c r="E1850" s="248">
        <v>1</v>
      </c>
    </row>
    <row r="1851" spans="1:5" hidden="1" x14ac:dyDescent="0.2">
      <c r="A1851" s="251"/>
      <c r="B1851" s="246"/>
      <c r="C1851" s="246" t="s">
        <v>2037</v>
      </c>
      <c r="D1851" s="247">
        <v>85.51</v>
      </c>
      <c r="E1851" s="248">
        <v>1</v>
      </c>
    </row>
    <row r="1852" spans="1:5" hidden="1" x14ac:dyDescent="0.2">
      <c r="A1852" s="251"/>
      <c r="B1852" s="246"/>
      <c r="C1852" s="246" t="s">
        <v>2038</v>
      </c>
      <c r="D1852" s="247">
        <v>85.51</v>
      </c>
      <c r="E1852" s="248">
        <v>1</v>
      </c>
    </row>
    <row r="1853" spans="1:5" hidden="1" x14ac:dyDescent="0.2">
      <c r="A1853" s="251"/>
      <c r="B1853" s="246"/>
      <c r="C1853" s="246" t="s">
        <v>2039</v>
      </c>
      <c r="D1853" s="247">
        <v>85.51</v>
      </c>
      <c r="E1853" s="248">
        <v>1</v>
      </c>
    </row>
    <row r="1854" spans="1:5" hidden="1" x14ac:dyDescent="0.2">
      <c r="A1854" s="251"/>
      <c r="B1854" s="246"/>
      <c r="C1854" s="246" t="s">
        <v>2040</v>
      </c>
      <c r="D1854" s="247">
        <v>85.51</v>
      </c>
      <c r="E1854" s="248">
        <v>1</v>
      </c>
    </row>
    <row r="1855" spans="1:5" hidden="1" x14ac:dyDescent="0.2">
      <c r="A1855" s="251"/>
      <c r="B1855" s="246"/>
      <c r="C1855" s="246" t="s">
        <v>2041</v>
      </c>
      <c r="D1855" s="247">
        <v>85.51</v>
      </c>
      <c r="E1855" s="248">
        <v>1</v>
      </c>
    </row>
    <row r="1856" spans="1:5" hidden="1" x14ac:dyDescent="0.2">
      <c r="A1856" s="251"/>
      <c r="B1856" s="246"/>
      <c r="C1856" s="246" t="s">
        <v>2042</v>
      </c>
      <c r="D1856" s="247">
        <v>85.51</v>
      </c>
      <c r="E1856" s="248">
        <v>1</v>
      </c>
    </row>
    <row r="1857" spans="1:5" hidden="1" x14ac:dyDescent="0.2">
      <c r="A1857" s="251"/>
      <c r="B1857" s="246"/>
      <c r="C1857" s="246" t="s">
        <v>2043</v>
      </c>
      <c r="D1857" s="247">
        <v>84.66</v>
      </c>
      <c r="E1857" s="248">
        <v>1</v>
      </c>
    </row>
    <row r="1858" spans="1:5" hidden="1" x14ac:dyDescent="0.2">
      <c r="A1858" s="251"/>
      <c r="B1858" s="246"/>
      <c r="C1858" s="246" t="s">
        <v>2044</v>
      </c>
      <c r="D1858" s="247">
        <v>84.66</v>
      </c>
      <c r="E1858" s="248">
        <v>1</v>
      </c>
    </row>
    <row r="1859" spans="1:5" hidden="1" x14ac:dyDescent="0.2">
      <c r="A1859" s="251"/>
      <c r="B1859" s="246"/>
      <c r="C1859" s="246" t="s">
        <v>2045</v>
      </c>
      <c r="D1859" s="247">
        <v>84.66</v>
      </c>
      <c r="E1859" s="248">
        <v>1</v>
      </c>
    </row>
    <row r="1860" spans="1:5" hidden="1" x14ac:dyDescent="0.2">
      <c r="A1860" s="251"/>
      <c r="B1860" s="246"/>
      <c r="C1860" s="246" t="s">
        <v>2046</v>
      </c>
      <c r="D1860" s="247">
        <v>84.66</v>
      </c>
      <c r="E1860" s="248">
        <v>1</v>
      </c>
    </row>
    <row r="1861" spans="1:5" hidden="1" x14ac:dyDescent="0.2">
      <c r="A1861" s="251"/>
      <c r="B1861" s="246"/>
      <c r="C1861" s="246" t="s">
        <v>2047</v>
      </c>
      <c r="D1861" s="247">
        <v>84.66</v>
      </c>
      <c r="E1861" s="248">
        <v>1</v>
      </c>
    </row>
    <row r="1862" spans="1:5" hidden="1" x14ac:dyDescent="0.2">
      <c r="A1862" s="251"/>
      <c r="B1862" s="246"/>
      <c r="C1862" s="246" t="s">
        <v>2048</v>
      </c>
      <c r="D1862" s="247">
        <v>84.66</v>
      </c>
      <c r="E1862" s="248">
        <v>1</v>
      </c>
    </row>
    <row r="1863" spans="1:5" hidden="1" x14ac:dyDescent="0.2">
      <c r="A1863" s="251"/>
      <c r="B1863" s="246"/>
      <c r="C1863" s="246" t="s">
        <v>2049</v>
      </c>
      <c r="D1863" s="247">
        <v>84.66</v>
      </c>
      <c r="E1863" s="248">
        <v>1</v>
      </c>
    </row>
    <row r="1864" spans="1:5" hidden="1" x14ac:dyDescent="0.2">
      <c r="A1864" s="251"/>
      <c r="B1864" s="246"/>
      <c r="C1864" s="246" t="s">
        <v>2050</v>
      </c>
      <c r="D1864" s="247">
        <v>84.66</v>
      </c>
      <c r="E1864" s="248">
        <v>1</v>
      </c>
    </row>
    <row r="1865" spans="1:5" hidden="1" x14ac:dyDescent="0.2">
      <c r="A1865" s="251"/>
      <c r="B1865" s="246"/>
      <c r="C1865" s="246" t="s">
        <v>2051</v>
      </c>
      <c r="D1865" s="247">
        <v>84.66</v>
      </c>
      <c r="E1865" s="248">
        <v>1</v>
      </c>
    </row>
    <row r="1866" spans="1:5" hidden="1" x14ac:dyDescent="0.2">
      <c r="A1866" s="251"/>
      <c r="B1866" s="246"/>
      <c r="C1866" s="246" t="s">
        <v>2052</v>
      </c>
      <c r="D1866" s="247">
        <v>84.66</v>
      </c>
      <c r="E1866" s="248">
        <v>1</v>
      </c>
    </row>
    <row r="1867" spans="1:5" hidden="1" x14ac:dyDescent="0.2">
      <c r="A1867" s="251"/>
      <c r="B1867" s="246"/>
      <c r="C1867" s="246" t="s">
        <v>2053</v>
      </c>
      <c r="D1867" s="247">
        <v>84.66</v>
      </c>
      <c r="E1867" s="248">
        <v>1</v>
      </c>
    </row>
    <row r="1868" spans="1:5" hidden="1" x14ac:dyDescent="0.2">
      <c r="A1868" s="251"/>
      <c r="B1868" s="246"/>
      <c r="C1868" s="246" t="s">
        <v>2343</v>
      </c>
      <c r="D1868" s="247">
        <v>84.66</v>
      </c>
      <c r="E1868" s="248">
        <v>1</v>
      </c>
    </row>
    <row r="1869" spans="1:5" hidden="1" x14ac:dyDescent="0.2">
      <c r="A1869" s="251"/>
      <c r="B1869" s="246"/>
      <c r="C1869" s="246" t="s">
        <v>2054</v>
      </c>
      <c r="D1869" s="247">
        <v>84.66</v>
      </c>
      <c r="E1869" s="248">
        <v>1</v>
      </c>
    </row>
    <row r="1870" spans="1:5" hidden="1" x14ac:dyDescent="0.2">
      <c r="A1870" s="251"/>
      <c r="B1870" s="246"/>
      <c r="C1870" s="246" t="s">
        <v>2055</v>
      </c>
      <c r="D1870" s="247">
        <v>84.58</v>
      </c>
      <c r="E1870" s="248">
        <v>2</v>
      </c>
    </row>
    <row r="1871" spans="1:5" hidden="1" x14ac:dyDescent="0.2">
      <c r="A1871" s="251"/>
      <c r="B1871" s="246"/>
      <c r="C1871" s="246" t="s">
        <v>2056</v>
      </c>
      <c r="D1871" s="247">
        <v>81.28</v>
      </c>
      <c r="E1871" s="248">
        <v>1</v>
      </c>
    </row>
    <row r="1872" spans="1:5" hidden="1" x14ac:dyDescent="0.2">
      <c r="A1872" s="251"/>
      <c r="B1872" s="246"/>
      <c r="C1872" s="246" t="s">
        <v>2057</v>
      </c>
      <c r="D1872" s="247">
        <v>81.28</v>
      </c>
      <c r="E1872" s="248">
        <v>1</v>
      </c>
    </row>
    <row r="1873" spans="1:5" hidden="1" x14ac:dyDescent="0.2">
      <c r="A1873" s="251"/>
      <c r="B1873" s="246"/>
      <c r="C1873" s="246" t="s">
        <v>2058</v>
      </c>
      <c r="D1873" s="247">
        <v>81.27</v>
      </c>
      <c r="E1873" s="248">
        <v>1</v>
      </c>
    </row>
    <row r="1874" spans="1:5" hidden="1" x14ac:dyDescent="0.2">
      <c r="A1874" s="251"/>
      <c r="B1874" s="246"/>
      <c r="C1874" s="246" t="s">
        <v>2059</v>
      </c>
      <c r="D1874" s="247">
        <v>81.27</v>
      </c>
      <c r="E1874" s="248">
        <v>1</v>
      </c>
    </row>
    <row r="1875" spans="1:5" hidden="1" x14ac:dyDescent="0.2">
      <c r="A1875" s="251"/>
      <c r="B1875" s="246"/>
      <c r="C1875" s="246" t="s">
        <v>2060</v>
      </c>
      <c r="D1875" s="247">
        <v>81.27</v>
      </c>
      <c r="E1875" s="248">
        <v>1</v>
      </c>
    </row>
    <row r="1876" spans="1:5" hidden="1" x14ac:dyDescent="0.2">
      <c r="A1876" s="251"/>
      <c r="B1876" s="246"/>
      <c r="C1876" s="246" t="s">
        <v>2061</v>
      </c>
      <c r="D1876" s="247">
        <v>81.27</v>
      </c>
      <c r="E1876" s="248">
        <v>1</v>
      </c>
    </row>
    <row r="1877" spans="1:5" hidden="1" x14ac:dyDescent="0.2">
      <c r="A1877" s="251"/>
      <c r="B1877" s="246"/>
      <c r="C1877" s="246" t="s">
        <v>2062</v>
      </c>
      <c r="D1877" s="247">
        <v>81.27</v>
      </c>
      <c r="E1877" s="248">
        <v>1</v>
      </c>
    </row>
    <row r="1878" spans="1:5" hidden="1" x14ac:dyDescent="0.2">
      <c r="A1878" s="251"/>
      <c r="B1878" s="246"/>
      <c r="C1878" s="246" t="s">
        <v>2063</v>
      </c>
      <c r="D1878" s="247">
        <v>80.78</v>
      </c>
      <c r="E1878" s="248">
        <v>1</v>
      </c>
    </row>
    <row r="1879" spans="1:5" hidden="1" x14ac:dyDescent="0.2">
      <c r="A1879" s="251"/>
      <c r="B1879" s="246"/>
      <c r="C1879" s="246" t="s">
        <v>2064</v>
      </c>
      <c r="D1879" s="247">
        <v>79.760000000000005</v>
      </c>
      <c r="E1879" s="248">
        <v>3</v>
      </c>
    </row>
    <row r="1880" spans="1:5" hidden="1" x14ac:dyDescent="0.2">
      <c r="A1880" s="251"/>
      <c r="B1880" s="246"/>
      <c r="C1880" s="246" t="s">
        <v>2065</v>
      </c>
      <c r="D1880" s="247">
        <v>76.959999999999994</v>
      </c>
      <c r="E1880" s="248">
        <v>1</v>
      </c>
    </row>
    <row r="1881" spans="1:5" hidden="1" x14ac:dyDescent="0.2">
      <c r="A1881" s="251"/>
      <c r="B1881" s="246"/>
      <c r="C1881" s="246" t="s">
        <v>2066</v>
      </c>
      <c r="D1881" s="247">
        <v>76.959999999999994</v>
      </c>
      <c r="E1881" s="248">
        <v>1</v>
      </c>
    </row>
    <row r="1882" spans="1:5" hidden="1" x14ac:dyDescent="0.2">
      <c r="A1882" s="251"/>
      <c r="B1882" s="246"/>
      <c r="C1882" s="246" t="s">
        <v>2067</v>
      </c>
      <c r="D1882" s="247">
        <v>76.2</v>
      </c>
      <c r="E1882" s="248">
        <v>1</v>
      </c>
    </row>
    <row r="1883" spans="1:5" hidden="1" x14ac:dyDescent="0.2">
      <c r="A1883" s="251"/>
      <c r="B1883" s="246"/>
      <c r="C1883" s="246" t="s">
        <v>2068</v>
      </c>
      <c r="D1883" s="247">
        <v>76.2</v>
      </c>
      <c r="E1883" s="248">
        <v>1</v>
      </c>
    </row>
    <row r="1884" spans="1:5" hidden="1" x14ac:dyDescent="0.2">
      <c r="A1884" s="251"/>
      <c r="B1884" s="246"/>
      <c r="C1884" s="246" t="s">
        <v>2069</v>
      </c>
      <c r="D1884" s="247">
        <v>76.2</v>
      </c>
      <c r="E1884" s="248">
        <v>1</v>
      </c>
    </row>
    <row r="1885" spans="1:5" hidden="1" x14ac:dyDescent="0.2">
      <c r="A1885" s="251"/>
      <c r="B1885" s="246"/>
      <c r="C1885" s="246" t="s">
        <v>2070</v>
      </c>
      <c r="D1885" s="247">
        <v>76.19</v>
      </c>
      <c r="E1885" s="248">
        <v>1</v>
      </c>
    </row>
    <row r="1886" spans="1:5" hidden="1" x14ac:dyDescent="0.2">
      <c r="A1886" s="251"/>
      <c r="B1886" s="246"/>
      <c r="C1886" s="246" t="s">
        <v>2344</v>
      </c>
      <c r="D1886" s="247">
        <v>76.19</v>
      </c>
      <c r="E1886" s="248">
        <v>1</v>
      </c>
    </row>
    <row r="1887" spans="1:5" hidden="1" x14ac:dyDescent="0.2">
      <c r="A1887" s="251"/>
      <c r="B1887" s="246"/>
      <c r="C1887" s="246" t="s">
        <v>2071</v>
      </c>
      <c r="D1887" s="247">
        <v>76.19</v>
      </c>
      <c r="E1887" s="248">
        <v>1</v>
      </c>
    </row>
    <row r="1888" spans="1:5" hidden="1" x14ac:dyDescent="0.2">
      <c r="A1888" s="251"/>
      <c r="B1888" s="246"/>
      <c r="C1888" s="246" t="s">
        <v>2072</v>
      </c>
      <c r="D1888" s="247">
        <v>76.19</v>
      </c>
      <c r="E1888" s="248">
        <v>1</v>
      </c>
    </row>
    <row r="1889" spans="1:5" hidden="1" x14ac:dyDescent="0.2">
      <c r="A1889" s="251"/>
      <c r="B1889" s="246"/>
      <c r="C1889" s="246" t="s">
        <v>2073</v>
      </c>
      <c r="D1889" s="247">
        <v>76.19</v>
      </c>
      <c r="E1889" s="248">
        <v>1</v>
      </c>
    </row>
    <row r="1890" spans="1:5" hidden="1" x14ac:dyDescent="0.2">
      <c r="A1890" s="251"/>
      <c r="B1890" s="246"/>
      <c r="C1890" s="246" t="s">
        <v>2345</v>
      </c>
      <c r="D1890" s="247">
        <v>76.19</v>
      </c>
      <c r="E1890" s="248">
        <v>1</v>
      </c>
    </row>
    <row r="1891" spans="1:5" hidden="1" x14ac:dyDescent="0.2">
      <c r="A1891" s="251"/>
      <c r="B1891" s="246"/>
      <c r="C1891" s="246" t="s">
        <v>2074</v>
      </c>
      <c r="D1891" s="247">
        <v>76.19</v>
      </c>
      <c r="E1891" s="248">
        <v>1</v>
      </c>
    </row>
    <row r="1892" spans="1:5" hidden="1" x14ac:dyDescent="0.2">
      <c r="A1892" s="251"/>
      <c r="B1892" s="246"/>
      <c r="C1892" s="246" t="s">
        <v>2075</v>
      </c>
      <c r="D1892" s="247">
        <v>76.19</v>
      </c>
      <c r="E1892" s="248">
        <v>1</v>
      </c>
    </row>
    <row r="1893" spans="1:5" hidden="1" x14ac:dyDescent="0.2">
      <c r="A1893" s="251"/>
      <c r="B1893" s="246"/>
      <c r="C1893" s="246" t="s">
        <v>2076</v>
      </c>
      <c r="D1893" s="247">
        <v>76.19</v>
      </c>
      <c r="E1893" s="248">
        <v>1</v>
      </c>
    </row>
    <row r="1894" spans="1:5" hidden="1" x14ac:dyDescent="0.2">
      <c r="A1894" s="251"/>
      <c r="B1894" s="246"/>
      <c r="C1894" s="246" t="s">
        <v>2077</v>
      </c>
      <c r="D1894" s="247">
        <v>76.19</v>
      </c>
      <c r="E1894" s="248">
        <v>1</v>
      </c>
    </row>
    <row r="1895" spans="1:5" hidden="1" x14ac:dyDescent="0.2">
      <c r="A1895" s="251"/>
      <c r="B1895" s="246"/>
      <c r="C1895" s="246" t="s">
        <v>2078</v>
      </c>
      <c r="D1895" s="247">
        <v>76.19</v>
      </c>
      <c r="E1895" s="248">
        <v>1</v>
      </c>
    </row>
    <row r="1896" spans="1:5" hidden="1" x14ac:dyDescent="0.2">
      <c r="A1896" s="251"/>
      <c r="B1896" s="246"/>
      <c r="C1896" s="246" t="s">
        <v>2079</v>
      </c>
      <c r="D1896" s="247">
        <v>76.19</v>
      </c>
      <c r="E1896" s="248">
        <v>1</v>
      </c>
    </row>
    <row r="1897" spans="1:5" hidden="1" x14ac:dyDescent="0.2">
      <c r="A1897" s="251"/>
      <c r="B1897" s="246"/>
      <c r="C1897" s="246" t="s">
        <v>2080</v>
      </c>
      <c r="D1897" s="247">
        <v>76.19</v>
      </c>
      <c r="E1897" s="248">
        <v>1</v>
      </c>
    </row>
    <row r="1898" spans="1:5" hidden="1" x14ac:dyDescent="0.2">
      <c r="A1898" s="251"/>
      <c r="B1898" s="246"/>
      <c r="C1898" s="246" t="s">
        <v>2081</v>
      </c>
      <c r="D1898" s="247">
        <v>76.19</v>
      </c>
      <c r="E1898" s="248">
        <v>1</v>
      </c>
    </row>
    <row r="1899" spans="1:5" hidden="1" x14ac:dyDescent="0.2">
      <c r="A1899" s="251"/>
      <c r="B1899" s="246"/>
      <c r="C1899" s="246" t="s">
        <v>2346</v>
      </c>
      <c r="D1899" s="247">
        <v>76.19</v>
      </c>
      <c r="E1899" s="248">
        <v>1</v>
      </c>
    </row>
    <row r="1900" spans="1:5" hidden="1" x14ac:dyDescent="0.2">
      <c r="A1900" s="251"/>
      <c r="B1900" s="246"/>
      <c r="C1900" s="246" t="s">
        <v>2082</v>
      </c>
      <c r="D1900" s="247">
        <v>76.19</v>
      </c>
      <c r="E1900" s="248">
        <v>1</v>
      </c>
    </row>
    <row r="1901" spans="1:5" hidden="1" x14ac:dyDescent="0.2">
      <c r="A1901" s="251"/>
      <c r="B1901" s="246"/>
      <c r="C1901" s="246" t="s">
        <v>2083</v>
      </c>
      <c r="D1901" s="247">
        <v>76.19</v>
      </c>
      <c r="E1901" s="248">
        <v>1</v>
      </c>
    </row>
    <row r="1902" spans="1:5" hidden="1" x14ac:dyDescent="0.2">
      <c r="A1902" s="251"/>
      <c r="B1902" s="246"/>
      <c r="C1902" s="246" t="s">
        <v>2084</v>
      </c>
      <c r="D1902" s="247">
        <v>76.19</v>
      </c>
      <c r="E1902" s="248">
        <v>1</v>
      </c>
    </row>
    <row r="1903" spans="1:5" hidden="1" x14ac:dyDescent="0.2">
      <c r="A1903" s="251"/>
      <c r="B1903" s="246"/>
      <c r="C1903" s="246" t="s">
        <v>2085</v>
      </c>
      <c r="D1903" s="247">
        <v>76.19</v>
      </c>
      <c r="E1903" s="248">
        <v>1</v>
      </c>
    </row>
    <row r="1904" spans="1:5" hidden="1" x14ac:dyDescent="0.2">
      <c r="A1904" s="251"/>
      <c r="B1904" s="246"/>
      <c r="C1904" s="246" t="s">
        <v>2086</v>
      </c>
      <c r="D1904" s="247">
        <v>76.19</v>
      </c>
      <c r="E1904" s="248">
        <v>1</v>
      </c>
    </row>
    <row r="1905" spans="1:5" hidden="1" x14ac:dyDescent="0.2">
      <c r="A1905" s="251"/>
      <c r="B1905" s="246"/>
      <c r="C1905" s="246" t="s">
        <v>2087</v>
      </c>
      <c r="D1905" s="247">
        <v>76.19</v>
      </c>
      <c r="E1905" s="248">
        <v>1</v>
      </c>
    </row>
    <row r="1906" spans="1:5" hidden="1" x14ac:dyDescent="0.2">
      <c r="A1906" s="251"/>
      <c r="B1906" s="246"/>
      <c r="C1906" s="246" t="s">
        <v>2088</v>
      </c>
      <c r="D1906" s="247">
        <v>76.19</v>
      </c>
      <c r="E1906" s="248">
        <v>1</v>
      </c>
    </row>
    <row r="1907" spans="1:5" hidden="1" x14ac:dyDescent="0.2">
      <c r="A1907" s="251"/>
      <c r="B1907" s="246"/>
      <c r="C1907" s="246" t="s">
        <v>2089</v>
      </c>
      <c r="D1907" s="247">
        <v>76.180000000000007</v>
      </c>
      <c r="E1907" s="248">
        <v>1</v>
      </c>
    </row>
    <row r="1908" spans="1:5" hidden="1" x14ac:dyDescent="0.2">
      <c r="A1908" s="251"/>
      <c r="B1908" s="246"/>
      <c r="C1908" s="246" t="s">
        <v>2090</v>
      </c>
      <c r="D1908" s="247">
        <v>76.180000000000007</v>
      </c>
      <c r="E1908" s="248">
        <v>1</v>
      </c>
    </row>
    <row r="1909" spans="1:5" hidden="1" x14ac:dyDescent="0.2">
      <c r="A1909" s="251"/>
      <c r="B1909" s="246"/>
      <c r="C1909" s="246" t="s">
        <v>2091</v>
      </c>
      <c r="D1909" s="247">
        <v>76.180000000000007</v>
      </c>
      <c r="E1909" s="248">
        <v>1</v>
      </c>
    </row>
    <row r="1910" spans="1:5" hidden="1" x14ac:dyDescent="0.2">
      <c r="A1910" s="251"/>
      <c r="B1910" s="246"/>
      <c r="C1910" s="246" t="s">
        <v>2092</v>
      </c>
      <c r="D1910" s="247">
        <v>76.180000000000007</v>
      </c>
      <c r="E1910" s="248">
        <v>1</v>
      </c>
    </row>
    <row r="1911" spans="1:5" hidden="1" x14ac:dyDescent="0.2">
      <c r="A1911" s="251"/>
      <c r="B1911" s="246"/>
      <c r="C1911" s="246" t="s">
        <v>2093</v>
      </c>
      <c r="D1911" s="247">
        <v>76.180000000000007</v>
      </c>
      <c r="E1911" s="248">
        <v>1</v>
      </c>
    </row>
    <row r="1912" spans="1:5" hidden="1" x14ac:dyDescent="0.2">
      <c r="A1912" s="251"/>
      <c r="B1912" s="246"/>
      <c r="C1912" s="246" t="s">
        <v>2094</v>
      </c>
      <c r="D1912" s="247">
        <v>76.180000000000007</v>
      </c>
      <c r="E1912" s="248">
        <v>1</v>
      </c>
    </row>
    <row r="1913" spans="1:5" hidden="1" x14ac:dyDescent="0.2">
      <c r="A1913" s="251"/>
      <c r="B1913" s="246"/>
      <c r="C1913" s="246" t="s">
        <v>2095</v>
      </c>
      <c r="D1913" s="247">
        <v>76.180000000000007</v>
      </c>
      <c r="E1913" s="248">
        <v>1</v>
      </c>
    </row>
    <row r="1914" spans="1:5" hidden="1" x14ac:dyDescent="0.2">
      <c r="A1914" s="251"/>
      <c r="B1914" s="246"/>
      <c r="C1914" s="246" t="s">
        <v>2096</v>
      </c>
      <c r="D1914" s="247">
        <v>76.180000000000007</v>
      </c>
      <c r="E1914" s="248">
        <v>1</v>
      </c>
    </row>
    <row r="1915" spans="1:5" hidden="1" x14ac:dyDescent="0.2">
      <c r="A1915" s="251"/>
      <c r="B1915" s="246"/>
      <c r="C1915" s="246" t="s">
        <v>2097</v>
      </c>
      <c r="D1915" s="247">
        <v>76.180000000000007</v>
      </c>
      <c r="E1915" s="248">
        <v>1</v>
      </c>
    </row>
    <row r="1916" spans="1:5" hidden="1" x14ac:dyDescent="0.2">
      <c r="A1916" s="251"/>
      <c r="B1916" s="246"/>
      <c r="C1916" s="246" t="s">
        <v>2098</v>
      </c>
      <c r="D1916" s="247">
        <v>76.180000000000007</v>
      </c>
      <c r="E1916" s="248">
        <v>1</v>
      </c>
    </row>
    <row r="1917" spans="1:5" hidden="1" x14ac:dyDescent="0.2">
      <c r="A1917" s="251"/>
      <c r="B1917" s="246"/>
      <c r="C1917" s="246" t="s">
        <v>2099</v>
      </c>
      <c r="D1917" s="247">
        <v>76.180000000000007</v>
      </c>
      <c r="E1917" s="248">
        <v>1</v>
      </c>
    </row>
    <row r="1918" spans="1:5" hidden="1" x14ac:dyDescent="0.2">
      <c r="A1918" s="251"/>
      <c r="B1918" s="246"/>
      <c r="C1918" s="246" t="s">
        <v>2100</v>
      </c>
      <c r="D1918" s="247">
        <v>76.180000000000007</v>
      </c>
      <c r="E1918" s="248">
        <v>1</v>
      </c>
    </row>
    <row r="1919" spans="1:5" hidden="1" x14ac:dyDescent="0.2">
      <c r="A1919" s="251"/>
      <c r="B1919" s="246"/>
      <c r="C1919" s="246" t="s">
        <v>2101</v>
      </c>
      <c r="D1919" s="247">
        <v>74.599999999999994</v>
      </c>
      <c r="E1919" s="248">
        <v>2</v>
      </c>
    </row>
    <row r="1920" spans="1:5" hidden="1" x14ac:dyDescent="0.2">
      <c r="A1920" s="251"/>
      <c r="B1920" s="246"/>
      <c r="C1920" s="246" t="s">
        <v>2102</v>
      </c>
      <c r="D1920" s="247">
        <v>73.150000000000006</v>
      </c>
      <c r="E1920" s="248">
        <v>1</v>
      </c>
    </row>
    <row r="1921" spans="1:5" hidden="1" x14ac:dyDescent="0.2">
      <c r="A1921" s="251"/>
      <c r="B1921" s="246"/>
      <c r="C1921" s="246" t="s">
        <v>2103</v>
      </c>
      <c r="D1921" s="247">
        <v>73.150000000000006</v>
      </c>
      <c r="E1921" s="248">
        <v>1</v>
      </c>
    </row>
    <row r="1922" spans="1:5" hidden="1" x14ac:dyDescent="0.2">
      <c r="A1922" s="251"/>
      <c r="B1922" s="246"/>
      <c r="C1922" s="246" t="s">
        <v>2104</v>
      </c>
      <c r="D1922" s="247">
        <v>73.09</v>
      </c>
      <c r="E1922" s="248">
        <v>2</v>
      </c>
    </row>
    <row r="1923" spans="1:5" hidden="1" x14ac:dyDescent="0.2">
      <c r="A1923" s="251"/>
      <c r="B1923" s="246"/>
      <c r="C1923" s="246" t="s">
        <v>2105</v>
      </c>
      <c r="D1923" s="247">
        <v>73.069999999999993</v>
      </c>
      <c r="E1923" s="248">
        <v>2</v>
      </c>
    </row>
    <row r="1924" spans="1:5" hidden="1" x14ac:dyDescent="0.2">
      <c r="A1924" s="251"/>
      <c r="B1924" s="246"/>
      <c r="C1924" s="246" t="s">
        <v>2106</v>
      </c>
      <c r="D1924" s="247">
        <v>72.8</v>
      </c>
      <c r="E1924" s="248">
        <v>1</v>
      </c>
    </row>
    <row r="1925" spans="1:5" hidden="1" x14ac:dyDescent="0.2">
      <c r="A1925" s="251"/>
      <c r="B1925" s="246"/>
      <c r="C1925" s="246" t="s">
        <v>2107</v>
      </c>
      <c r="D1925" s="247">
        <v>72.8</v>
      </c>
      <c r="E1925" s="248">
        <v>1</v>
      </c>
    </row>
    <row r="1926" spans="1:5" hidden="1" x14ac:dyDescent="0.2">
      <c r="A1926" s="251"/>
      <c r="B1926" s="246"/>
      <c r="C1926" s="246" t="s">
        <v>2108</v>
      </c>
      <c r="D1926" s="247">
        <v>72.8</v>
      </c>
      <c r="E1926" s="248">
        <v>1</v>
      </c>
    </row>
    <row r="1927" spans="1:5" hidden="1" x14ac:dyDescent="0.2">
      <c r="A1927" s="251"/>
      <c r="B1927" s="246"/>
      <c r="C1927" s="246" t="s">
        <v>2109</v>
      </c>
      <c r="D1927" s="247">
        <v>72.790000000000006</v>
      </c>
      <c r="E1927" s="248">
        <v>1</v>
      </c>
    </row>
    <row r="1928" spans="1:5" hidden="1" x14ac:dyDescent="0.2">
      <c r="A1928" s="251"/>
      <c r="B1928" s="246"/>
      <c r="C1928" s="246" t="s">
        <v>2110</v>
      </c>
      <c r="D1928" s="247">
        <v>72.72</v>
      </c>
      <c r="E1928" s="248">
        <v>2</v>
      </c>
    </row>
    <row r="1929" spans="1:5" hidden="1" x14ac:dyDescent="0.2">
      <c r="A1929" s="251"/>
      <c r="B1929" s="246"/>
      <c r="C1929" s="246" t="s">
        <v>2111</v>
      </c>
      <c r="D1929" s="247">
        <v>71.959999999999994</v>
      </c>
      <c r="E1929" s="248">
        <v>2</v>
      </c>
    </row>
    <row r="1930" spans="1:5" hidden="1" x14ac:dyDescent="0.2">
      <c r="A1930" s="251"/>
      <c r="B1930" s="246"/>
      <c r="C1930" s="246" t="s">
        <v>2112</v>
      </c>
      <c r="D1930" s="247">
        <v>71.95</v>
      </c>
      <c r="E1930" s="248">
        <v>1</v>
      </c>
    </row>
    <row r="1931" spans="1:5" hidden="1" x14ac:dyDescent="0.2">
      <c r="A1931" s="251"/>
      <c r="B1931" s="246"/>
      <c r="C1931" s="246" t="s">
        <v>2113</v>
      </c>
      <c r="D1931" s="247">
        <v>71.95</v>
      </c>
      <c r="E1931" s="248">
        <v>1</v>
      </c>
    </row>
    <row r="1932" spans="1:5" hidden="1" x14ac:dyDescent="0.2">
      <c r="A1932" s="251"/>
      <c r="B1932" s="246"/>
      <c r="C1932" s="246" t="s">
        <v>2114</v>
      </c>
      <c r="D1932" s="247">
        <v>71.95</v>
      </c>
      <c r="E1932" s="248">
        <v>1</v>
      </c>
    </row>
    <row r="1933" spans="1:5" hidden="1" x14ac:dyDescent="0.2">
      <c r="A1933" s="251"/>
      <c r="B1933" s="246"/>
      <c r="C1933" s="246" t="s">
        <v>2115</v>
      </c>
      <c r="D1933" s="247">
        <v>71.95</v>
      </c>
      <c r="E1933" s="248">
        <v>1</v>
      </c>
    </row>
    <row r="1934" spans="1:5" hidden="1" x14ac:dyDescent="0.2">
      <c r="A1934" s="251"/>
      <c r="B1934" s="246"/>
      <c r="C1934" s="246" t="s">
        <v>2116</v>
      </c>
      <c r="D1934" s="247">
        <v>71.95</v>
      </c>
      <c r="E1934" s="248">
        <v>1</v>
      </c>
    </row>
    <row r="1935" spans="1:5" hidden="1" x14ac:dyDescent="0.2">
      <c r="A1935" s="251"/>
      <c r="B1935" s="246"/>
      <c r="C1935" s="246" t="s">
        <v>2117</v>
      </c>
      <c r="D1935" s="247">
        <v>71.95</v>
      </c>
      <c r="E1935" s="248">
        <v>1</v>
      </c>
    </row>
    <row r="1936" spans="1:5" hidden="1" x14ac:dyDescent="0.2">
      <c r="A1936" s="251"/>
      <c r="B1936" s="246"/>
      <c r="C1936" s="246" t="s">
        <v>2118</v>
      </c>
      <c r="D1936" s="247">
        <v>71.95</v>
      </c>
      <c r="E1936" s="248">
        <v>1</v>
      </c>
    </row>
    <row r="1937" spans="1:5" hidden="1" x14ac:dyDescent="0.2">
      <c r="A1937" s="251"/>
      <c r="B1937" s="246"/>
      <c r="C1937" s="246" t="s">
        <v>2119</v>
      </c>
      <c r="D1937" s="247">
        <v>71.95</v>
      </c>
      <c r="E1937" s="248">
        <v>1</v>
      </c>
    </row>
    <row r="1938" spans="1:5" hidden="1" x14ac:dyDescent="0.2">
      <c r="A1938" s="251"/>
      <c r="B1938" s="246"/>
      <c r="C1938" s="246" t="s">
        <v>2120</v>
      </c>
      <c r="D1938" s="247">
        <v>71.95</v>
      </c>
      <c r="E1938" s="248">
        <v>1</v>
      </c>
    </row>
    <row r="1939" spans="1:5" hidden="1" x14ac:dyDescent="0.2">
      <c r="A1939" s="251"/>
      <c r="B1939" s="246"/>
      <c r="C1939" s="246" t="s">
        <v>2121</v>
      </c>
      <c r="D1939" s="247">
        <v>71.95</v>
      </c>
      <c r="E1939" s="248">
        <v>1</v>
      </c>
    </row>
    <row r="1940" spans="1:5" hidden="1" x14ac:dyDescent="0.2">
      <c r="A1940" s="251"/>
      <c r="B1940" s="246"/>
      <c r="C1940" s="246" t="s">
        <v>2122</v>
      </c>
      <c r="D1940" s="247">
        <v>71.95</v>
      </c>
      <c r="E1940" s="248">
        <v>1</v>
      </c>
    </row>
    <row r="1941" spans="1:5" hidden="1" x14ac:dyDescent="0.2">
      <c r="A1941" s="251"/>
      <c r="B1941" s="246"/>
      <c r="C1941" s="246" t="s">
        <v>2123</v>
      </c>
      <c r="D1941" s="247">
        <v>71.95</v>
      </c>
      <c r="E1941" s="248">
        <v>1</v>
      </c>
    </row>
    <row r="1942" spans="1:5" hidden="1" x14ac:dyDescent="0.2">
      <c r="A1942" s="251"/>
      <c r="B1942" s="246"/>
      <c r="C1942" s="246" t="s">
        <v>2124</v>
      </c>
      <c r="D1942" s="247">
        <v>71.95</v>
      </c>
      <c r="E1942" s="248">
        <v>1</v>
      </c>
    </row>
    <row r="1943" spans="1:5" hidden="1" x14ac:dyDescent="0.2">
      <c r="A1943" s="251"/>
      <c r="B1943" s="246"/>
      <c r="C1943" s="246" t="s">
        <v>2125</v>
      </c>
      <c r="D1943" s="247">
        <v>71.95</v>
      </c>
      <c r="E1943" s="248">
        <v>1</v>
      </c>
    </row>
    <row r="1944" spans="1:5" hidden="1" x14ac:dyDescent="0.2">
      <c r="A1944" s="251"/>
      <c r="B1944" s="246"/>
      <c r="C1944" s="246" t="s">
        <v>2126</v>
      </c>
      <c r="D1944" s="247">
        <v>71.02</v>
      </c>
      <c r="E1944" s="248">
        <v>2</v>
      </c>
    </row>
    <row r="1945" spans="1:5" hidden="1" x14ac:dyDescent="0.2">
      <c r="A1945" s="251"/>
      <c r="B1945" s="246"/>
      <c r="C1945" s="246" t="s">
        <v>2347</v>
      </c>
      <c r="D1945" s="247">
        <v>71.010000000000005</v>
      </c>
      <c r="E1945" s="248">
        <v>2</v>
      </c>
    </row>
    <row r="1946" spans="1:5" hidden="1" x14ac:dyDescent="0.2">
      <c r="A1946" s="251"/>
      <c r="B1946" s="246"/>
      <c r="C1946" s="246" t="s">
        <v>2127</v>
      </c>
      <c r="D1946" s="247">
        <v>68.569999999999993</v>
      </c>
      <c r="E1946" s="248">
        <v>1</v>
      </c>
    </row>
    <row r="1947" spans="1:5" hidden="1" x14ac:dyDescent="0.2">
      <c r="A1947" s="251"/>
      <c r="B1947" s="246"/>
      <c r="C1947" s="246" t="s">
        <v>2128</v>
      </c>
      <c r="D1947" s="247">
        <v>68.569999999999993</v>
      </c>
      <c r="E1947" s="248">
        <v>1</v>
      </c>
    </row>
    <row r="1948" spans="1:5" hidden="1" x14ac:dyDescent="0.2">
      <c r="A1948" s="251"/>
      <c r="B1948" s="246"/>
      <c r="C1948" s="246" t="s">
        <v>2129</v>
      </c>
      <c r="D1948" s="247">
        <v>68.569999999999993</v>
      </c>
      <c r="E1948" s="248">
        <v>1</v>
      </c>
    </row>
    <row r="1949" spans="1:5" hidden="1" x14ac:dyDescent="0.2">
      <c r="A1949" s="251"/>
      <c r="B1949" s="246"/>
      <c r="C1949" s="246" t="s">
        <v>2130</v>
      </c>
      <c r="D1949" s="247">
        <v>68.569999999999993</v>
      </c>
      <c r="E1949" s="248">
        <v>1</v>
      </c>
    </row>
    <row r="1950" spans="1:5" hidden="1" x14ac:dyDescent="0.2">
      <c r="A1950" s="251"/>
      <c r="B1950" s="246"/>
      <c r="C1950" s="246" t="s">
        <v>2131</v>
      </c>
      <c r="D1950" s="247">
        <v>68.569999999999993</v>
      </c>
      <c r="E1950" s="248">
        <v>1</v>
      </c>
    </row>
    <row r="1951" spans="1:5" hidden="1" x14ac:dyDescent="0.2">
      <c r="A1951" s="251"/>
      <c r="B1951" s="246"/>
      <c r="C1951" s="246" t="s">
        <v>2132</v>
      </c>
      <c r="D1951" s="247">
        <v>67.72</v>
      </c>
      <c r="E1951" s="248">
        <v>1</v>
      </c>
    </row>
    <row r="1952" spans="1:5" hidden="1" x14ac:dyDescent="0.2">
      <c r="A1952" s="251"/>
      <c r="B1952" s="246"/>
      <c r="C1952" s="246" t="s">
        <v>2133</v>
      </c>
      <c r="D1952" s="247">
        <v>67.72</v>
      </c>
      <c r="E1952" s="248">
        <v>1</v>
      </c>
    </row>
    <row r="1953" spans="1:5" hidden="1" x14ac:dyDescent="0.2">
      <c r="A1953" s="251"/>
      <c r="B1953" s="246"/>
      <c r="C1953" s="246" t="s">
        <v>2134</v>
      </c>
      <c r="D1953" s="247">
        <v>67.72</v>
      </c>
      <c r="E1953" s="248">
        <v>1</v>
      </c>
    </row>
    <row r="1954" spans="1:5" hidden="1" x14ac:dyDescent="0.2">
      <c r="A1954" s="251"/>
      <c r="B1954" s="246"/>
      <c r="C1954" s="246" t="s">
        <v>2135</v>
      </c>
      <c r="D1954" s="247">
        <v>67.709999999999994</v>
      </c>
      <c r="E1954" s="248">
        <v>1</v>
      </c>
    </row>
    <row r="1955" spans="1:5" hidden="1" x14ac:dyDescent="0.2">
      <c r="A1955" s="251"/>
      <c r="B1955" s="246"/>
      <c r="C1955" s="246" t="s">
        <v>2136</v>
      </c>
      <c r="D1955" s="247">
        <v>67.63</v>
      </c>
      <c r="E1955" s="248">
        <v>2</v>
      </c>
    </row>
    <row r="1956" spans="1:5" hidden="1" x14ac:dyDescent="0.2">
      <c r="A1956" s="251"/>
      <c r="B1956" s="246"/>
      <c r="C1956" s="246" t="s">
        <v>2348</v>
      </c>
      <c r="D1956" s="247">
        <v>67.62</v>
      </c>
      <c r="E1956" s="248">
        <v>2</v>
      </c>
    </row>
    <row r="1957" spans="1:5" hidden="1" x14ac:dyDescent="0.2">
      <c r="A1957" s="251"/>
      <c r="B1957" s="246"/>
      <c r="C1957" s="246" t="s">
        <v>2349</v>
      </c>
      <c r="D1957" s="247">
        <v>65.349999999999994</v>
      </c>
      <c r="E1957" s="248">
        <v>3</v>
      </c>
    </row>
    <row r="1958" spans="1:5" hidden="1" x14ac:dyDescent="0.2">
      <c r="A1958" s="251"/>
      <c r="B1958" s="246"/>
      <c r="C1958" s="246" t="s">
        <v>2137</v>
      </c>
      <c r="D1958" s="247">
        <v>64.760000000000005</v>
      </c>
      <c r="E1958" s="248">
        <v>1</v>
      </c>
    </row>
    <row r="1959" spans="1:5" hidden="1" x14ac:dyDescent="0.2">
      <c r="A1959" s="251"/>
      <c r="B1959" s="246"/>
      <c r="C1959" s="246" t="s">
        <v>2350</v>
      </c>
      <c r="D1959" s="247">
        <v>64.760000000000005</v>
      </c>
      <c r="E1959" s="248">
        <v>1</v>
      </c>
    </row>
    <row r="1960" spans="1:5" hidden="1" x14ac:dyDescent="0.2">
      <c r="A1960" s="251"/>
      <c r="B1960" s="246"/>
      <c r="C1960" s="246" t="s">
        <v>2138</v>
      </c>
      <c r="D1960" s="247">
        <v>64.760000000000005</v>
      </c>
      <c r="E1960" s="248">
        <v>1</v>
      </c>
    </row>
    <row r="1961" spans="1:5" hidden="1" x14ac:dyDescent="0.2">
      <c r="A1961" s="251"/>
      <c r="B1961" s="246"/>
      <c r="C1961" s="246" t="s">
        <v>2139</v>
      </c>
      <c r="D1961" s="247">
        <v>64.760000000000005</v>
      </c>
      <c r="E1961" s="248">
        <v>1</v>
      </c>
    </row>
    <row r="1962" spans="1:5" hidden="1" x14ac:dyDescent="0.2">
      <c r="A1962" s="251"/>
      <c r="B1962" s="246"/>
      <c r="C1962" s="246" t="s">
        <v>2140</v>
      </c>
      <c r="D1962" s="247">
        <v>64.760000000000005</v>
      </c>
      <c r="E1962" s="248">
        <v>1</v>
      </c>
    </row>
    <row r="1963" spans="1:5" hidden="1" x14ac:dyDescent="0.2">
      <c r="A1963" s="251"/>
      <c r="B1963" s="246"/>
      <c r="C1963" s="246" t="s">
        <v>2141</v>
      </c>
      <c r="D1963" s="247">
        <v>64.75</v>
      </c>
      <c r="E1963" s="248">
        <v>1</v>
      </c>
    </row>
    <row r="1964" spans="1:5" hidden="1" x14ac:dyDescent="0.2">
      <c r="A1964" s="251"/>
      <c r="B1964" s="246"/>
      <c r="C1964" s="246" t="s">
        <v>2142</v>
      </c>
      <c r="D1964" s="247">
        <v>63.47</v>
      </c>
      <c r="E1964" s="248">
        <v>1</v>
      </c>
    </row>
    <row r="1965" spans="1:5" hidden="1" x14ac:dyDescent="0.2">
      <c r="A1965" s="251"/>
      <c r="B1965" s="246"/>
      <c r="C1965" s="246" t="s">
        <v>2143</v>
      </c>
      <c r="D1965" s="247">
        <v>63.47</v>
      </c>
      <c r="E1965" s="248">
        <v>1</v>
      </c>
    </row>
    <row r="1966" spans="1:5" hidden="1" x14ac:dyDescent="0.2">
      <c r="A1966" s="251"/>
      <c r="B1966" s="246"/>
      <c r="C1966" s="246" t="s">
        <v>2144</v>
      </c>
      <c r="D1966" s="247">
        <v>60.94</v>
      </c>
      <c r="E1966" s="248">
        <v>1</v>
      </c>
    </row>
    <row r="1967" spans="1:5" hidden="1" x14ac:dyDescent="0.2">
      <c r="A1967" s="251"/>
      <c r="B1967" s="246"/>
      <c r="C1967" s="246" t="s">
        <v>2145</v>
      </c>
      <c r="D1967" s="247">
        <v>60.94</v>
      </c>
      <c r="E1967" s="248">
        <v>1</v>
      </c>
    </row>
    <row r="1968" spans="1:5" hidden="1" x14ac:dyDescent="0.2">
      <c r="A1968" s="251"/>
      <c r="B1968" s="246"/>
      <c r="C1968" s="246" t="s">
        <v>2146</v>
      </c>
      <c r="D1968" s="247">
        <v>60</v>
      </c>
      <c r="E1968" s="248">
        <v>2</v>
      </c>
    </row>
    <row r="1969" spans="1:5" hidden="1" x14ac:dyDescent="0.2">
      <c r="A1969" s="251"/>
      <c r="B1969" s="246"/>
      <c r="C1969" s="246" t="s">
        <v>2147</v>
      </c>
      <c r="D1969" s="247">
        <v>59.24</v>
      </c>
      <c r="E1969" s="248">
        <v>1</v>
      </c>
    </row>
    <row r="1970" spans="1:5" hidden="1" x14ac:dyDescent="0.2">
      <c r="A1970" s="251"/>
      <c r="B1970" s="246"/>
      <c r="C1970" s="246" t="s">
        <v>2148</v>
      </c>
      <c r="D1970" s="247">
        <v>59.23</v>
      </c>
      <c r="E1970" s="248">
        <v>1</v>
      </c>
    </row>
    <row r="1971" spans="1:5" hidden="1" x14ac:dyDescent="0.2">
      <c r="A1971" s="251"/>
      <c r="B1971" s="246"/>
      <c r="C1971" s="246" t="s">
        <v>2351</v>
      </c>
      <c r="D1971" s="247">
        <v>59.23</v>
      </c>
      <c r="E1971" s="248">
        <v>1</v>
      </c>
    </row>
    <row r="1972" spans="1:5" hidden="1" x14ac:dyDescent="0.2">
      <c r="A1972" s="251"/>
      <c r="B1972" s="246"/>
      <c r="C1972" s="246" t="s">
        <v>2149</v>
      </c>
      <c r="D1972" s="247">
        <v>58.15</v>
      </c>
      <c r="E1972" s="248">
        <v>3</v>
      </c>
    </row>
    <row r="1973" spans="1:5" hidden="1" x14ac:dyDescent="0.2">
      <c r="A1973" s="251"/>
      <c r="B1973" s="246"/>
      <c r="C1973" s="246" t="s">
        <v>2150</v>
      </c>
      <c r="D1973" s="247">
        <v>55.85</v>
      </c>
      <c r="E1973" s="248">
        <v>1</v>
      </c>
    </row>
    <row r="1974" spans="1:5" hidden="1" x14ac:dyDescent="0.2">
      <c r="A1974" s="251"/>
      <c r="B1974" s="246"/>
      <c r="C1974" s="246" t="s">
        <v>2151</v>
      </c>
      <c r="D1974" s="247">
        <v>55.85</v>
      </c>
      <c r="E1974" s="248">
        <v>1</v>
      </c>
    </row>
    <row r="1975" spans="1:5" hidden="1" x14ac:dyDescent="0.2">
      <c r="A1975" s="251"/>
      <c r="B1975" s="246"/>
      <c r="C1975" s="246" t="s">
        <v>2152</v>
      </c>
      <c r="D1975" s="247">
        <v>55.85</v>
      </c>
      <c r="E1975" s="248">
        <v>1</v>
      </c>
    </row>
    <row r="1976" spans="1:5" hidden="1" x14ac:dyDescent="0.2">
      <c r="A1976" s="251"/>
      <c r="B1976" s="246"/>
      <c r="C1976" s="246" t="s">
        <v>2153</v>
      </c>
      <c r="D1976" s="247">
        <v>55.85</v>
      </c>
      <c r="E1976" s="248">
        <v>1</v>
      </c>
    </row>
    <row r="1977" spans="1:5" hidden="1" x14ac:dyDescent="0.2">
      <c r="A1977" s="251"/>
      <c r="B1977" s="246"/>
      <c r="C1977" s="246" t="s">
        <v>2154</v>
      </c>
      <c r="D1977" s="247">
        <v>55.85</v>
      </c>
      <c r="E1977" s="248">
        <v>1</v>
      </c>
    </row>
    <row r="1978" spans="1:5" hidden="1" x14ac:dyDescent="0.2">
      <c r="A1978" s="251"/>
      <c r="B1978" s="246"/>
      <c r="C1978" s="246" t="s">
        <v>2155</v>
      </c>
      <c r="D1978" s="247">
        <v>55.85</v>
      </c>
      <c r="E1978" s="248">
        <v>1</v>
      </c>
    </row>
    <row r="1979" spans="1:5" hidden="1" x14ac:dyDescent="0.2">
      <c r="A1979" s="251"/>
      <c r="B1979" s="246"/>
      <c r="C1979" s="246" t="s">
        <v>2156</v>
      </c>
      <c r="D1979" s="247">
        <v>55.85</v>
      </c>
      <c r="E1979" s="248">
        <v>1</v>
      </c>
    </row>
    <row r="1980" spans="1:5" hidden="1" x14ac:dyDescent="0.2">
      <c r="A1980" s="251"/>
      <c r="B1980" s="246"/>
      <c r="C1980" s="246" t="s">
        <v>2157</v>
      </c>
      <c r="D1980" s="247">
        <v>55.85</v>
      </c>
      <c r="E1980" s="248">
        <v>1</v>
      </c>
    </row>
    <row r="1981" spans="1:5" hidden="1" x14ac:dyDescent="0.2">
      <c r="A1981" s="251"/>
      <c r="B1981" s="246"/>
      <c r="C1981" s="246" t="s">
        <v>2158</v>
      </c>
      <c r="D1981" s="247">
        <v>55.85</v>
      </c>
      <c r="E1981" s="248">
        <v>1</v>
      </c>
    </row>
    <row r="1982" spans="1:5" hidden="1" x14ac:dyDescent="0.2">
      <c r="A1982" s="251"/>
      <c r="B1982" s="246"/>
      <c r="C1982" s="246" t="s">
        <v>2159</v>
      </c>
      <c r="D1982" s="247">
        <v>55</v>
      </c>
      <c r="E1982" s="248">
        <v>1</v>
      </c>
    </row>
    <row r="1983" spans="1:5" hidden="1" x14ac:dyDescent="0.2">
      <c r="A1983" s="251"/>
      <c r="B1983" s="246"/>
      <c r="C1983" s="246" t="s">
        <v>2160</v>
      </c>
      <c r="D1983" s="247">
        <v>55</v>
      </c>
      <c r="E1983" s="248">
        <v>1</v>
      </c>
    </row>
    <row r="1984" spans="1:5" hidden="1" x14ac:dyDescent="0.2">
      <c r="A1984" s="251"/>
      <c r="B1984" s="246"/>
      <c r="C1984" s="246" t="s">
        <v>2161</v>
      </c>
      <c r="D1984" s="247">
        <v>55</v>
      </c>
      <c r="E1984" s="248">
        <v>1</v>
      </c>
    </row>
    <row r="1985" spans="1:5" hidden="1" x14ac:dyDescent="0.2">
      <c r="A1985" s="251"/>
      <c r="B1985" s="246"/>
      <c r="C1985" s="246" t="s">
        <v>2162</v>
      </c>
      <c r="D1985" s="247">
        <v>55</v>
      </c>
      <c r="E1985" s="248">
        <v>1</v>
      </c>
    </row>
    <row r="1986" spans="1:5" hidden="1" x14ac:dyDescent="0.2">
      <c r="A1986" s="251"/>
      <c r="B1986" s="246"/>
      <c r="C1986" s="246" t="s">
        <v>2163</v>
      </c>
      <c r="D1986" s="247">
        <v>55</v>
      </c>
      <c r="E1986" s="248">
        <v>1</v>
      </c>
    </row>
    <row r="1987" spans="1:5" hidden="1" x14ac:dyDescent="0.2">
      <c r="A1987" s="251"/>
      <c r="B1987" s="246"/>
      <c r="C1987" s="246" t="s">
        <v>2164</v>
      </c>
      <c r="D1987" s="247">
        <v>54.76</v>
      </c>
      <c r="E1987" s="248">
        <v>2</v>
      </c>
    </row>
    <row r="1988" spans="1:5" hidden="1" x14ac:dyDescent="0.2">
      <c r="A1988" s="251"/>
      <c r="B1988" s="246"/>
      <c r="C1988" s="246" t="s">
        <v>2165</v>
      </c>
      <c r="D1988" s="247">
        <v>52.38</v>
      </c>
      <c r="E1988" s="248">
        <v>2</v>
      </c>
    </row>
    <row r="1989" spans="1:5" hidden="1" x14ac:dyDescent="0.2">
      <c r="A1989" s="251"/>
      <c r="B1989" s="246"/>
      <c r="C1989" s="246" t="s">
        <v>2166</v>
      </c>
      <c r="D1989" s="247">
        <v>51.61</v>
      </c>
      <c r="E1989" s="248">
        <v>1</v>
      </c>
    </row>
    <row r="1990" spans="1:5" hidden="1" x14ac:dyDescent="0.2">
      <c r="A1990" s="251"/>
      <c r="B1990" s="246"/>
      <c r="C1990" s="246" t="s">
        <v>2167</v>
      </c>
      <c r="D1990" s="247">
        <v>51.61</v>
      </c>
      <c r="E1990" s="248">
        <v>1</v>
      </c>
    </row>
    <row r="1991" spans="1:5" hidden="1" x14ac:dyDescent="0.2">
      <c r="A1991" s="251"/>
      <c r="B1991" s="246"/>
      <c r="C1991" s="246" t="s">
        <v>2168</v>
      </c>
      <c r="D1991" s="247">
        <v>50.77</v>
      </c>
      <c r="E1991" s="248">
        <v>1</v>
      </c>
    </row>
    <row r="1992" spans="1:5" hidden="1" x14ac:dyDescent="0.2">
      <c r="A1992" s="251"/>
      <c r="B1992" s="246"/>
      <c r="C1992" s="246" t="s">
        <v>2169</v>
      </c>
      <c r="D1992" s="247">
        <v>50.36</v>
      </c>
      <c r="E1992" s="248">
        <v>1</v>
      </c>
    </row>
    <row r="1993" spans="1:5" hidden="1" x14ac:dyDescent="0.2">
      <c r="A1993" s="251"/>
      <c r="B1993" s="246"/>
      <c r="C1993" s="246" t="s">
        <v>2170</v>
      </c>
      <c r="D1993" s="247">
        <v>50.27</v>
      </c>
      <c r="E1993" s="248">
        <v>1</v>
      </c>
    </row>
    <row r="1994" spans="1:5" hidden="1" x14ac:dyDescent="0.2">
      <c r="A1994" s="251"/>
      <c r="B1994" s="246"/>
      <c r="C1994" s="246" t="s">
        <v>2171</v>
      </c>
      <c r="D1994" s="247">
        <v>46.45</v>
      </c>
      <c r="E1994" s="248">
        <v>1</v>
      </c>
    </row>
    <row r="1995" spans="1:5" hidden="1" x14ac:dyDescent="0.2">
      <c r="A1995" s="251"/>
      <c r="B1995" s="246"/>
      <c r="C1995" s="246" t="s">
        <v>2172</v>
      </c>
      <c r="D1995" s="247">
        <v>46.45</v>
      </c>
      <c r="E1995" s="248">
        <v>1</v>
      </c>
    </row>
    <row r="1996" spans="1:5" hidden="1" x14ac:dyDescent="0.2">
      <c r="A1996" s="251"/>
      <c r="B1996" s="246"/>
      <c r="C1996" s="246" t="s">
        <v>2173</v>
      </c>
      <c r="D1996" s="247">
        <v>46.45</v>
      </c>
      <c r="E1996" s="248">
        <v>1</v>
      </c>
    </row>
    <row r="1997" spans="1:5" hidden="1" x14ac:dyDescent="0.2">
      <c r="A1997" s="251"/>
      <c r="B1997" s="246"/>
      <c r="C1997" s="246" t="s">
        <v>2174</v>
      </c>
      <c r="D1997" s="247">
        <v>45.69</v>
      </c>
      <c r="E1997" s="248">
        <v>1</v>
      </c>
    </row>
    <row r="1998" spans="1:5" hidden="1" x14ac:dyDescent="0.2">
      <c r="A1998" s="251"/>
      <c r="B1998" s="246"/>
      <c r="C1998" s="246" t="s">
        <v>2175</v>
      </c>
      <c r="D1998" s="247">
        <v>42.29</v>
      </c>
      <c r="E1998" s="248">
        <v>1</v>
      </c>
    </row>
    <row r="1999" spans="1:5" hidden="1" x14ac:dyDescent="0.2">
      <c r="A1999" s="251"/>
      <c r="B1999" s="246"/>
      <c r="C1999" s="246" t="s">
        <v>2176</v>
      </c>
      <c r="D1999" s="247">
        <v>39.74</v>
      </c>
      <c r="E1999" s="248">
        <v>1</v>
      </c>
    </row>
    <row r="2000" spans="1:5" hidden="1" x14ac:dyDescent="0.2">
      <c r="A2000" s="251"/>
      <c r="B2000" s="246"/>
      <c r="C2000" s="246" t="s">
        <v>2177</v>
      </c>
      <c r="D2000" s="247">
        <v>38.9</v>
      </c>
      <c r="E2000" s="248">
        <v>1</v>
      </c>
    </row>
    <row r="2001" spans="1:5" hidden="1" x14ac:dyDescent="0.2">
      <c r="A2001" s="251"/>
      <c r="B2001" s="246"/>
      <c r="C2001" s="246" t="s">
        <v>2178</v>
      </c>
      <c r="D2001" s="247">
        <v>36.36</v>
      </c>
      <c r="E2001" s="248">
        <v>1</v>
      </c>
    </row>
    <row r="2002" spans="1:5" hidden="1" x14ac:dyDescent="0.2">
      <c r="A2002" s="251"/>
      <c r="B2002" s="246"/>
      <c r="C2002" s="246" t="s">
        <v>2179</v>
      </c>
      <c r="D2002" s="247">
        <v>36.35</v>
      </c>
      <c r="E2002" s="248">
        <v>1</v>
      </c>
    </row>
    <row r="2003" spans="1:5" hidden="1" x14ac:dyDescent="0.2">
      <c r="A2003" s="251"/>
      <c r="B2003" s="246"/>
      <c r="C2003" s="246" t="s">
        <v>2180</v>
      </c>
      <c r="D2003" s="247">
        <v>33.82</v>
      </c>
      <c r="E2003" s="248">
        <v>1</v>
      </c>
    </row>
    <row r="2004" spans="1:5" hidden="1" x14ac:dyDescent="0.2">
      <c r="A2004" s="251"/>
      <c r="B2004" s="246"/>
      <c r="C2004" s="246" t="s">
        <v>2181</v>
      </c>
      <c r="D2004" s="247">
        <v>31.28</v>
      </c>
      <c r="E2004" s="248">
        <v>1</v>
      </c>
    </row>
    <row r="2005" spans="1:5" hidden="1" x14ac:dyDescent="0.2">
      <c r="A2005" s="251"/>
      <c r="B2005" s="246"/>
      <c r="C2005" s="246" t="s">
        <v>2182</v>
      </c>
      <c r="D2005" s="247">
        <v>28.15</v>
      </c>
      <c r="E2005" s="248">
        <v>1</v>
      </c>
    </row>
    <row r="2006" spans="1:5" hidden="1" x14ac:dyDescent="0.2">
      <c r="A2006" s="251"/>
      <c r="B2006" s="246"/>
      <c r="C2006" s="246" t="s">
        <v>2183</v>
      </c>
      <c r="D2006" s="247">
        <v>26.19</v>
      </c>
      <c r="E2006" s="248">
        <v>1</v>
      </c>
    </row>
    <row r="2007" spans="1:5" hidden="1" x14ac:dyDescent="0.2">
      <c r="A2007" s="251"/>
      <c r="B2007" s="246"/>
      <c r="C2007" s="246" t="s">
        <v>2184</v>
      </c>
      <c r="D2007" s="247">
        <v>25.34</v>
      </c>
      <c r="E2007" s="248">
        <v>1</v>
      </c>
    </row>
    <row r="2008" spans="1:5" hidden="1" x14ac:dyDescent="0.2">
      <c r="A2008" s="251"/>
      <c r="B2008" s="246"/>
      <c r="C2008" s="246" t="s">
        <v>2185</v>
      </c>
      <c r="D2008" s="247">
        <v>23.57</v>
      </c>
      <c r="E2008" s="248">
        <v>1</v>
      </c>
    </row>
    <row r="2009" spans="1:5" hidden="1" x14ac:dyDescent="0.2">
      <c r="A2009" s="251"/>
      <c r="B2009" s="246"/>
      <c r="C2009" s="246" t="s">
        <v>2186</v>
      </c>
      <c r="D2009" s="247">
        <v>22.79</v>
      </c>
      <c r="E2009" s="248">
        <v>1</v>
      </c>
    </row>
    <row r="2010" spans="1:5" hidden="1" x14ac:dyDescent="0.2">
      <c r="A2010" s="251"/>
      <c r="B2010" s="246"/>
      <c r="C2010" s="246" t="s">
        <v>2187</v>
      </c>
      <c r="D2010" s="247">
        <v>0</v>
      </c>
      <c r="E2010" s="248">
        <v>1</v>
      </c>
    </row>
    <row r="2011" spans="1:5" hidden="1" x14ac:dyDescent="0.2">
      <c r="A2011" s="251"/>
      <c r="B2011" s="246"/>
      <c r="C2011" s="246" t="s">
        <v>2188</v>
      </c>
      <c r="D2011" s="247">
        <v>0</v>
      </c>
      <c r="E2011" s="248">
        <v>1</v>
      </c>
    </row>
    <row r="2012" spans="1:5" hidden="1" x14ac:dyDescent="0.2">
      <c r="A2012" s="251"/>
      <c r="B2012" s="246"/>
      <c r="C2012" s="246" t="s">
        <v>2189</v>
      </c>
      <c r="D2012" s="247">
        <v>0</v>
      </c>
      <c r="E2012" s="248">
        <v>3</v>
      </c>
    </row>
    <row r="2013" spans="1:5" hidden="1" x14ac:dyDescent="0.2">
      <c r="A2013" s="251"/>
      <c r="B2013" s="246"/>
      <c r="C2013" s="246" t="s">
        <v>2190</v>
      </c>
      <c r="D2013" s="247">
        <v>0</v>
      </c>
      <c r="E2013" s="248">
        <v>2</v>
      </c>
    </row>
    <row r="2014" spans="1:5" hidden="1" x14ac:dyDescent="0.2">
      <c r="A2014" s="251"/>
      <c r="B2014" s="246"/>
      <c r="C2014" s="246" t="s">
        <v>2191</v>
      </c>
      <c r="D2014" s="247">
        <v>-42.29</v>
      </c>
      <c r="E2014" s="248">
        <v>-1</v>
      </c>
    </row>
    <row r="2015" spans="1:5" hidden="1" x14ac:dyDescent="0.2">
      <c r="A2015" s="251"/>
      <c r="B2015" s="246"/>
      <c r="C2015" s="246" t="s">
        <v>2352</v>
      </c>
      <c r="D2015" s="247">
        <v>-55</v>
      </c>
      <c r="E2015" s="248">
        <v>-1</v>
      </c>
    </row>
    <row r="2016" spans="1:5" hidden="1" x14ac:dyDescent="0.2">
      <c r="A2016" s="251"/>
      <c r="B2016" s="246"/>
      <c r="C2016" s="246" t="s">
        <v>2192</v>
      </c>
      <c r="D2016" s="247">
        <v>-76.19</v>
      </c>
      <c r="E2016" s="248">
        <v>-1</v>
      </c>
    </row>
    <row r="2017" spans="1:5" hidden="1" x14ac:dyDescent="0.2">
      <c r="A2017" s="251"/>
      <c r="B2017" s="246"/>
      <c r="C2017" s="246" t="s">
        <v>2193</v>
      </c>
      <c r="D2017" s="247">
        <v>-105.76</v>
      </c>
      <c r="E2017" s="248">
        <v>-2</v>
      </c>
    </row>
    <row r="2018" spans="1:5" hidden="1" x14ac:dyDescent="0.2">
      <c r="A2018" s="251"/>
      <c r="B2018" s="246"/>
      <c r="C2018" s="246" t="s">
        <v>2194</v>
      </c>
      <c r="D2018" s="247">
        <v>-126.95</v>
      </c>
      <c r="E2018" s="248">
        <v>-2</v>
      </c>
    </row>
    <row r="2019" spans="1:5" hidden="1" x14ac:dyDescent="0.2">
      <c r="A2019" s="251"/>
      <c r="B2019" s="246"/>
      <c r="C2019" s="246" t="s">
        <v>2195</v>
      </c>
      <c r="D2019" s="247">
        <v>-135.51</v>
      </c>
      <c r="E2019" s="248">
        <v>-1</v>
      </c>
    </row>
    <row r="2020" spans="1:5" hidden="1" x14ac:dyDescent="0.2">
      <c r="A2020" s="251"/>
      <c r="B2020" s="246"/>
      <c r="C2020" s="246" t="s">
        <v>2353</v>
      </c>
      <c r="D2020" s="247">
        <v>-143.97999999999999</v>
      </c>
      <c r="E2020" s="248">
        <v>-1</v>
      </c>
    </row>
    <row r="2021" spans="1:5" hidden="1" x14ac:dyDescent="0.2">
      <c r="A2021" s="251"/>
      <c r="B2021" s="246"/>
      <c r="C2021" s="246" t="s">
        <v>2196</v>
      </c>
      <c r="D2021" s="247">
        <v>-186.27</v>
      </c>
      <c r="E2021" s="248">
        <v>-2</v>
      </c>
    </row>
    <row r="2022" spans="1:5" hidden="1" x14ac:dyDescent="0.2">
      <c r="A2022" s="251"/>
      <c r="B2022" s="246"/>
      <c r="C2022" s="246" t="s">
        <v>2197</v>
      </c>
      <c r="D2022" s="247">
        <v>-266.88</v>
      </c>
      <c r="E2022" s="248">
        <v>-1</v>
      </c>
    </row>
    <row r="2023" spans="1:5" hidden="1" x14ac:dyDescent="0.2">
      <c r="A2023" s="251"/>
      <c r="B2023" s="246"/>
      <c r="C2023" s="246" t="s">
        <v>2198</v>
      </c>
      <c r="D2023" s="247">
        <v>-266.88</v>
      </c>
      <c r="E2023" s="248">
        <v>-1</v>
      </c>
    </row>
    <row r="2024" spans="1:5" hidden="1" x14ac:dyDescent="0.2">
      <c r="A2024" s="251"/>
      <c r="B2024" s="246"/>
      <c r="C2024" s="246" t="s">
        <v>2199</v>
      </c>
      <c r="D2024" s="247">
        <v>-266.88</v>
      </c>
      <c r="E2024" s="248">
        <v>-1</v>
      </c>
    </row>
    <row r="2025" spans="1:5" hidden="1" x14ac:dyDescent="0.2">
      <c r="A2025" s="251"/>
      <c r="B2025" s="246"/>
      <c r="C2025" s="246" t="s">
        <v>2200</v>
      </c>
      <c r="D2025" s="247">
        <v>-266.88</v>
      </c>
      <c r="E2025" s="248">
        <v>-1</v>
      </c>
    </row>
    <row r="2026" spans="1:5" hidden="1" x14ac:dyDescent="0.2">
      <c r="A2026" s="251"/>
      <c r="B2026" s="246"/>
      <c r="C2026" s="246" t="s">
        <v>2201</v>
      </c>
      <c r="D2026" s="247">
        <v>-266.88</v>
      </c>
      <c r="E2026" s="248">
        <v>-1</v>
      </c>
    </row>
    <row r="2027" spans="1:5" hidden="1" x14ac:dyDescent="0.2">
      <c r="A2027" s="251"/>
      <c r="B2027" s="246"/>
      <c r="C2027" s="246" t="s">
        <v>2202</v>
      </c>
      <c r="D2027" s="247">
        <v>-266.88</v>
      </c>
      <c r="E2027" s="248">
        <v>-1</v>
      </c>
    </row>
    <row r="2028" spans="1:5" hidden="1" x14ac:dyDescent="0.2">
      <c r="A2028" s="251"/>
      <c r="B2028" s="246"/>
      <c r="C2028" s="246" t="s">
        <v>2203</v>
      </c>
      <c r="D2028" s="247">
        <v>-289.11</v>
      </c>
      <c r="E2028" s="248">
        <v>-5</v>
      </c>
    </row>
    <row r="2029" spans="1:5" hidden="1" x14ac:dyDescent="0.2">
      <c r="A2029" s="251"/>
      <c r="B2029" s="246"/>
      <c r="C2029" s="246" t="s">
        <v>2204</v>
      </c>
      <c r="D2029" s="247">
        <v>-296.52999999999997</v>
      </c>
      <c r="E2029" s="248">
        <v>-1</v>
      </c>
    </row>
    <row r="2030" spans="1:5" hidden="1" x14ac:dyDescent="0.2">
      <c r="A2030" s="251"/>
      <c r="B2030" s="246"/>
      <c r="C2030" s="246" t="s">
        <v>2205</v>
      </c>
      <c r="D2030" s="247">
        <v>-296.52999999999997</v>
      </c>
      <c r="E2030" s="248">
        <v>-1</v>
      </c>
    </row>
    <row r="2031" spans="1:5" hidden="1" x14ac:dyDescent="0.2">
      <c r="A2031" s="251"/>
      <c r="B2031" s="246"/>
      <c r="C2031" s="246" t="s">
        <v>2206</v>
      </c>
      <c r="D2031" s="247">
        <v>-296.52999999999997</v>
      </c>
      <c r="E2031" s="248">
        <v>-1</v>
      </c>
    </row>
    <row r="2032" spans="1:5" hidden="1" x14ac:dyDescent="0.2">
      <c r="A2032" s="251"/>
      <c r="B2032" s="246"/>
      <c r="C2032" s="246" t="s">
        <v>2207</v>
      </c>
      <c r="D2032" s="247">
        <v>-338.9</v>
      </c>
      <c r="E2032" s="248">
        <v>-1</v>
      </c>
    </row>
    <row r="2033" spans="1:5" hidden="1" x14ac:dyDescent="0.2">
      <c r="A2033" s="251"/>
      <c r="B2033" s="246"/>
      <c r="C2033" s="246" t="s">
        <v>2208</v>
      </c>
      <c r="D2033" s="247">
        <v>-358.32</v>
      </c>
      <c r="E2033" s="248">
        <v>-2</v>
      </c>
    </row>
    <row r="2034" spans="1:5" hidden="1" x14ac:dyDescent="0.2">
      <c r="A2034" s="251"/>
      <c r="B2034" s="246"/>
      <c r="C2034" s="246" t="s">
        <v>2209</v>
      </c>
      <c r="D2034" s="247">
        <v>-384.66</v>
      </c>
      <c r="E2034" s="248">
        <v>-1</v>
      </c>
    </row>
    <row r="2035" spans="1:5" hidden="1" x14ac:dyDescent="0.2">
      <c r="A2035" s="251"/>
      <c r="B2035" s="246"/>
      <c r="C2035" s="246" t="s">
        <v>2210</v>
      </c>
      <c r="D2035" s="247">
        <v>-400.35</v>
      </c>
      <c r="E2035" s="248">
        <v>-1</v>
      </c>
    </row>
    <row r="2036" spans="1:5" hidden="1" x14ac:dyDescent="0.2">
      <c r="A2036" s="251"/>
      <c r="B2036" s="246"/>
      <c r="C2036" s="246" t="s">
        <v>2211</v>
      </c>
      <c r="D2036" s="247">
        <v>-550.25</v>
      </c>
      <c r="E2036" s="248">
        <v>-2</v>
      </c>
    </row>
    <row r="2037" spans="1:5" hidden="1" x14ac:dyDescent="0.2">
      <c r="A2037" s="251"/>
      <c r="B2037" s="246"/>
      <c r="C2037" s="246" t="s">
        <v>2212</v>
      </c>
      <c r="D2037" s="247">
        <v>-593.04999999999995</v>
      </c>
      <c r="E2037" s="248">
        <v>-2</v>
      </c>
    </row>
    <row r="2038" spans="1:5" hidden="1" x14ac:dyDescent="0.2">
      <c r="A2038" s="252" t="s">
        <v>2213</v>
      </c>
      <c r="B2038" s="253"/>
      <c r="C2038" s="253"/>
      <c r="D2038" s="254">
        <f>SUM(D217:D2037)</f>
        <v>369715.3199999978</v>
      </c>
      <c r="E2038" s="255"/>
    </row>
    <row r="2039" spans="1:5" hidden="1" x14ac:dyDescent="0.2">
      <c r="A2039" s="253" t="s">
        <v>2214</v>
      </c>
      <c r="B2039" s="253"/>
      <c r="C2039" s="253"/>
      <c r="D2039" s="254">
        <f>SUM(D2038)</f>
        <v>369715.3199999978</v>
      </c>
      <c r="E2039" s="255"/>
    </row>
    <row r="2040" spans="1:5" x14ac:dyDescent="0.2">
      <c r="A2040" s="245" t="s">
        <v>110</v>
      </c>
      <c r="B2040" s="246"/>
      <c r="C2040" s="246"/>
      <c r="D2040" s="247">
        <v>1545.2200000000003</v>
      </c>
      <c r="E2040" s="248">
        <v>27</v>
      </c>
    </row>
    <row r="2041" spans="1:5" hidden="1" x14ac:dyDescent="0.2">
      <c r="A2041" s="250" t="s">
        <v>2215</v>
      </c>
      <c r="B2041" s="246"/>
      <c r="C2041" s="246"/>
      <c r="D2041" s="247"/>
      <c r="E2041" s="248"/>
    </row>
    <row r="2042" spans="1:5" hidden="1" x14ac:dyDescent="0.2">
      <c r="A2042" s="251"/>
      <c r="B2042" s="246" t="s">
        <v>2216</v>
      </c>
      <c r="C2042" s="246" t="s">
        <v>2217</v>
      </c>
      <c r="D2042" s="247">
        <v>316.77999999999997</v>
      </c>
      <c r="E2042" s="248">
        <v>2</v>
      </c>
    </row>
    <row r="2043" spans="1:5" hidden="1" x14ac:dyDescent="0.2">
      <c r="A2043" s="251"/>
      <c r="B2043" s="246" t="s">
        <v>2218</v>
      </c>
      <c r="C2043" s="246" t="s">
        <v>2219</v>
      </c>
      <c r="D2043" s="247">
        <v>196.52</v>
      </c>
      <c r="E2043" s="248">
        <v>2</v>
      </c>
    </row>
    <row r="2044" spans="1:5" hidden="1" x14ac:dyDescent="0.2">
      <c r="A2044" s="251"/>
      <c r="B2044" s="246" t="s">
        <v>2220</v>
      </c>
      <c r="C2044" s="246" t="s">
        <v>2221</v>
      </c>
      <c r="D2044" s="247">
        <v>171.1</v>
      </c>
      <c r="E2044" s="248">
        <v>2</v>
      </c>
    </row>
    <row r="2045" spans="1:5" hidden="1" x14ac:dyDescent="0.2">
      <c r="A2045" s="251"/>
      <c r="B2045" s="246" t="s">
        <v>2222</v>
      </c>
      <c r="C2045" s="246" t="s">
        <v>2223</v>
      </c>
      <c r="D2045" s="247">
        <v>137.12</v>
      </c>
      <c r="E2045" s="248">
        <v>3</v>
      </c>
    </row>
    <row r="2046" spans="1:5" hidden="1" x14ac:dyDescent="0.2">
      <c r="A2046" s="251"/>
      <c r="B2046" s="246" t="s">
        <v>2224</v>
      </c>
      <c r="C2046" s="246" t="s">
        <v>2225</v>
      </c>
      <c r="D2046" s="247">
        <v>137.12</v>
      </c>
      <c r="E2046" s="248">
        <v>3</v>
      </c>
    </row>
    <row r="2047" spans="1:5" hidden="1" x14ac:dyDescent="0.2">
      <c r="A2047" s="251"/>
      <c r="B2047" s="246" t="s">
        <v>2226</v>
      </c>
      <c r="C2047" s="246" t="s">
        <v>2227</v>
      </c>
      <c r="D2047" s="247">
        <v>93.13</v>
      </c>
      <c r="E2047" s="248">
        <v>2</v>
      </c>
    </row>
    <row r="2048" spans="1:5" hidden="1" x14ac:dyDescent="0.2">
      <c r="A2048" s="251"/>
      <c r="B2048" s="246" t="s">
        <v>2228</v>
      </c>
      <c r="C2048" s="246" t="s">
        <v>2229</v>
      </c>
      <c r="D2048" s="247">
        <v>93.13</v>
      </c>
      <c r="E2048" s="248">
        <v>2</v>
      </c>
    </row>
    <row r="2049" spans="1:5" hidden="1" x14ac:dyDescent="0.2">
      <c r="A2049" s="251"/>
      <c r="B2049" s="246" t="s">
        <v>2230</v>
      </c>
      <c r="C2049" s="246" t="s">
        <v>2231</v>
      </c>
      <c r="D2049" s="247">
        <v>93.13</v>
      </c>
      <c r="E2049" s="248">
        <v>2</v>
      </c>
    </row>
    <row r="2050" spans="1:5" hidden="1" x14ac:dyDescent="0.2">
      <c r="A2050" s="251"/>
      <c r="B2050" s="246" t="s">
        <v>2232</v>
      </c>
      <c r="C2050" s="246" t="s">
        <v>2233</v>
      </c>
      <c r="D2050" s="247">
        <v>87.96</v>
      </c>
      <c r="E2050" s="248">
        <v>3</v>
      </c>
    </row>
    <row r="2051" spans="1:5" hidden="1" x14ac:dyDescent="0.2">
      <c r="A2051" s="251"/>
      <c r="B2051" s="246" t="s">
        <v>2234</v>
      </c>
      <c r="C2051" s="246" t="s">
        <v>2235</v>
      </c>
      <c r="D2051" s="247">
        <v>81.27</v>
      </c>
      <c r="E2051" s="248">
        <v>2</v>
      </c>
    </row>
    <row r="2052" spans="1:5" hidden="1" x14ac:dyDescent="0.2">
      <c r="A2052" s="251"/>
      <c r="B2052" s="246" t="s">
        <v>2354</v>
      </c>
      <c r="C2052" s="246" t="s">
        <v>2355</v>
      </c>
      <c r="D2052" s="247">
        <v>81.27</v>
      </c>
      <c r="E2052" s="248">
        <v>2</v>
      </c>
    </row>
    <row r="2053" spans="1:5" hidden="1" x14ac:dyDescent="0.2">
      <c r="A2053" s="251"/>
      <c r="B2053" s="246" t="s">
        <v>2236</v>
      </c>
      <c r="C2053" s="246" t="s">
        <v>2237</v>
      </c>
      <c r="D2053" s="247">
        <v>56.69</v>
      </c>
      <c r="E2053" s="248">
        <v>2</v>
      </c>
    </row>
    <row r="2054" spans="1:5" hidden="1" x14ac:dyDescent="0.2">
      <c r="A2054" s="252" t="s">
        <v>2238</v>
      </c>
      <c r="B2054" s="253"/>
      <c r="C2054" s="253"/>
      <c r="D2054" s="254">
        <f>SUM(D2042:D2053)</f>
        <v>1545.2200000000003</v>
      </c>
      <c r="E2054" s="255"/>
    </row>
    <row r="2055" spans="1:5" hidden="1" x14ac:dyDescent="0.2">
      <c r="A2055" s="253" t="s">
        <v>2239</v>
      </c>
      <c r="B2055" s="253"/>
      <c r="C2055" s="253"/>
      <c r="D2055" s="254">
        <f>SUM(D2054)</f>
        <v>1545.2200000000003</v>
      </c>
      <c r="E2055" s="255"/>
    </row>
    <row r="2056" spans="1:5" x14ac:dyDescent="0.2">
      <c r="A2056" s="245" t="s">
        <v>96</v>
      </c>
      <c r="B2056" s="246"/>
      <c r="C2056" s="246"/>
      <c r="D2056" s="247">
        <v>19451.36</v>
      </c>
      <c r="E2056" s="248">
        <v>2984</v>
      </c>
    </row>
    <row r="2057" spans="1:5" hidden="1" x14ac:dyDescent="0.2">
      <c r="A2057" s="249" t="s">
        <v>2240</v>
      </c>
      <c r="B2057" s="246"/>
      <c r="C2057" s="246" t="s">
        <v>2241</v>
      </c>
      <c r="D2057" s="247">
        <v>19451.36</v>
      </c>
      <c r="E2057" s="248">
        <v>2984</v>
      </c>
    </row>
    <row r="2058" spans="1:5" hidden="1" x14ac:dyDescent="0.2">
      <c r="A2058" s="253" t="s">
        <v>78</v>
      </c>
      <c r="B2058" s="253"/>
      <c r="C2058" s="253"/>
      <c r="D2058" s="254">
        <f>SUM(D2057)</f>
        <v>19451.36</v>
      </c>
      <c r="E2058" s="255"/>
    </row>
    <row r="2059" spans="1:5" x14ac:dyDescent="0.2">
      <c r="A2059" s="245" t="s">
        <v>98</v>
      </c>
      <c r="B2059" s="246"/>
      <c r="C2059" s="246"/>
      <c r="D2059" s="247">
        <v>239800.71</v>
      </c>
      <c r="E2059" s="248">
        <v>13137</v>
      </c>
    </row>
    <row r="2060" spans="1:5" hidden="1" x14ac:dyDescent="0.2">
      <c r="A2060" s="250" t="s">
        <v>2242</v>
      </c>
      <c r="B2060" s="246"/>
      <c r="C2060" s="246"/>
      <c r="D2060" s="247"/>
      <c r="E2060" s="248"/>
    </row>
    <row r="2061" spans="1:5" hidden="1" x14ac:dyDescent="0.2">
      <c r="A2061" s="251"/>
      <c r="B2061" s="246"/>
      <c r="C2061" s="246" t="s">
        <v>2243</v>
      </c>
      <c r="D2061" s="247">
        <v>230490.25</v>
      </c>
      <c r="E2061" s="248">
        <v>12895</v>
      </c>
    </row>
    <row r="2062" spans="1:5" hidden="1" x14ac:dyDescent="0.2">
      <c r="A2062" s="251"/>
      <c r="B2062" s="246"/>
      <c r="C2062" s="246" t="s">
        <v>2244</v>
      </c>
      <c r="D2062" s="247">
        <v>9310.19</v>
      </c>
      <c r="E2062" s="248">
        <v>233</v>
      </c>
    </row>
    <row r="2063" spans="1:5" hidden="1" x14ac:dyDescent="0.2">
      <c r="A2063" s="251"/>
      <c r="B2063" s="246"/>
      <c r="C2063" s="246" t="s">
        <v>2356</v>
      </c>
      <c r="D2063" s="247">
        <v>0.27</v>
      </c>
      <c r="E2063" s="248">
        <v>9</v>
      </c>
    </row>
    <row r="2064" spans="1:5" hidden="1" x14ac:dyDescent="0.2">
      <c r="A2064" s="252" t="s">
        <v>2245</v>
      </c>
      <c r="B2064" s="253"/>
      <c r="C2064" s="253"/>
      <c r="D2064" s="254">
        <f>SUM(D2061:D2063)</f>
        <v>239800.71</v>
      </c>
      <c r="E2064" s="255"/>
    </row>
    <row r="2065" spans="1:8" hidden="1" x14ac:dyDescent="0.2">
      <c r="A2065" s="253" t="s">
        <v>87</v>
      </c>
      <c r="B2065" s="253"/>
      <c r="C2065" s="253"/>
      <c r="D2065" s="254">
        <f>SUM(D2064)</f>
        <v>239800.71</v>
      </c>
      <c r="E2065" s="255"/>
    </row>
    <row r="2066" spans="1:8" x14ac:dyDescent="0.2">
      <c r="A2066" s="245" t="s">
        <v>101</v>
      </c>
      <c r="B2066" s="246"/>
      <c r="C2066" s="246"/>
      <c r="D2066" s="247">
        <v>41960.14</v>
      </c>
      <c r="E2066" s="248">
        <v>1256</v>
      </c>
    </row>
    <row r="2067" spans="1:8" hidden="1" x14ac:dyDescent="0.2">
      <c r="A2067" s="249" t="s">
        <v>2246</v>
      </c>
      <c r="B2067" s="246"/>
      <c r="C2067" s="246" t="s">
        <v>2247</v>
      </c>
      <c r="D2067" s="247">
        <v>41960.14</v>
      </c>
      <c r="E2067" s="248">
        <v>1256</v>
      </c>
    </row>
    <row r="2068" spans="1:8" hidden="1" x14ac:dyDescent="0.2">
      <c r="A2068" s="253" t="s">
        <v>89</v>
      </c>
      <c r="B2068" s="253"/>
      <c r="C2068" s="253"/>
      <c r="D2068" s="254">
        <f>SUM(D2067)</f>
        <v>41960.14</v>
      </c>
      <c r="E2068" s="255"/>
    </row>
    <row r="2069" spans="1:8" x14ac:dyDescent="0.2">
      <c r="A2069" s="253" t="s">
        <v>106</v>
      </c>
      <c r="B2069" s="253"/>
      <c r="C2069" s="253"/>
      <c r="D2069" s="254">
        <f>SUM(D85,D91,D103,D114,D151,D176,D179,D185,D214,D2039,D2055,D2058,D2065,D2068)</f>
        <v>1143905.0299999977</v>
      </c>
      <c r="E2069" s="255"/>
    </row>
    <row r="2071" spans="1:8" x14ac:dyDescent="0.2">
      <c r="A2071" t="s">
        <v>2248</v>
      </c>
      <c r="B2071" s="259">
        <v>697612.7</v>
      </c>
      <c r="C2071" s="260">
        <f>B2071*0.89</f>
        <v>620875.30299999996</v>
      </c>
    </row>
    <row r="2072" spans="1:8" x14ac:dyDescent="0.2">
      <c r="A2072" t="s">
        <v>2249</v>
      </c>
      <c r="B2072" s="259">
        <v>139816.29999999999</v>
      </c>
      <c r="C2072" s="260">
        <f t="shared" ref="C2072:C2083" si="0">B2072*0.89</f>
        <v>124436.507</v>
      </c>
    </row>
    <row r="2073" spans="1:8" x14ac:dyDescent="0.2">
      <c r="A2073" t="s">
        <v>2250</v>
      </c>
      <c r="B2073" s="259">
        <v>601.70000000000005</v>
      </c>
      <c r="C2073" s="260">
        <f t="shared" si="0"/>
        <v>535.51300000000003</v>
      </c>
    </row>
    <row r="2074" spans="1:8" x14ac:dyDescent="0.2">
      <c r="A2074" t="s">
        <v>2251</v>
      </c>
      <c r="B2074" s="259">
        <v>506653.6</v>
      </c>
      <c r="C2074" s="260">
        <f t="shared" si="0"/>
        <v>450921.70399999997</v>
      </c>
    </row>
    <row r="2075" spans="1:8" x14ac:dyDescent="0.2">
      <c r="A2075" t="s">
        <v>2252</v>
      </c>
      <c r="B2075" s="259">
        <v>6432.2</v>
      </c>
      <c r="C2075" s="260">
        <f t="shared" si="0"/>
        <v>5724.6580000000004</v>
      </c>
      <c r="G2075" s="100" t="s">
        <v>2357</v>
      </c>
      <c r="H2075" s="260">
        <f>C2072+C2073+C2076+C2077+C2081+C2083+D152</f>
        <v>139912.56199999998</v>
      </c>
    </row>
    <row r="2076" spans="1:8" x14ac:dyDescent="0.2">
      <c r="A2076" t="s">
        <v>2253</v>
      </c>
      <c r="B2076" s="259">
        <v>895.1</v>
      </c>
      <c r="C2076" s="260">
        <f t="shared" si="0"/>
        <v>796.63900000000001</v>
      </c>
      <c r="G2076" s="100" t="s">
        <v>44</v>
      </c>
      <c r="H2076" s="260">
        <f>C2075+C2078+C2080</f>
        <v>67350.660999999993</v>
      </c>
    </row>
    <row r="2077" spans="1:8" x14ac:dyDescent="0.2">
      <c r="A2077" t="s">
        <v>2254</v>
      </c>
      <c r="B2077" s="259">
        <v>33.200000000000003</v>
      </c>
      <c r="C2077" s="260">
        <f t="shared" si="0"/>
        <v>29.548000000000002</v>
      </c>
      <c r="G2077" s="100" t="s">
        <v>2358</v>
      </c>
      <c r="H2077" s="260">
        <f>C2079</f>
        <v>382744.85600000003</v>
      </c>
    </row>
    <row r="2078" spans="1:8" x14ac:dyDescent="0.2">
      <c r="A2078" t="s">
        <v>2255</v>
      </c>
      <c r="B2078" s="259">
        <v>473.5</v>
      </c>
      <c r="C2078" s="260">
        <f t="shared" si="0"/>
        <v>421.41500000000002</v>
      </c>
      <c r="G2078" s="100" t="s">
        <v>2359</v>
      </c>
      <c r="H2078" s="260">
        <f>C2082+D180</f>
        <v>41374.602999999996</v>
      </c>
    </row>
    <row r="2079" spans="1:8" x14ac:dyDescent="0.2">
      <c r="A2079" t="s">
        <v>0</v>
      </c>
      <c r="B2079" s="259">
        <v>430050.4</v>
      </c>
      <c r="C2079" s="260">
        <f t="shared" si="0"/>
        <v>382744.85600000003</v>
      </c>
      <c r="H2079" s="260">
        <f>SUM(H2075:H2078)</f>
        <v>631382.68200000003</v>
      </c>
    </row>
    <row r="2080" spans="1:8" x14ac:dyDescent="0.2">
      <c r="A2080" t="s">
        <v>2256</v>
      </c>
      <c r="B2080" s="259">
        <v>68769.2</v>
      </c>
      <c r="C2080" s="260">
        <f t="shared" si="0"/>
        <v>61204.587999999996</v>
      </c>
    </row>
    <row r="2081" spans="1:3" x14ac:dyDescent="0.2">
      <c r="A2081" t="s">
        <v>2257</v>
      </c>
      <c r="B2081" s="259">
        <v>74.3</v>
      </c>
      <c r="C2081" s="260">
        <f t="shared" si="0"/>
        <v>66.126999999999995</v>
      </c>
    </row>
    <row r="2082" spans="1:3" x14ac:dyDescent="0.2">
      <c r="A2082" t="s">
        <v>2258</v>
      </c>
      <c r="B2082" s="259">
        <v>51290.7</v>
      </c>
      <c r="C2082" s="260">
        <f t="shared" si="0"/>
        <v>45648.722999999998</v>
      </c>
    </row>
    <row r="2083" spans="1:3" x14ac:dyDescent="0.2">
      <c r="A2083" t="s">
        <v>2259</v>
      </c>
      <c r="B2083" s="259">
        <v>-823.8</v>
      </c>
      <c r="C2083" s="260">
        <f t="shared" si="0"/>
        <v>-733.18200000000002</v>
      </c>
    </row>
  </sheetData>
  <mergeCells count="6">
    <mergeCell ref="A6:E6"/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0A4F-A6AB-4BC0-A288-D8FDEB747065}">
  <dimension ref="A1:AB43"/>
  <sheetViews>
    <sheetView rightToLeft="1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H13" sqref="H13"/>
    </sheetView>
  </sheetViews>
  <sheetFormatPr defaultRowHeight="14.25" x14ac:dyDescent="0.2"/>
  <cols>
    <col min="1" max="1" width="16.375" customWidth="1"/>
    <col min="2" max="2" width="9.375" bestFit="1" customWidth="1"/>
    <col min="14" max="14" width="8.875" bestFit="1" customWidth="1"/>
    <col min="16" max="16" width="8.875" bestFit="1" customWidth="1"/>
    <col min="18" max="19" width="8.875" bestFit="1" customWidth="1"/>
    <col min="21" max="21" width="8.875" bestFit="1" customWidth="1"/>
    <col min="22" max="28" width="10.25" customWidth="1"/>
  </cols>
  <sheetData>
    <row r="1" spans="1:28" hidden="1" x14ac:dyDescent="0.2"/>
    <row r="2" spans="1:28" hidden="1" x14ac:dyDescent="0.2"/>
    <row r="3" spans="1:28" x14ac:dyDescent="0.2">
      <c r="A3" s="41" t="s">
        <v>133</v>
      </c>
      <c r="B3" s="42" t="s">
        <v>132</v>
      </c>
      <c r="C3" s="42" t="s">
        <v>131</v>
      </c>
      <c r="D3" s="42" t="s">
        <v>130</v>
      </c>
      <c r="E3" s="42" t="s">
        <v>129</v>
      </c>
      <c r="F3" s="42" t="s">
        <v>128</v>
      </c>
      <c r="G3" s="42" t="s">
        <v>127</v>
      </c>
      <c r="H3" s="46">
        <v>45474</v>
      </c>
      <c r="I3" s="46">
        <v>45870</v>
      </c>
      <c r="J3" s="46">
        <v>46266</v>
      </c>
      <c r="K3" s="42" t="s">
        <v>126</v>
      </c>
      <c r="L3" s="42" t="s">
        <v>125</v>
      </c>
      <c r="M3" s="42" t="s">
        <v>124</v>
      </c>
      <c r="N3" s="54" t="s">
        <v>106</v>
      </c>
      <c r="P3" s="54" t="s">
        <v>222</v>
      </c>
      <c r="R3" s="54" t="s">
        <v>152</v>
      </c>
      <c r="S3" s="54" t="s">
        <v>153</v>
      </c>
      <c r="T3" s="54" t="s">
        <v>154</v>
      </c>
      <c r="U3" s="54" t="s">
        <v>155</v>
      </c>
      <c r="V3" s="54" t="s">
        <v>156</v>
      </c>
      <c r="W3" s="54" t="s">
        <v>157</v>
      </c>
      <c r="X3" s="54" t="s">
        <v>158</v>
      </c>
      <c r="Y3" s="54" t="s">
        <v>159</v>
      </c>
      <c r="Z3" s="54" t="s">
        <v>160</v>
      </c>
      <c r="AA3" s="54" t="s">
        <v>161</v>
      </c>
      <c r="AB3" s="54" t="s">
        <v>162</v>
      </c>
    </row>
    <row r="4" spans="1:28" x14ac:dyDescent="0.2">
      <c r="A4" s="41" t="s">
        <v>123</v>
      </c>
      <c r="B4" s="40" t="s">
        <v>122</v>
      </c>
      <c r="C4" s="40" t="s">
        <v>122</v>
      </c>
      <c r="D4" s="40" t="s">
        <v>122</v>
      </c>
      <c r="E4" s="40" t="s">
        <v>122</v>
      </c>
      <c r="F4" s="40" t="s">
        <v>122</v>
      </c>
      <c r="G4" s="40" t="s">
        <v>122</v>
      </c>
      <c r="H4" s="40" t="s">
        <v>122</v>
      </c>
      <c r="I4" s="40" t="s">
        <v>122</v>
      </c>
      <c r="J4" s="40" t="s">
        <v>122</v>
      </c>
      <c r="K4" s="40" t="s">
        <v>122</v>
      </c>
      <c r="L4" s="40" t="s">
        <v>122</v>
      </c>
      <c r="M4" s="40" t="s">
        <v>122</v>
      </c>
      <c r="N4" s="55" t="s">
        <v>122</v>
      </c>
      <c r="P4" s="55" t="s">
        <v>122</v>
      </c>
      <c r="R4" s="55" t="s">
        <v>122</v>
      </c>
      <c r="S4" s="55" t="s">
        <v>122</v>
      </c>
      <c r="T4" s="55" t="s">
        <v>122</v>
      </c>
      <c r="U4" s="55" t="s">
        <v>122</v>
      </c>
      <c r="V4" s="55" t="s">
        <v>122</v>
      </c>
      <c r="W4" s="55" t="s">
        <v>122</v>
      </c>
      <c r="X4" s="55" t="s">
        <v>122</v>
      </c>
      <c r="Y4" s="55" t="s">
        <v>122</v>
      </c>
      <c r="Z4" s="55" t="s">
        <v>122</v>
      </c>
      <c r="AA4" s="55" t="s">
        <v>122</v>
      </c>
      <c r="AB4" s="55" t="s">
        <v>122</v>
      </c>
    </row>
    <row r="5" spans="1:28" x14ac:dyDescent="0.2">
      <c r="A5" s="37" t="s">
        <v>135</v>
      </c>
      <c r="B5" s="35"/>
      <c r="C5" s="35">
        <v>0</v>
      </c>
      <c r="D5" s="35"/>
      <c r="E5" s="35"/>
      <c r="F5" s="35"/>
      <c r="G5" s="35">
        <v>0</v>
      </c>
      <c r="H5" s="35">
        <v>-121.15</v>
      </c>
      <c r="I5" s="35">
        <v>-695.71</v>
      </c>
      <c r="J5" s="35">
        <v>77309.8</v>
      </c>
      <c r="K5" s="35">
        <v>2919.57</v>
      </c>
      <c r="L5" s="35">
        <v>284.37</v>
      </c>
      <c r="M5" s="35">
        <v>1054.5899999999999</v>
      </c>
      <c r="N5" s="35">
        <v>80751.47</v>
      </c>
      <c r="P5" s="35"/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-121.15</v>
      </c>
      <c r="X5" s="35">
        <v>-816.86</v>
      </c>
      <c r="Y5" s="35">
        <v>76492.94</v>
      </c>
      <c r="Z5" s="35">
        <v>79412.510000000009</v>
      </c>
      <c r="AA5" s="35">
        <v>79696.88</v>
      </c>
      <c r="AB5" s="35">
        <v>80751.47</v>
      </c>
    </row>
    <row r="6" spans="1:28" x14ac:dyDescent="0.2">
      <c r="A6" s="37" t="s">
        <v>134</v>
      </c>
      <c r="B6" s="35">
        <v>665347.30000000924</v>
      </c>
      <c r="C6" s="35">
        <v>655649.96000000846</v>
      </c>
      <c r="D6" s="35">
        <v>662927.53000000294</v>
      </c>
      <c r="E6" s="35">
        <v>668641.57000000111</v>
      </c>
      <c r="F6" s="35">
        <v>842340.31000000075</v>
      </c>
      <c r="G6" s="35">
        <v>684948.83000000298</v>
      </c>
      <c r="H6" s="35">
        <v>740139.20000000461</v>
      </c>
      <c r="I6" s="35">
        <v>623238.8300000038</v>
      </c>
      <c r="J6" s="35">
        <v>745379.96000000543</v>
      </c>
      <c r="K6" s="35">
        <v>603390.03000000853</v>
      </c>
      <c r="L6" s="35">
        <v>612999.43000000948</v>
      </c>
      <c r="M6" s="35">
        <v>683772.07000000984</v>
      </c>
      <c r="N6" s="35">
        <v>8188775.0200000666</v>
      </c>
      <c r="P6" s="35">
        <v>665347.30000000924</v>
      </c>
      <c r="R6" s="35">
        <v>1320997.2600000177</v>
      </c>
      <c r="S6" s="35">
        <v>1983924.7900000205</v>
      </c>
      <c r="T6" s="35">
        <v>2652566.3600000218</v>
      </c>
      <c r="U6" s="35">
        <v>3494906.6700000223</v>
      </c>
      <c r="V6" s="35">
        <v>4179855.5000000251</v>
      </c>
      <c r="W6" s="35">
        <v>4919994.70000003</v>
      </c>
      <c r="X6" s="35">
        <v>5543233.5300000338</v>
      </c>
      <c r="Y6" s="35">
        <v>6288613.4900000393</v>
      </c>
      <c r="Z6" s="35">
        <v>6892003.520000048</v>
      </c>
      <c r="AA6" s="35">
        <v>7505002.950000057</v>
      </c>
      <c r="AB6" s="35">
        <v>8188775.0200000666</v>
      </c>
    </row>
    <row r="7" spans="1:28" x14ac:dyDescent="0.2">
      <c r="A7" s="37" t="s">
        <v>121</v>
      </c>
      <c r="B7" s="35">
        <v>91890.1</v>
      </c>
      <c r="C7" s="35">
        <v>85829.200000000012</v>
      </c>
      <c r="D7" s="35">
        <v>87247.959999999992</v>
      </c>
      <c r="E7" s="35">
        <v>69580.429999999993</v>
      </c>
      <c r="F7" s="35">
        <v>99310.409999999974</v>
      </c>
      <c r="G7" s="35">
        <v>77555.62</v>
      </c>
      <c r="H7" s="35">
        <v>76209.319999999978</v>
      </c>
      <c r="I7" s="35">
        <v>62739.610000000008</v>
      </c>
      <c r="J7" s="35">
        <v>65856.51999999999</v>
      </c>
      <c r="K7" s="35">
        <v>56916.240000000005</v>
      </c>
      <c r="L7" s="35">
        <v>62213.38</v>
      </c>
      <c r="M7" s="35">
        <v>65670.460000000006</v>
      </c>
      <c r="N7" s="35">
        <v>901019.24999999988</v>
      </c>
      <c r="P7" s="35">
        <v>91890.1</v>
      </c>
      <c r="R7" s="35">
        <v>177719.30000000002</v>
      </c>
      <c r="S7" s="35">
        <v>264967.26</v>
      </c>
      <c r="T7" s="35">
        <v>334547.69</v>
      </c>
      <c r="U7" s="35">
        <v>433858.1</v>
      </c>
      <c r="V7" s="35">
        <v>511413.72</v>
      </c>
      <c r="W7" s="35">
        <v>587623.03999999992</v>
      </c>
      <c r="X7" s="35">
        <v>650362.64999999991</v>
      </c>
      <c r="Y7" s="35">
        <v>716219.16999999993</v>
      </c>
      <c r="Z7" s="35">
        <v>773135.40999999992</v>
      </c>
      <c r="AA7" s="35">
        <v>835348.78999999992</v>
      </c>
      <c r="AB7" s="35">
        <v>901019.24999999988</v>
      </c>
    </row>
    <row r="8" spans="1:28" x14ac:dyDescent="0.2">
      <c r="A8" s="37" t="s">
        <v>120</v>
      </c>
      <c r="B8" s="35">
        <v>15878.929999999998</v>
      </c>
      <c r="C8" s="35">
        <v>11131.68</v>
      </c>
      <c r="D8" s="35">
        <v>21528.06</v>
      </c>
      <c r="E8" s="35">
        <v>14571.76</v>
      </c>
      <c r="F8" s="35">
        <v>16034.44</v>
      </c>
      <c r="G8" s="35">
        <v>13321.910000000002</v>
      </c>
      <c r="H8" s="35">
        <v>27532.1</v>
      </c>
      <c r="I8" s="35">
        <v>18126.579999999998</v>
      </c>
      <c r="J8" s="35">
        <v>10468.760000000002</v>
      </c>
      <c r="K8" s="35">
        <v>11253.220000000001</v>
      </c>
      <c r="L8" s="35">
        <v>10956.17</v>
      </c>
      <c r="M8" s="35">
        <v>16400.060000000001</v>
      </c>
      <c r="N8" s="35">
        <v>187203.67</v>
      </c>
      <c r="P8" s="35">
        <v>15878.929999999998</v>
      </c>
      <c r="R8" s="35">
        <v>27010.61</v>
      </c>
      <c r="S8" s="35">
        <v>48538.67</v>
      </c>
      <c r="T8" s="35">
        <v>63110.43</v>
      </c>
      <c r="U8" s="35">
        <v>79144.87</v>
      </c>
      <c r="V8" s="35">
        <v>92466.78</v>
      </c>
      <c r="W8" s="35">
        <v>119998.88</v>
      </c>
      <c r="X8" s="35">
        <v>138125.46</v>
      </c>
      <c r="Y8" s="35">
        <v>148594.22</v>
      </c>
      <c r="Z8" s="35">
        <v>159847.44</v>
      </c>
      <c r="AA8" s="35">
        <v>170803.61000000002</v>
      </c>
      <c r="AB8" s="35">
        <v>187203.67</v>
      </c>
    </row>
    <row r="9" spans="1:28" x14ac:dyDescent="0.2">
      <c r="A9" s="37" t="s">
        <v>119</v>
      </c>
      <c r="B9" s="35"/>
      <c r="C9" s="35"/>
      <c r="D9" s="35"/>
      <c r="E9" s="35"/>
      <c r="F9" s="35">
        <v>1597.46</v>
      </c>
      <c r="G9" s="35"/>
      <c r="H9" s="35"/>
      <c r="I9" s="35"/>
      <c r="J9" s="35"/>
      <c r="K9" s="35"/>
      <c r="L9" s="35"/>
      <c r="M9" s="35">
        <v>-14.280000000000001</v>
      </c>
      <c r="N9" s="35">
        <v>1583.18</v>
      </c>
      <c r="P9" s="35"/>
      <c r="R9" s="35">
        <v>0</v>
      </c>
      <c r="S9" s="35">
        <v>0</v>
      </c>
      <c r="T9" s="35">
        <v>0</v>
      </c>
      <c r="U9" s="35">
        <v>1597.46</v>
      </c>
      <c r="V9" s="35">
        <v>1597.46</v>
      </c>
      <c r="W9" s="35">
        <v>1597.46</v>
      </c>
      <c r="X9" s="35">
        <v>1597.46</v>
      </c>
      <c r="Y9" s="35">
        <v>1597.46</v>
      </c>
      <c r="Z9" s="35">
        <v>1597.46</v>
      </c>
      <c r="AA9" s="35">
        <v>1597.46</v>
      </c>
      <c r="AB9" s="35">
        <v>1583.18</v>
      </c>
    </row>
    <row r="10" spans="1:28" x14ac:dyDescent="0.2">
      <c r="A10" s="37" t="s">
        <v>118</v>
      </c>
      <c r="B10" s="35">
        <v>4135.49</v>
      </c>
      <c r="C10" s="35">
        <v>8592.99</v>
      </c>
      <c r="D10" s="35">
        <v>7451.5</v>
      </c>
      <c r="E10" s="35">
        <v>3314.4300000000003</v>
      </c>
      <c r="F10" s="35">
        <v>3187.34</v>
      </c>
      <c r="G10" s="35">
        <v>5235.6299999999992</v>
      </c>
      <c r="H10" s="35">
        <v>16671.18</v>
      </c>
      <c r="I10" s="35">
        <v>6797.7499999999991</v>
      </c>
      <c r="J10" s="35">
        <v>5902.85</v>
      </c>
      <c r="K10" s="35">
        <v>2059.3200000000002</v>
      </c>
      <c r="L10" s="35">
        <v>5017.43</v>
      </c>
      <c r="M10" s="35">
        <v>4549.8999999999996</v>
      </c>
      <c r="N10" s="35">
        <v>72915.81</v>
      </c>
      <c r="P10" s="35">
        <v>4135.49</v>
      </c>
      <c r="R10" s="35">
        <v>12728.48</v>
      </c>
      <c r="S10" s="35">
        <v>20179.98</v>
      </c>
      <c r="T10" s="35">
        <v>23494.41</v>
      </c>
      <c r="U10" s="35">
        <v>26681.75</v>
      </c>
      <c r="V10" s="35">
        <v>31917.379999999997</v>
      </c>
      <c r="W10" s="35">
        <v>48588.56</v>
      </c>
      <c r="X10" s="35">
        <v>55386.31</v>
      </c>
      <c r="Y10" s="35">
        <v>61289.159999999996</v>
      </c>
      <c r="Z10" s="35">
        <v>63348.479999999996</v>
      </c>
      <c r="AA10" s="35">
        <v>68365.91</v>
      </c>
      <c r="AB10" s="35">
        <v>72915.81</v>
      </c>
    </row>
    <row r="11" spans="1:28" x14ac:dyDescent="0.2">
      <c r="A11" s="37" t="s">
        <v>117</v>
      </c>
      <c r="B11" s="35">
        <v>5667.68</v>
      </c>
      <c r="C11" s="35"/>
      <c r="D11" s="35">
        <v>3573.08</v>
      </c>
      <c r="E11" s="35">
        <v>11309.68</v>
      </c>
      <c r="F11" s="35">
        <v>1188.6599999999999</v>
      </c>
      <c r="G11" s="35">
        <v>11738.24</v>
      </c>
      <c r="H11" s="35">
        <v>8417.7099999999991</v>
      </c>
      <c r="I11" s="35">
        <v>8063.6299999999992</v>
      </c>
      <c r="J11" s="35">
        <v>3066.38</v>
      </c>
      <c r="K11" s="35">
        <v>-1766.3599999999997</v>
      </c>
      <c r="L11" s="35">
        <v>30231.73</v>
      </c>
      <c r="M11" s="35">
        <v>10713.92</v>
      </c>
      <c r="N11" s="35">
        <v>92204.349999999991</v>
      </c>
      <c r="P11" s="35">
        <v>5667.68</v>
      </c>
      <c r="R11" s="35">
        <v>5667.68</v>
      </c>
      <c r="S11" s="35">
        <v>9240.76</v>
      </c>
      <c r="T11" s="35">
        <v>20550.440000000002</v>
      </c>
      <c r="U11" s="35">
        <v>21739.100000000002</v>
      </c>
      <c r="V11" s="35">
        <v>33477.340000000004</v>
      </c>
      <c r="W11" s="35">
        <v>41895.050000000003</v>
      </c>
      <c r="X11" s="35">
        <v>49958.68</v>
      </c>
      <c r="Y11" s="35">
        <v>53025.06</v>
      </c>
      <c r="Z11" s="35">
        <v>51258.7</v>
      </c>
      <c r="AA11" s="35">
        <v>81490.429999999993</v>
      </c>
      <c r="AB11" s="35">
        <v>92204.349999999991</v>
      </c>
    </row>
    <row r="12" spans="1:28" x14ac:dyDescent="0.2">
      <c r="A12" s="37" t="s">
        <v>116</v>
      </c>
      <c r="B12" s="35"/>
      <c r="C12" s="35"/>
      <c r="D12" s="35"/>
      <c r="E12" s="35">
        <v>850.4</v>
      </c>
      <c r="F12" s="35"/>
      <c r="G12" s="35"/>
      <c r="H12" s="35">
        <v>679.3</v>
      </c>
      <c r="I12" s="35"/>
      <c r="J12" s="35">
        <v>850.4</v>
      </c>
      <c r="K12" s="35"/>
      <c r="L12" s="35"/>
      <c r="M12" s="35">
        <v>850.4</v>
      </c>
      <c r="N12" s="35">
        <v>3230.5</v>
      </c>
      <c r="P12" s="35"/>
      <c r="R12" s="35">
        <v>0</v>
      </c>
      <c r="S12" s="35">
        <v>0</v>
      </c>
      <c r="T12" s="35">
        <v>850.4</v>
      </c>
      <c r="U12" s="35">
        <v>850.4</v>
      </c>
      <c r="V12" s="35">
        <v>850.4</v>
      </c>
      <c r="W12" s="35">
        <v>1529.6999999999998</v>
      </c>
      <c r="X12" s="35">
        <v>1529.6999999999998</v>
      </c>
      <c r="Y12" s="35">
        <v>2380.1</v>
      </c>
      <c r="Z12" s="35">
        <v>2380.1</v>
      </c>
      <c r="AA12" s="35">
        <v>2380.1</v>
      </c>
      <c r="AB12" s="35">
        <v>3230.5</v>
      </c>
    </row>
    <row r="13" spans="1:28" x14ac:dyDescent="0.2">
      <c r="A13" s="37" t="s">
        <v>115</v>
      </c>
      <c r="B13" s="35">
        <v>-594.08000000000004</v>
      </c>
      <c r="C13" s="35">
        <v>347582.74000000005</v>
      </c>
      <c r="D13" s="35"/>
      <c r="E13" s="35">
        <v>263037.5</v>
      </c>
      <c r="F13" s="35">
        <v>155618.13</v>
      </c>
      <c r="G13" s="35">
        <v>144633.66999999998</v>
      </c>
      <c r="H13" s="35">
        <v>214594.9</v>
      </c>
      <c r="I13" s="35">
        <v>301190.59999999998</v>
      </c>
      <c r="J13" s="35">
        <v>124776.4</v>
      </c>
      <c r="K13" s="35"/>
      <c r="L13" s="35">
        <v>183470.34</v>
      </c>
      <c r="M13" s="35">
        <v>318421.59999999998</v>
      </c>
      <c r="N13" s="35">
        <v>2052731.7999999998</v>
      </c>
      <c r="P13" s="35">
        <v>-594.08000000000004</v>
      </c>
      <c r="R13" s="35">
        <v>346988.66000000003</v>
      </c>
      <c r="S13" s="35">
        <v>346988.66000000003</v>
      </c>
      <c r="T13" s="35">
        <v>610026.16</v>
      </c>
      <c r="U13" s="35">
        <v>765644.29</v>
      </c>
      <c r="V13" s="35">
        <v>910277.96</v>
      </c>
      <c r="W13" s="35">
        <v>1124872.8599999999</v>
      </c>
      <c r="X13" s="35">
        <v>1426063.46</v>
      </c>
      <c r="Y13" s="35">
        <v>1550839.8599999999</v>
      </c>
      <c r="Z13" s="35">
        <v>1550839.8599999999</v>
      </c>
      <c r="AA13" s="35">
        <v>1734310.2</v>
      </c>
      <c r="AB13" s="35">
        <v>2052731.7999999998</v>
      </c>
    </row>
    <row r="14" spans="1:28" x14ac:dyDescent="0.2">
      <c r="A14" s="37" t="s">
        <v>114</v>
      </c>
      <c r="B14" s="35"/>
      <c r="C14" s="35"/>
      <c r="D14" s="35">
        <v>1275.21</v>
      </c>
      <c r="E14" s="35"/>
      <c r="F14" s="35"/>
      <c r="G14" s="35">
        <v>4579.6400000000003</v>
      </c>
      <c r="H14" s="35"/>
      <c r="I14" s="35"/>
      <c r="J14" s="35"/>
      <c r="K14" s="35">
        <v>507.08</v>
      </c>
      <c r="L14" s="35">
        <v>695.57</v>
      </c>
      <c r="M14" s="35">
        <v>2520</v>
      </c>
      <c r="N14" s="35">
        <v>9577.5</v>
      </c>
      <c r="P14" s="35"/>
      <c r="R14" s="35">
        <v>0</v>
      </c>
      <c r="S14" s="35">
        <v>1275.21</v>
      </c>
      <c r="T14" s="35">
        <v>1275.21</v>
      </c>
      <c r="U14" s="35">
        <v>1275.21</v>
      </c>
      <c r="V14" s="35">
        <v>5854.85</v>
      </c>
      <c r="W14" s="35">
        <v>5854.85</v>
      </c>
      <c r="X14" s="35">
        <v>5854.85</v>
      </c>
      <c r="Y14" s="35">
        <v>5854.85</v>
      </c>
      <c r="Z14" s="35">
        <v>6361.93</v>
      </c>
      <c r="AA14" s="35">
        <v>7057.5</v>
      </c>
      <c r="AB14" s="35">
        <v>9577.5</v>
      </c>
    </row>
    <row r="15" spans="1:28" x14ac:dyDescent="0.2">
      <c r="A15" s="37" t="s">
        <v>136</v>
      </c>
      <c r="B15" s="35">
        <v>15984.73</v>
      </c>
      <c r="C15" s="35">
        <v>11101.019999999997</v>
      </c>
      <c r="D15" s="35">
        <v>14682.72</v>
      </c>
      <c r="E15" s="35">
        <v>19258.059999999998</v>
      </c>
      <c r="F15" s="35">
        <v>14585.130000000001</v>
      </c>
      <c r="G15" s="35">
        <v>13453.51</v>
      </c>
      <c r="H15" s="35">
        <v>14971.249999999998</v>
      </c>
      <c r="I15" s="35">
        <v>14286.44</v>
      </c>
      <c r="J15" s="35">
        <v>14706.560000000001</v>
      </c>
      <c r="K15" s="35">
        <v>8496.06</v>
      </c>
      <c r="L15" s="35">
        <v>10058.779999999999</v>
      </c>
      <c r="M15" s="35">
        <v>9129.880000000001</v>
      </c>
      <c r="N15" s="35">
        <v>160714.13999999998</v>
      </c>
      <c r="P15" s="35">
        <v>15984.73</v>
      </c>
      <c r="R15" s="35">
        <v>27085.749999999996</v>
      </c>
      <c r="S15" s="35">
        <v>41768.469999999994</v>
      </c>
      <c r="T15" s="35">
        <v>61026.529999999992</v>
      </c>
      <c r="U15" s="35">
        <v>75611.659999999989</v>
      </c>
      <c r="V15" s="35">
        <v>89065.169999999984</v>
      </c>
      <c r="W15" s="35">
        <v>104036.41999999998</v>
      </c>
      <c r="X15" s="35">
        <v>118322.85999999999</v>
      </c>
      <c r="Y15" s="35">
        <v>133029.41999999998</v>
      </c>
      <c r="Z15" s="35">
        <v>141525.47999999998</v>
      </c>
      <c r="AA15" s="35">
        <v>151584.25999999998</v>
      </c>
      <c r="AB15" s="35">
        <v>160714.13999999998</v>
      </c>
    </row>
    <row r="16" spans="1:28" x14ac:dyDescent="0.2">
      <c r="A16" s="37" t="s">
        <v>113</v>
      </c>
      <c r="B16" s="35">
        <v>74817.97</v>
      </c>
      <c r="C16" s="35">
        <v>91523.029999999984</v>
      </c>
      <c r="D16" s="35">
        <v>77394.37</v>
      </c>
      <c r="E16" s="35">
        <v>59971.530000000013</v>
      </c>
      <c r="F16" s="35">
        <v>65998.039999999979</v>
      </c>
      <c r="G16" s="35">
        <v>43688.560000000005</v>
      </c>
      <c r="H16" s="35">
        <v>79041.440000000002</v>
      </c>
      <c r="I16" s="35">
        <v>64245.400000000023</v>
      </c>
      <c r="J16" s="35">
        <v>65554.729999999981</v>
      </c>
      <c r="K16" s="35">
        <v>50225.360000000008</v>
      </c>
      <c r="L16" s="35">
        <v>57000.57</v>
      </c>
      <c r="M16" s="35">
        <v>68517.249999999985</v>
      </c>
      <c r="N16" s="35">
        <v>797978.25</v>
      </c>
      <c r="P16" s="35">
        <v>74817.97</v>
      </c>
      <c r="R16" s="35">
        <v>166341</v>
      </c>
      <c r="S16" s="35">
        <v>243735.37</v>
      </c>
      <c r="T16" s="35">
        <v>303706.90000000002</v>
      </c>
      <c r="U16" s="35">
        <v>369704.94</v>
      </c>
      <c r="V16" s="35">
        <v>413393.5</v>
      </c>
      <c r="W16" s="35">
        <v>492434.94</v>
      </c>
      <c r="X16" s="35">
        <v>556680.34000000008</v>
      </c>
      <c r="Y16" s="35">
        <v>622235.07000000007</v>
      </c>
      <c r="Z16" s="35">
        <v>672460.43</v>
      </c>
      <c r="AA16" s="35">
        <v>729461</v>
      </c>
      <c r="AB16" s="35">
        <v>797978.25</v>
      </c>
    </row>
    <row r="17" spans="1:28" x14ac:dyDescent="0.2">
      <c r="A17" s="37" t="s">
        <v>112</v>
      </c>
      <c r="B17" s="35">
        <v>414961</v>
      </c>
      <c r="C17" s="35">
        <v>385135</v>
      </c>
      <c r="D17" s="35">
        <v>389673.5</v>
      </c>
      <c r="E17" s="35">
        <v>244648</v>
      </c>
      <c r="F17" s="35">
        <v>327442</v>
      </c>
      <c r="G17" s="35">
        <v>315729.5</v>
      </c>
      <c r="H17" s="35">
        <v>326042</v>
      </c>
      <c r="I17" s="35">
        <v>416484</v>
      </c>
      <c r="J17" s="35">
        <v>309520.8</v>
      </c>
      <c r="K17" s="35">
        <v>291076</v>
      </c>
      <c r="L17" s="35">
        <v>319604.5</v>
      </c>
      <c r="M17" s="35">
        <v>378149.8</v>
      </c>
      <c r="N17" s="35">
        <v>4118466.0999999996</v>
      </c>
      <c r="P17" s="35">
        <v>414961</v>
      </c>
      <c r="R17" s="35">
        <v>800096</v>
      </c>
      <c r="S17" s="35">
        <v>1189769.5</v>
      </c>
      <c r="T17" s="35">
        <v>1434417.5</v>
      </c>
      <c r="U17" s="35">
        <v>1761859.5</v>
      </c>
      <c r="V17" s="35">
        <v>2077589</v>
      </c>
      <c r="W17" s="35">
        <v>2403631</v>
      </c>
      <c r="X17" s="35">
        <v>2820115</v>
      </c>
      <c r="Y17" s="35">
        <v>3129635.8</v>
      </c>
      <c r="Z17" s="35">
        <v>3420711.8</v>
      </c>
      <c r="AA17" s="35">
        <v>3740316.3</v>
      </c>
      <c r="AB17" s="35">
        <v>4118466.0999999996</v>
      </c>
    </row>
    <row r="18" spans="1:28" x14ac:dyDescent="0.2">
      <c r="A18" s="37" t="s">
        <v>111</v>
      </c>
      <c r="B18" s="35">
        <v>42663.04000000003</v>
      </c>
      <c r="C18" s="35">
        <v>40630.419999999947</v>
      </c>
      <c r="D18" s="35">
        <v>45122.889999999956</v>
      </c>
      <c r="E18" s="35">
        <v>43476.429999999971</v>
      </c>
      <c r="F18" s="35">
        <v>49304.699999999961</v>
      </c>
      <c r="G18" s="35">
        <v>52569.539999999964</v>
      </c>
      <c r="H18" s="35">
        <v>56033.810000000049</v>
      </c>
      <c r="I18" s="35">
        <v>43626.889999999992</v>
      </c>
      <c r="J18" s="35">
        <v>56193.190000000104</v>
      </c>
      <c r="K18" s="35">
        <v>71675.570000000182</v>
      </c>
      <c r="L18" s="35">
        <v>87038.749999999724</v>
      </c>
      <c r="M18" s="35">
        <v>95223.269999999538</v>
      </c>
      <c r="N18" s="35">
        <v>683558.49999999953</v>
      </c>
      <c r="P18" s="35">
        <v>42663.04000000003</v>
      </c>
      <c r="R18" s="35">
        <v>83293.459999999977</v>
      </c>
      <c r="S18" s="35">
        <v>128416.34999999993</v>
      </c>
      <c r="T18" s="35">
        <v>171892.77999999991</v>
      </c>
      <c r="U18" s="35">
        <v>221197.47999999986</v>
      </c>
      <c r="V18" s="35">
        <v>273767.01999999984</v>
      </c>
      <c r="W18" s="35">
        <v>329800.8299999999</v>
      </c>
      <c r="X18" s="35">
        <v>373427.71999999991</v>
      </c>
      <c r="Y18" s="35">
        <v>429620.91000000003</v>
      </c>
      <c r="Z18" s="35">
        <v>501296.48000000021</v>
      </c>
      <c r="AA18" s="35">
        <v>588335.23</v>
      </c>
      <c r="AB18" s="35">
        <v>683558.49999999953</v>
      </c>
    </row>
    <row r="19" spans="1:28" x14ac:dyDescent="0.2">
      <c r="A19" s="37" t="s">
        <v>110</v>
      </c>
      <c r="B19" s="35">
        <v>1654.8800000000003</v>
      </c>
      <c r="C19" s="35">
        <v>2455.6600000000003</v>
      </c>
      <c r="D19" s="35">
        <v>2233.5200000000009</v>
      </c>
      <c r="E19" s="35">
        <v>2046.4299999999996</v>
      </c>
      <c r="F19" s="35">
        <v>2364.2900000000004</v>
      </c>
      <c r="G19" s="35">
        <v>5374.8100000000013</v>
      </c>
      <c r="H19" s="35">
        <v>1788.0299999999997</v>
      </c>
      <c r="I19" s="35">
        <v>4027.7199999999993</v>
      </c>
      <c r="J19" s="35">
        <v>3358.5900000000006</v>
      </c>
      <c r="K19" s="35">
        <v>3795.3299999999986</v>
      </c>
      <c r="L19" s="35">
        <v>3533.4400000000005</v>
      </c>
      <c r="M19" s="35">
        <v>3126.19</v>
      </c>
      <c r="N19" s="35">
        <v>35758.890000000007</v>
      </c>
      <c r="P19" s="35">
        <v>1654.8800000000003</v>
      </c>
      <c r="R19" s="35">
        <v>4110.5400000000009</v>
      </c>
      <c r="S19" s="35">
        <v>6344.0600000000013</v>
      </c>
      <c r="T19" s="35">
        <v>8390.4900000000016</v>
      </c>
      <c r="U19" s="35">
        <v>10754.780000000002</v>
      </c>
      <c r="V19" s="35">
        <v>16129.590000000004</v>
      </c>
      <c r="W19" s="35">
        <v>17917.620000000003</v>
      </c>
      <c r="X19" s="35">
        <v>21945.340000000004</v>
      </c>
      <c r="Y19" s="35">
        <v>25303.930000000004</v>
      </c>
      <c r="Z19" s="35">
        <v>29099.260000000002</v>
      </c>
      <c r="AA19" s="35">
        <v>32632.700000000004</v>
      </c>
      <c r="AB19" s="35">
        <v>35758.890000000007</v>
      </c>
    </row>
    <row r="20" spans="1:28" x14ac:dyDescent="0.2">
      <c r="A20" s="37" t="s">
        <v>93</v>
      </c>
      <c r="B20" s="35">
        <v>203.73000000000013</v>
      </c>
      <c r="C20" s="35">
        <v>255841.44</v>
      </c>
      <c r="D20" s="35"/>
      <c r="E20" s="35">
        <v>184350.47</v>
      </c>
      <c r="F20" s="35"/>
      <c r="G20" s="35"/>
      <c r="H20" s="35">
        <v>143527.76999999999</v>
      </c>
      <c r="I20" s="35">
        <v>-2422.6799999999998</v>
      </c>
      <c r="J20" s="35">
        <v>159908.54</v>
      </c>
      <c r="K20" s="35"/>
      <c r="L20" s="35"/>
      <c r="M20" s="35">
        <v>137974.18</v>
      </c>
      <c r="N20" s="35">
        <v>879383.45</v>
      </c>
      <c r="P20" s="35">
        <v>203.73000000000013</v>
      </c>
      <c r="R20" s="35">
        <v>256045.17</v>
      </c>
      <c r="S20" s="35">
        <v>256045.17</v>
      </c>
      <c r="T20" s="35">
        <v>440395.64</v>
      </c>
      <c r="U20" s="35">
        <v>440395.64</v>
      </c>
      <c r="V20" s="35">
        <v>440395.64</v>
      </c>
      <c r="W20" s="35">
        <v>583923.41</v>
      </c>
      <c r="X20" s="35">
        <v>581500.73</v>
      </c>
      <c r="Y20" s="35">
        <v>741409.27</v>
      </c>
      <c r="Z20" s="35">
        <v>741409.27</v>
      </c>
      <c r="AA20" s="35">
        <v>741409.27</v>
      </c>
      <c r="AB20" s="35">
        <v>879383.45</v>
      </c>
    </row>
    <row r="21" spans="1:28" x14ac:dyDescent="0.2">
      <c r="A21" s="37" t="s">
        <v>103</v>
      </c>
      <c r="B21" s="35"/>
      <c r="C21" s="35"/>
      <c r="D21" s="35"/>
      <c r="E21" s="35">
        <v>20354.79</v>
      </c>
      <c r="F21" s="35"/>
      <c r="G21" s="35"/>
      <c r="H21" s="35"/>
      <c r="I21" s="35"/>
      <c r="J21" s="35">
        <v>20673.57</v>
      </c>
      <c r="K21" s="35"/>
      <c r="L21" s="35"/>
      <c r="M21" s="35"/>
      <c r="N21" s="35">
        <v>41028.36</v>
      </c>
      <c r="P21" s="35"/>
      <c r="R21" s="35">
        <v>0</v>
      </c>
      <c r="S21" s="35">
        <v>0</v>
      </c>
      <c r="T21" s="35">
        <v>20354.79</v>
      </c>
      <c r="U21" s="35">
        <v>20354.79</v>
      </c>
      <c r="V21" s="35">
        <v>20354.79</v>
      </c>
      <c r="W21" s="35">
        <v>20354.79</v>
      </c>
      <c r="X21" s="35">
        <v>20354.79</v>
      </c>
      <c r="Y21" s="35">
        <v>41028.36</v>
      </c>
      <c r="Z21" s="35">
        <v>41028.36</v>
      </c>
      <c r="AA21" s="35">
        <v>41028.36</v>
      </c>
      <c r="AB21" s="35">
        <v>41028.36</v>
      </c>
    </row>
    <row r="22" spans="1:28" x14ac:dyDescent="0.2">
      <c r="A22" s="37" t="s">
        <v>99</v>
      </c>
      <c r="B22" s="35"/>
      <c r="C22" s="35">
        <v>23907.35</v>
      </c>
      <c r="D22" s="35">
        <v>38588.129999999997</v>
      </c>
      <c r="E22" s="35"/>
      <c r="F22" s="35">
        <v>-0.48</v>
      </c>
      <c r="G22" s="35">
        <v>37671.79</v>
      </c>
      <c r="H22" s="35">
        <v>609.99</v>
      </c>
      <c r="I22" s="35">
        <v>41467.049999999996</v>
      </c>
      <c r="J22" s="35"/>
      <c r="K22" s="35">
        <v>20724.080000000002</v>
      </c>
      <c r="L22" s="35"/>
      <c r="M22" s="35"/>
      <c r="N22" s="35">
        <v>162967.90999999997</v>
      </c>
      <c r="P22" s="35"/>
      <c r="R22" s="35">
        <v>23907.35</v>
      </c>
      <c r="S22" s="35">
        <v>62495.479999999996</v>
      </c>
      <c r="T22" s="35">
        <v>62495.479999999996</v>
      </c>
      <c r="U22" s="35">
        <v>62494.999999999993</v>
      </c>
      <c r="V22" s="35">
        <v>100166.79</v>
      </c>
      <c r="W22" s="35">
        <v>100776.78</v>
      </c>
      <c r="X22" s="35">
        <v>142243.82999999999</v>
      </c>
      <c r="Y22" s="35">
        <v>142243.82999999999</v>
      </c>
      <c r="Z22" s="35">
        <v>162967.90999999997</v>
      </c>
      <c r="AA22" s="35">
        <v>162967.90999999997</v>
      </c>
      <c r="AB22" s="35">
        <v>162967.90999999997</v>
      </c>
    </row>
    <row r="23" spans="1:28" x14ac:dyDescent="0.2">
      <c r="A23" s="37" t="s">
        <v>109</v>
      </c>
      <c r="B23" s="35"/>
      <c r="C23" s="35"/>
      <c r="D23" s="35"/>
      <c r="E23" s="35"/>
      <c r="F23" s="35"/>
      <c r="G23" s="35"/>
      <c r="H23" s="35"/>
      <c r="I23" s="35"/>
      <c r="J23" s="35">
        <v>-1.37</v>
      </c>
      <c r="K23" s="35"/>
      <c r="L23" s="35"/>
      <c r="M23" s="35">
        <v>161576.19</v>
      </c>
      <c r="N23" s="35">
        <v>161574.82</v>
      </c>
      <c r="P23" s="35"/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  <c r="Y23" s="35">
        <v>-1.37</v>
      </c>
      <c r="Z23" s="35">
        <v>-1.37</v>
      </c>
      <c r="AA23" s="35">
        <v>-1.37</v>
      </c>
      <c r="AB23" s="35">
        <v>161574.82</v>
      </c>
    </row>
    <row r="24" spans="1:28" x14ac:dyDescent="0.2">
      <c r="A24" s="37" t="s">
        <v>96</v>
      </c>
      <c r="B24" s="35">
        <v>15923.68</v>
      </c>
      <c r="C24" s="35"/>
      <c r="D24" s="35">
        <v>16377.13</v>
      </c>
      <c r="E24" s="35">
        <v>17556.439999999999</v>
      </c>
      <c r="F24" s="35"/>
      <c r="G24" s="35">
        <v>14559.92</v>
      </c>
      <c r="H24" s="35">
        <v>16222.13</v>
      </c>
      <c r="I24" s="35">
        <v>19066.599999999999</v>
      </c>
      <c r="J24" s="35">
        <v>11239.03</v>
      </c>
      <c r="K24" s="35"/>
      <c r="L24" s="35">
        <v>17813.97</v>
      </c>
      <c r="M24" s="35">
        <v>0</v>
      </c>
      <c r="N24" s="35">
        <v>128758.9</v>
      </c>
      <c r="P24" s="35">
        <v>15923.68</v>
      </c>
      <c r="R24" s="35">
        <v>15923.68</v>
      </c>
      <c r="S24" s="35">
        <v>32300.809999999998</v>
      </c>
      <c r="T24" s="35">
        <v>49857.25</v>
      </c>
      <c r="U24" s="35">
        <v>49857.25</v>
      </c>
      <c r="V24" s="35">
        <v>64417.17</v>
      </c>
      <c r="W24" s="35">
        <v>80639.3</v>
      </c>
      <c r="X24" s="35">
        <v>99705.9</v>
      </c>
      <c r="Y24" s="35">
        <v>110944.93</v>
      </c>
      <c r="Z24" s="35">
        <v>110944.93</v>
      </c>
      <c r="AA24" s="35">
        <v>128758.9</v>
      </c>
      <c r="AB24" s="35">
        <v>128758.9</v>
      </c>
    </row>
    <row r="25" spans="1:28" x14ac:dyDescent="0.2">
      <c r="A25" s="37" t="s">
        <v>92</v>
      </c>
      <c r="B25" s="35">
        <v>391520.95</v>
      </c>
      <c r="C25" s="35">
        <v>377981.61</v>
      </c>
      <c r="D25" s="35">
        <v>334336.03999999998</v>
      </c>
      <c r="E25" s="35">
        <v>264520.55</v>
      </c>
      <c r="F25" s="35">
        <v>318316.79999999999</v>
      </c>
      <c r="G25" s="35">
        <v>371311.12</v>
      </c>
      <c r="H25" s="35">
        <v>316462.25</v>
      </c>
      <c r="I25" s="35">
        <v>273201.5</v>
      </c>
      <c r="J25" s="35">
        <v>258929.86</v>
      </c>
      <c r="K25" s="35">
        <v>234970.3</v>
      </c>
      <c r="L25" s="35">
        <v>169336.07</v>
      </c>
      <c r="M25" s="35">
        <v>190607.48</v>
      </c>
      <c r="N25" s="35">
        <v>3501494.53</v>
      </c>
      <c r="P25" s="35">
        <v>391520.95</v>
      </c>
      <c r="R25" s="35">
        <v>769502.56</v>
      </c>
      <c r="S25" s="35">
        <v>1103838.6000000001</v>
      </c>
      <c r="T25" s="35">
        <v>1368359.1500000001</v>
      </c>
      <c r="U25" s="35">
        <v>1686675.9500000002</v>
      </c>
      <c r="V25" s="35">
        <v>2057987.0700000003</v>
      </c>
      <c r="W25" s="35">
        <v>2374449.3200000003</v>
      </c>
      <c r="X25" s="35">
        <v>2647650.8200000003</v>
      </c>
      <c r="Y25" s="35">
        <v>2906580.68</v>
      </c>
      <c r="Z25" s="35">
        <v>3141550.98</v>
      </c>
      <c r="AA25" s="35">
        <v>3310887.05</v>
      </c>
      <c r="AB25" s="35">
        <v>3501494.53</v>
      </c>
    </row>
    <row r="26" spans="1:28" x14ac:dyDescent="0.2">
      <c r="A26" s="37" t="s">
        <v>97</v>
      </c>
      <c r="B26" s="35">
        <v>50777.759999999995</v>
      </c>
      <c r="C26" s="35"/>
      <c r="D26" s="35"/>
      <c r="E26" s="35"/>
      <c r="F26" s="35"/>
      <c r="G26" s="35">
        <v>65362.29</v>
      </c>
      <c r="H26" s="35"/>
      <c r="I26" s="35"/>
      <c r="J26" s="35"/>
      <c r="K26" s="35"/>
      <c r="L26" s="35">
        <v>44572.45</v>
      </c>
      <c r="M26" s="35"/>
      <c r="N26" s="35">
        <v>160712.5</v>
      </c>
      <c r="P26" s="35">
        <v>50777.759999999995</v>
      </c>
      <c r="R26" s="35">
        <v>50777.759999999995</v>
      </c>
      <c r="S26" s="35">
        <v>50777.759999999995</v>
      </c>
      <c r="T26" s="35">
        <v>50777.759999999995</v>
      </c>
      <c r="U26" s="35">
        <v>50777.759999999995</v>
      </c>
      <c r="V26" s="35">
        <v>116140.04999999999</v>
      </c>
      <c r="W26" s="35">
        <v>116140.04999999999</v>
      </c>
      <c r="X26" s="35">
        <v>116140.04999999999</v>
      </c>
      <c r="Y26" s="35">
        <v>116140.04999999999</v>
      </c>
      <c r="Z26" s="35">
        <v>116140.04999999999</v>
      </c>
      <c r="AA26" s="35">
        <v>160712.5</v>
      </c>
      <c r="AB26" s="35">
        <v>160712.5</v>
      </c>
    </row>
    <row r="27" spans="1:28" x14ac:dyDescent="0.2">
      <c r="A27" s="37" t="s">
        <v>94</v>
      </c>
      <c r="B27" s="35">
        <v>49158.59</v>
      </c>
      <c r="C27" s="35">
        <v>73976.740000000005</v>
      </c>
      <c r="D27" s="35">
        <v>11470.17</v>
      </c>
      <c r="E27" s="35"/>
      <c r="F27" s="35">
        <v>169505.88</v>
      </c>
      <c r="G27" s="35">
        <v>14810.7</v>
      </c>
      <c r="H27" s="35">
        <v>61466.820000000007</v>
      </c>
      <c r="I27" s="35">
        <v>16110.54</v>
      </c>
      <c r="J27" s="35">
        <v>16422.810000000001</v>
      </c>
      <c r="K27" s="35">
        <v>92018.45</v>
      </c>
      <c r="L27" s="35">
        <v>127411.06</v>
      </c>
      <c r="M27" s="35">
        <v>1400.99</v>
      </c>
      <c r="N27" s="35">
        <v>633752.75</v>
      </c>
      <c r="P27" s="35">
        <v>49158.59</v>
      </c>
      <c r="R27" s="35">
        <v>123135.33</v>
      </c>
      <c r="S27" s="35">
        <v>134605.5</v>
      </c>
      <c r="T27" s="35">
        <v>134605.5</v>
      </c>
      <c r="U27" s="35">
        <v>304111.38</v>
      </c>
      <c r="V27" s="35">
        <v>318922.08</v>
      </c>
      <c r="W27" s="35">
        <v>380388.9</v>
      </c>
      <c r="X27" s="35">
        <v>396499.44</v>
      </c>
      <c r="Y27" s="35">
        <v>412922.25</v>
      </c>
      <c r="Z27" s="35">
        <v>504940.7</v>
      </c>
      <c r="AA27" s="35">
        <v>632351.76</v>
      </c>
      <c r="AB27" s="35">
        <v>633752.75</v>
      </c>
    </row>
    <row r="28" spans="1:28" x14ac:dyDescent="0.2">
      <c r="A28" s="37" t="s">
        <v>102</v>
      </c>
      <c r="B28" s="35"/>
      <c r="C28" s="35"/>
      <c r="D28" s="35"/>
      <c r="E28" s="35">
        <v>49617.59</v>
      </c>
      <c r="F28" s="35"/>
      <c r="G28" s="35"/>
      <c r="H28" s="35"/>
      <c r="I28" s="35"/>
      <c r="J28" s="35">
        <v>54153.1</v>
      </c>
      <c r="K28" s="35">
        <v>3920.16</v>
      </c>
      <c r="L28" s="35"/>
      <c r="M28" s="35"/>
      <c r="N28" s="35">
        <v>107690.85</v>
      </c>
      <c r="P28" s="35"/>
      <c r="R28" s="35">
        <v>0</v>
      </c>
      <c r="S28" s="35">
        <v>0</v>
      </c>
      <c r="T28" s="35">
        <v>49617.59</v>
      </c>
      <c r="U28" s="35">
        <v>49617.59</v>
      </c>
      <c r="V28" s="35">
        <v>49617.59</v>
      </c>
      <c r="W28" s="35">
        <v>49617.59</v>
      </c>
      <c r="X28" s="35">
        <v>49617.59</v>
      </c>
      <c r="Y28" s="35">
        <v>103770.69</v>
      </c>
      <c r="Z28" s="35">
        <v>107690.85</v>
      </c>
      <c r="AA28" s="35">
        <v>107690.85</v>
      </c>
      <c r="AB28" s="35">
        <v>107690.85</v>
      </c>
    </row>
    <row r="29" spans="1:28" x14ac:dyDescent="0.2">
      <c r="A29" s="37" t="s">
        <v>95</v>
      </c>
      <c r="B29" s="35">
        <v>68604.55</v>
      </c>
      <c r="C29" s="35"/>
      <c r="D29" s="35">
        <v>84607.510000000009</v>
      </c>
      <c r="E29" s="35"/>
      <c r="F29" s="35"/>
      <c r="G29" s="35">
        <v>83128.56</v>
      </c>
      <c r="H29" s="35">
        <v>90587.54</v>
      </c>
      <c r="I29" s="35"/>
      <c r="J29" s="35">
        <v>-4343.6899999999996</v>
      </c>
      <c r="K29" s="35">
        <v>86858.25</v>
      </c>
      <c r="L29" s="35"/>
      <c r="M29" s="35">
        <v>80366.28</v>
      </c>
      <c r="N29" s="35">
        <v>489809</v>
      </c>
      <c r="P29" s="35">
        <v>68604.55</v>
      </c>
      <c r="R29" s="35">
        <v>68604.55</v>
      </c>
      <c r="S29" s="35">
        <v>153212.06</v>
      </c>
      <c r="T29" s="35">
        <v>153212.06</v>
      </c>
      <c r="U29" s="35">
        <v>153212.06</v>
      </c>
      <c r="V29" s="35">
        <v>236340.62</v>
      </c>
      <c r="W29" s="35">
        <v>326928.15999999997</v>
      </c>
      <c r="X29" s="35">
        <v>326928.15999999997</v>
      </c>
      <c r="Y29" s="35">
        <v>322584.46999999997</v>
      </c>
      <c r="Z29" s="35">
        <v>409442.72</v>
      </c>
      <c r="AA29" s="35">
        <v>409442.72</v>
      </c>
      <c r="AB29" s="35">
        <v>489809</v>
      </c>
    </row>
    <row r="30" spans="1:28" x14ac:dyDescent="0.2">
      <c r="A30" s="37" t="s">
        <v>105</v>
      </c>
      <c r="B30" s="35"/>
      <c r="C30" s="35">
        <v>34034.18</v>
      </c>
      <c r="D30" s="35"/>
      <c r="E30" s="35"/>
      <c r="F30" s="35"/>
      <c r="G30" s="35"/>
      <c r="H30" s="35"/>
      <c r="I30" s="35">
        <v>25140.85</v>
      </c>
      <c r="J30" s="35"/>
      <c r="K30" s="35"/>
      <c r="L30" s="35"/>
      <c r="M30" s="35"/>
      <c r="N30" s="35">
        <v>59175.03</v>
      </c>
      <c r="P30" s="35"/>
      <c r="R30" s="35">
        <v>34034.18</v>
      </c>
      <c r="S30" s="35">
        <v>34034.18</v>
      </c>
      <c r="T30" s="35">
        <v>34034.18</v>
      </c>
      <c r="U30" s="35">
        <v>34034.18</v>
      </c>
      <c r="V30" s="35">
        <v>34034.18</v>
      </c>
      <c r="W30" s="35">
        <v>34034.18</v>
      </c>
      <c r="X30" s="35">
        <v>59175.03</v>
      </c>
      <c r="Y30" s="35">
        <v>59175.03</v>
      </c>
      <c r="Z30" s="35">
        <v>59175.03</v>
      </c>
      <c r="AA30" s="35">
        <v>59175.03</v>
      </c>
      <c r="AB30" s="35">
        <v>59175.03</v>
      </c>
    </row>
    <row r="31" spans="1:28" x14ac:dyDescent="0.2">
      <c r="A31" s="37" t="s">
        <v>85</v>
      </c>
      <c r="B31" s="35"/>
      <c r="C31" s="35"/>
      <c r="D31" s="35"/>
      <c r="E31" s="35"/>
      <c r="F31" s="35"/>
      <c r="G31" s="35">
        <v>0</v>
      </c>
      <c r="H31" s="35"/>
      <c r="I31" s="35"/>
      <c r="J31" s="35">
        <v>31722.98</v>
      </c>
      <c r="K31" s="35"/>
      <c r="L31" s="35"/>
      <c r="M31" s="35"/>
      <c r="N31" s="35">
        <v>31722.98</v>
      </c>
      <c r="P31" s="35"/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31722.98</v>
      </c>
      <c r="Z31" s="35">
        <v>31722.98</v>
      </c>
      <c r="AA31" s="35">
        <v>31722.98</v>
      </c>
      <c r="AB31" s="35">
        <v>31722.98</v>
      </c>
    </row>
    <row r="32" spans="1:28" x14ac:dyDescent="0.2">
      <c r="A32" s="37" t="s">
        <v>104</v>
      </c>
      <c r="B32" s="35">
        <v>20732.48</v>
      </c>
      <c r="C32" s="35">
        <v>19941.82</v>
      </c>
      <c r="D32" s="35">
        <v>-20732.48</v>
      </c>
      <c r="E32" s="35"/>
      <c r="F32" s="35"/>
      <c r="G32" s="35"/>
      <c r="H32" s="35">
        <v>13897.42</v>
      </c>
      <c r="I32" s="35"/>
      <c r="J32" s="35">
        <v>1987.54</v>
      </c>
      <c r="K32" s="35"/>
      <c r="L32" s="35"/>
      <c r="M32" s="35"/>
      <c r="N32" s="35">
        <v>35826.780000000006</v>
      </c>
      <c r="P32" s="35">
        <v>20732.48</v>
      </c>
      <c r="R32" s="35">
        <v>40674.300000000003</v>
      </c>
      <c r="S32" s="35">
        <v>19941.820000000003</v>
      </c>
      <c r="T32" s="35">
        <v>19941.820000000003</v>
      </c>
      <c r="U32" s="35">
        <v>19941.820000000003</v>
      </c>
      <c r="V32" s="35">
        <v>19941.820000000003</v>
      </c>
      <c r="W32" s="35">
        <v>33839.240000000005</v>
      </c>
      <c r="X32" s="35">
        <v>33839.240000000005</v>
      </c>
      <c r="Y32" s="35">
        <v>35826.780000000006</v>
      </c>
      <c r="Z32" s="35">
        <v>35826.780000000006</v>
      </c>
      <c r="AA32" s="35">
        <v>35826.780000000006</v>
      </c>
      <c r="AB32" s="35">
        <v>35826.780000000006</v>
      </c>
    </row>
    <row r="33" spans="1:28" x14ac:dyDescent="0.2">
      <c r="A33" s="37" t="s">
        <v>98</v>
      </c>
      <c r="B33" s="35">
        <v>249206.12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>
        <v>222074.04</v>
      </c>
      <c r="N33" s="35">
        <v>471280.16000000003</v>
      </c>
      <c r="P33" s="35">
        <v>249206.12</v>
      </c>
      <c r="R33" s="35">
        <v>249206.12</v>
      </c>
      <c r="S33" s="35">
        <v>249206.12</v>
      </c>
      <c r="T33" s="35">
        <v>249206.12</v>
      </c>
      <c r="U33" s="35">
        <v>249206.12</v>
      </c>
      <c r="V33" s="35">
        <v>249206.12</v>
      </c>
      <c r="W33" s="35">
        <v>249206.12</v>
      </c>
      <c r="X33" s="35">
        <v>249206.12</v>
      </c>
      <c r="Y33" s="35">
        <v>249206.12</v>
      </c>
      <c r="Z33" s="35">
        <v>249206.12</v>
      </c>
      <c r="AA33" s="35">
        <v>249206.12</v>
      </c>
      <c r="AB33" s="35">
        <v>471280.16000000003</v>
      </c>
    </row>
    <row r="34" spans="1:28" x14ac:dyDescent="0.2">
      <c r="A34" s="37" t="s">
        <v>100</v>
      </c>
      <c r="B34" s="35"/>
      <c r="C34" s="35"/>
      <c r="D34" s="35">
        <v>171813.81000000003</v>
      </c>
      <c r="E34" s="35"/>
      <c r="F34" s="35"/>
      <c r="G34" s="35"/>
      <c r="H34" s="35"/>
      <c r="I34" s="35"/>
      <c r="J34" s="35"/>
      <c r="K34" s="35"/>
      <c r="L34" s="35">
        <v>115405.87</v>
      </c>
      <c r="M34" s="35">
        <v>83394.960000000006</v>
      </c>
      <c r="N34" s="35">
        <v>370614.64000000007</v>
      </c>
      <c r="P34" s="35"/>
      <c r="R34" s="35">
        <v>0</v>
      </c>
      <c r="S34" s="35">
        <v>171813.81000000003</v>
      </c>
      <c r="T34" s="35">
        <v>171813.81000000003</v>
      </c>
      <c r="U34" s="35">
        <v>171813.81000000003</v>
      </c>
      <c r="V34" s="35">
        <v>171813.81000000003</v>
      </c>
      <c r="W34" s="35">
        <v>171813.81000000003</v>
      </c>
      <c r="X34" s="35">
        <v>171813.81000000003</v>
      </c>
      <c r="Y34" s="35">
        <v>171813.81000000003</v>
      </c>
      <c r="Z34" s="35">
        <v>171813.81000000003</v>
      </c>
      <c r="AA34" s="35">
        <v>287219.68000000005</v>
      </c>
      <c r="AB34" s="35">
        <v>370614.64000000007</v>
      </c>
    </row>
    <row r="35" spans="1:28" x14ac:dyDescent="0.2">
      <c r="A35" s="37" t="s">
        <v>101</v>
      </c>
      <c r="B35" s="35"/>
      <c r="C35" s="35">
        <v>49906.61</v>
      </c>
      <c r="D35" s="35">
        <v>25514.68</v>
      </c>
      <c r="E35" s="35">
        <v>27828.48</v>
      </c>
      <c r="F35" s="35">
        <v>31259.759999999998</v>
      </c>
      <c r="G35" s="35">
        <v>37331.120000000003</v>
      </c>
      <c r="H35" s="35">
        <v>27604.14</v>
      </c>
      <c r="I35" s="35">
        <v>21966.81</v>
      </c>
      <c r="J35" s="35">
        <v>64828.58</v>
      </c>
      <c r="K35" s="35"/>
      <c r="L35" s="35">
        <v>62633.86</v>
      </c>
      <c r="M35" s="35"/>
      <c r="N35" s="35">
        <v>348874.04</v>
      </c>
      <c r="P35" s="35"/>
      <c r="R35" s="35">
        <v>49906.61</v>
      </c>
      <c r="S35" s="35">
        <v>75421.290000000008</v>
      </c>
      <c r="T35" s="35">
        <v>103249.77</v>
      </c>
      <c r="U35" s="35">
        <v>134509.53</v>
      </c>
      <c r="V35" s="35">
        <v>171840.65</v>
      </c>
      <c r="W35" s="35">
        <v>199444.78999999998</v>
      </c>
      <c r="X35" s="35">
        <v>221411.59999999998</v>
      </c>
      <c r="Y35" s="35">
        <v>286240.18</v>
      </c>
      <c r="Z35" s="35">
        <v>286240.18</v>
      </c>
      <c r="AA35" s="35">
        <v>348874.04</v>
      </c>
      <c r="AB35" s="35">
        <v>348874.04</v>
      </c>
    </row>
    <row r="36" spans="1:28" x14ac:dyDescent="0.2">
      <c r="A36" s="37" t="s">
        <v>108</v>
      </c>
      <c r="B36" s="35"/>
      <c r="C36" s="35"/>
      <c r="D36" s="35"/>
      <c r="E36" s="35"/>
      <c r="F36" s="35"/>
      <c r="G36" s="35">
        <v>22310.959999999999</v>
      </c>
      <c r="H36" s="35"/>
      <c r="I36" s="35"/>
      <c r="J36" s="35"/>
      <c r="K36" s="35"/>
      <c r="L36" s="35"/>
      <c r="M36" s="35"/>
      <c r="N36" s="35">
        <v>22310.959999999999</v>
      </c>
      <c r="P36" s="35"/>
      <c r="R36" s="35">
        <v>0</v>
      </c>
      <c r="S36" s="35">
        <v>0</v>
      </c>
      <c r="T36" s="35">
        <v>0</v>
      </c>
      <c r="U36" s="35">
        <v>0</v>
      </c>
      <c r="V36" s="35">
        <v>22310.959999999999</v>
      </c>
      <c r="W36" s="35">
        <v>22310.959999999999</v>
      </c>
      <c r="X36" s="35">
        <v>22310.959999999999</v>
      </c>
      <c r="Y36" s="35">
        <v>22310.959999999999</v>
      </c>
      <c r="Z36" s="35">
        <v>22310.959999999999</v>
      </c>
      <c r="AA36" s="35">
        <v>22310.959999999999</v>
      </c>
      <c r="AB36" s="35">
        <v>22310.959999999999</v>
      </c>
    </row>
    <row r="37" spans="1:28" x14ac:dyDescent="0.2">
      <c r="A37" s="37" t="s">
        <v>107</v>
      </c>
      <c r="B37" s="35"/>
      <c r="C37" s="35"/>
      <c r="D37" s="35"/>
      <c r="E37" s="35">
        <v>41531.96</v>
      </c>
      <c r="F37" s="35"/>
      <c r="G37" s="35"/>
      <c r="H37" s="35"/>
      <c r="I37" s="35"/>
      <c r="J37" s="35"/>
      <c r="K37" s="35"/>
      <c r="L37" s="35"/>
      <c r="M37" s="35"/>
      <c r="N37" s="35">
        <v>41531.96</v>
      </c>
      <c r="P37" s="35"/>
      <c r="R37" s="35">
        <v>0</v>
      </c>
      <c r="S37" s="35">
        <v>0</v>
      </c>
      <c r="T37" s="35">
        <v>41531.96</v>
      </c>
      <c r="U37" s="35">
        <v>41531.96</v>
      </c>
      <c r="V37" s="35">
        <v>41531.96</v>
      </c>
      <c r="W37" s="35">
        <v>41531.96</v>
      </c>
      <c r="X37" s="35">
        <v>41531.96</v>
      </c>
      <c r="Y37" s="35">
        <v>41531.96</v>
      </c>
      <c r="Z37" s="35">
        <v>41531.96</v>
      </c>
      <c r="AA37" s="35">
        <v>41531.96</v>
      </c>
      <c r="AB37" s="35">
        <v>41531.96</v>
      </c>
    </row>
    <row r="38" spans="1:28" x14ac:dyDescent="0.2">
      <c r="A38" s="36" t="s">
        <v>106</v>
      </c>
      <c r="B38" s="39">
        <v>2177659.9539999999</v>
      </c>
      <c r="C38" s="39">
        <v>2476658.9210000001</v>
      </c>
      <c r="D38" s="39">
        <v>1993255.1259999999</v>
      </c>
      <c r="E38" s="39">
        <v>2025782.7460000003</v>
      </c>
      <c r="F38" s="39">
        <v>2116971.6859999993</v>
      </c>
      <c r="G38" s="39">
        <v>2019310.2580000004</v>
      </c>
      <c r="H38" s="39">
        <v>2232491.1290000002</v>
      </c>
      <c r="I38" s="39">
        <v>1957759.3070000003</v>
      </c>
      <c r="J38" s="39">
        <v>2021164.6830000004</v>
      </c>
      <c r="K38" s="39">
        <v>1537249.7950000002</v>
      </c>
      <c r="L38" s="39">
        <v>1919892.8629999997</v>
      </c>
      <c r="M38" s="39">
        <v>2534595.4659999995</v>
      </c>
      <c r="N38" s="39">
        <v>25012791.934000004</v>
      </c>
      <c r="P38" s="39">
        <v>2177659.9539999999</v>
      </c>
      <c r="R38" s="39">
        <v>4654318.875</v>
      </c>
      <c r="S38" s="39">
        <v>6647574.0009999983</v>
      </c>
      <c r="T38" s="39">
        <v>8673356.7469999995</v>
      </c>
      <c r="U38" s="39">
        <v>10790328.433</v>
      </c>
      <c r="V38" s="39">
        <v>12809638.690999998</v>
      </c>
      <c r="W38" s="39">
        <v>15042129.819999998</v>
      </c>
      <c r="X38" s="39">
        <v>16999889.127</v>
      </c>
      <c r="Y38" s="39">
        <v>19021053.809999999</v>
      </c>
      <c r="Z38" s="39">
        <v>20558303.605000004</v>
      </c>
      <c r="AA38" s="39">
        <v>22478196.468000006</v>
      </c>
      <c r="AB38" s="39">
        <v>25012791.934000004</v>
      </c>
    </row>
    <row r="39" spans="1:28" x14ac:dyDescent="0.2">
      <c r="R39" s="35">
        <v>0</v>
      </c>
      <c r="S39" s="35">
        <v>0</v>
      </c>
      <c r="T39" s="35">
        <v>0</v>
      </c>
      <c r="U39" s="35">
        <v>0</v>
      </c>
      <c r="V39" s="35">
        <v>0</v>
      </c>
      <c r="W39" s="35">
        <v>0</v>
      </c>
      <c r="X39" s="35">
        <v>0</v>
      </c>
      <c r="Y39" s="35">
        <v>0</v>
      </c>
      <c r="Z39" s="35">
        <v>0</v>
      </c>
      <c r="AA39" s="35">
        <v>0</v>
      </c>
      <c r="AB39" s="35">
        <v>0</v>
      </c>
    </row>
    <row r="40" spans="1:28" x14ac:dyDescent="0.2">
      <c r="A40" s="2" t="s">
        <v>0</v>
      </c>
      <c r="B40" s="35">
        <v>452441.08</v>
      </c>
      <c r="C40" s="35">
        <v>422279.31200000003</v>
      </c>
      <c r="D40" s="35">
        <v>442108.94</v>
      </c>
      <c r="E40" s="35">
        <v>473814.79599999997</v>
      </c>
      <c r="F40" s="35">
        <v>560199.91300000006</v>
      </c>
      <c r="G40" s="35">
        <v>429114.04900000006</v>
      </c>
      <c r="H40" s="35">
        <v>502006.141</v>
      </c>
      <c r="I40" s="35">
        <v>429300.05300000001</v>
      </c>
      <c r="J40" s="35">
        <v>514559.04500000004</v>
      </c>
      <c r="K40" s="35">
        <v>403387.07500000001</v>
      </c>
      <c r="L40" s="35">
        <v>399305.08799999999</v>
      </c>
      <c r="M40" s="35">
        <v>453775.68599999999</v>
      </c>
      <c r="N40" s="35">
        <v>5482291.1780000003</v>
      </c>
      <c r="P40" s="35">
        <v>452441.08</v>
      </c>
      <c r="R40" s="35">
        <v>874720.39199999999</v>
      </c>
      <c r="S40" s="35">
        <v>1316829.3319999999</v>
      </c>
      <c r="T40" s="35">
        <v>1790644.128</v>
      </c>
      <c r="U40" s="35">
        <v>2350844.0410000002</v>
      </c>
      <c r="V40" s="35">
        <v>2779958.0900000003</v>
      </c>
      <c r="W40" s="35">
        <v>3281964.2310000001</v>
      </c>
      <c r="X40" s="35">
        <v>3711264.284</v>
      </c>
      <c r="Y40" s="35">
        <v>4225823.3289999999</v>
      </c>
      <c r="Z40" s="35">
        <v>4629210.4040000001</v>
      </c>
      <c r="AA40" s="35">
        <v>5028515.4920000006</v>
      </c>
      <c r="AB40" s="35">
        <v>5482291.1780000003</v>
      </c>
    </row>
    <row r="41" spans="1:28" x14ac:dyDescent="0.2">
      <c r="A41" s="2" t="s">
        <v>44</v>
      </c>
      <c r="B41" s="35">
        <v>63301.420000000006</v>
      </c>
      <c r="C41" s="35">
        <v>82457.192999999999</v>
      </c>
      <c r="D41" s="35">
        <v>98496.489000000001</v>
      </c>
      <c r="E41" s="35">
        <v>100846.29100000001</v>
      </c>
      <c r="F41" s="35">
        <v>104005.53799999999</v>
      </c>
      <c r="G41" s="35">
        <v>94683.953000000009</v>
      </c>
      <c r="H41" s="35">
        <v>95719.441999999995</v>
      </c>
      <c r="I41" s="35">
        <v>96254.066999999995</v>
      </c>
      <c r="J41" s="35">
        <v>104489.47600000001</v>
      </c>
      <c r="K41" s="35">
        <v>80742.38900000001</v>
      </c>
      <c r="L41" s="35">
        <v>78931.670999999988</v>
      </c>
      <c r="M41" s="35">
        <v>89875.877000000008</v>
      </c>
      <c r="N41" s="35">
        <v>1089803.8060000001</v>
      </c>
      <c r="P41" s="35">
        <v>63301.420000000006</v>
      </c>
      <c r="R41" s="35">
        <v>145758.61300000001</v>
      </c>
      <c r="S41" s="35">
        <v>244255.10200000001</v>
      </c>
      <c r="T41" s="35">
        <v>345101.39300000004</v>
      </c>
      <c r="U41" s="35">
        <v>449106.93100000004</v>
      </c>
      <c r="V41" s="35">
        <v>543790.88400000008</v>
      </c>
      <c r="W41" s="35">
        <v>639510.32600000012</v>
      </c>
      <c r="X41" s="35">
        <v>735764.39300000016</v>
      </c>
      <c r="Y41" s="35">
        <v>840253.86900000018</v>
      </c>
      <c r="Z41" s="35">
        <v>920996.25800000015</v>
      </c>
      <c r="AA41" s="35">
        <v>999927.92900000012</v>
      </c>
      <c r="AB41" s="35">
        <v>1089803.8060000001</v>
      </c>
    </row>
    <row r="42" spans="1:28" x14ac:dyDescent="0.2">
      <c r="A42" s="2" t="s">
        <v>3</v>
      </c>
      <c r="B42" s="35">
        <v>164714.584</v>
      </c>
      <c r="C42" s="35">
        <v>163451.94599999997</v>
      </c>
      <c r="D42" s="35">
        <v>155174.617</v>
      </c>
      <c r="E42" s="35">
        <v>132554.78899999999</v>
      </c>
      <c r="F42" s="35">
        <v>211638.80500000002</v>
      </c>
      <c r="G42" s="35">
        <v>174598.67600000001</v>
      </c>
      <c r="H42" s="35">
        <v>157377.696</v>
      </c>
      <c r="I42" s="35">
        <v>112372.337</v>
      </c>
      <c r="J42" s="35">
        <v>141046.59200000003</v>
      </c>
      <c r="K42" s="35">
        <v>128887.33100000001</v>
      </c>
      <c r="L42" s="35">
        <v>144720.94399999999</v>
      </c>
      <c r="M42" s="35">
        <v>149421.21300000002</v>
      </c>
      <c r="N42" s="35">
        <v>1835959.5299999998</v>
      </c>
      <c r="P42" s="35">
        <v>164714.584</v>
      </c>
      <c r="R42" s="35">
        <v>328166.52999999997</v>
      </c>
      <c r="S42" s="35">
        <v>483341.147</v>
      </c>
      <c r="T42" s="35">
        <v>615895.93599999999</v>
      </c>
      <c r="U42" s="35">
        <v>827534.74100000004</v>
      </c>
      <c r="V42" s="35">
        <v>1002133.417</v>
      </c>
      <c r="W42" s="35">
        <v>1159511.1129999999</v>
      </c>
      <c r="X42" s="35">
        <v>1271883.45</v>
      </c>
      <c r="Y42" s="35">
        <v>1412930.0419999999</v>
      </c>
      <c r="Z42" s="35">
        <v>1541817.3729999999</v>
      </c>
      <c r="AA42" s="35">
        <v>1686538.3169999998</v>
      </c>
      <c r="AB42" s="35">
        <v>1835959.5299999998</v>
      </c>
    </row>
    <row r="43" spans="1:28" x14ac:dyDescent="0.2">
      <c r="B43" s="53">
        <v>680457.08400000003</v>
      </c>
      <c r="C43" s="53">
        <v>668188.451</v>
      </c>
      <c r="D43" s="53">
        <v>695780.04599999997</v>
      </c>
      <c r="E43" s="53">
        <v>707215.87599999993</v>
      </c>
      <c r="F43" s="53">
        <v>875844.25600000005</v>
      </c>
      <c r="G43" s="53">
        <v>698396.67800000007</v>
      </c>
      <c r="H43" s="53">
        <v>755103.27899999998</v>
      </c>
      <c r="I43" s="53">
        <v>637926.45699999994</v>
      </c>
      <c r="J43" s="53">
        <v>760095.11300000013</v>
      </c>
      <c r="K43" s="53">
        <v>613016.79500000004</v>
      </c>
      <c r="L43" s="53">
        <v>622957.70299999998</v>
      </c>
      <c r="M43" s="53">
        <v>693072.77599999995</v>
      </c>
      <c r="N43" s="53">
        <v>8408054.5140000004</v>
      </c>
      <c r="P43" s="53">
        <v>680457.08400000003</v>
      </c>
      <c r="R43" s="53">
        <v>1348645.5349999999</v>
      </c>
      <c r="S43" s="53">
        <v>2044425.5809999998</v>
      </c>
      <c r="T43" s="53">
        <v>2751641.4570000004</v>
      </c>
      <c r="U43" s="53">
        <v>3627485.713</v>
      </c>
      <c r="V43" s="53">
        <v>4325882.3910000008</v>
      </c>
      <c r="W43" s="53">
        <v>5080985.67</v>
      </c>
      <c r="X43" s="53">
        <v>5718912.1270000003</v>
      </c>
      <c r="Y43" s="53">
        <v>6479007.2400000002</v>
      </c>
      <c r="Z43" s="53">
        <v>7092024.0350000001</v>
      </c>
      <c r="AA43" s="53">
        <v>7714981.7380000008</v>
      </c>
      <c r="AB43" s="53">
        <v>8408054.5140000004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BFF8AC-E620-4613-9375-36694B9206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תקציב  </vt:lpstr>
      <vt:lpstr>2025</vt:lpstr>
      <vt:lpstr>ינואר</vt:lpstr>
      <vt:lpstr>פברואר</vt:lpstr>
      <vt:lpstr>מצטבר פברואר</vt:lpstr>
      <vt:lpstr>מרץ</vt:lpstr>
      <vt:lpstr>Q1</vt:lpstr>
      <vt:lpstr>מצטבר יוני</vt:lpstr>
      <vt:lpstr>מצטבר מרץ</vt:lpstr>
      <vt:lpstr>אפריל</vt:lpstr>
      <vt:lpstr>מצטבר אפריל</vt:lpstr>
      <vt:lpstr>מאי</vt:lpstr>
      <vt:lpstr>מצטבר מאי</vt:lpstr>
      <vt:lpstr>יוני</vt:lpstr>
      <vt:lpstr>Q2</vt:lpstr>
      <vt:lpstr>יולי</vt:lpstr>
      <vt:lpstr>מצטבר יולי</vt:lpstr>
      <vt:lpstr>אוגוסט</vt:lpstr>
      <vt:lpstr>מצטבר אוגוסט</vt:lpstr>
      <vt:lpstr>ספטמבר</vt:lpstr>
      <vt:lpstr>מצטבר ספטמבר</vt:lpstr>
      <vt:lpstr>Q3</vt:lpstr>
      <vt:lpstr>אוקטובר</vt:lpstr>
      <vt:lpstr>מצטבר אוקטובר</vt:lpstr>
      <vt:lpstr>נובמבר</vt:lpstr>
      <vt:lpstr>מצטבר נובמבר</vt:lpstr>
      <vt:lpstr>דצמבר</vt:lpstr>
      <vt:lpstr>מצטבר דצמבר</vt:lpstr>
      <vt:lpstr>Q4</vt:lpstr>
      <vt:lpstr>גיליון1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Eyal Sadot</cp:lastModifiedBy>
  <cp:lastPrinted>2024-01-31T11:32:33Z</cp:lastPrinted>
  <dcterms:created xsi:type="dcterms:W3CDTF">2022-03-30T16:49:06Z</dcterms:created>
  <dcterms:modified xsi:type="dcterms:W3CDTF">2026-10-01T07:54:35Z</dcterms:modified>
</cp:coreProperties>
</file>