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סוכנים 2026\מכירות מול יעד\"/>
    </mc:Choice>
  </mc:AlternateContent>
  <xr:revisionPtr revIDLastSave="0" documentId="8_{80773861-317C-4776-BB13-249CB7394FCA}" xr6:coauthVersionLast="47" xr6:coauthVersionMax="47" xr10:uidLastSave="{00000000-0000-0000-0000-000000000000}"/>
  <bookViews>
    <workbookView xWindow="-110" yWindow="-110" windowWidth="19420" windowHeight="10300" activeTab="4" xr2:uid="{46B1B32C-8F9C-4F20-9C48-754B09D20432}"/>
  </bookViews>
  <sheets>
    <sheet name="חאזם" sheetId="4" r:id="rId1"/>
    <sheet name="דודו" sheetId="6" r:id="rId2"/>
    <sheet name="חיים" sheetId="13" r:id="rId3"/>
    <sheet name="סטאס" sheetId="10" r:id="rId4"/>
    <sheet name="סה&quot;כ" sheetId="1" r:id="rId5"/>
    <sheet name="מכירות" sheetId="2" r:id="rId6"/>
    <sheet name="פתוחות" sheetId="3" r:id="rId7"/>
    <sheet name="גיליון2" sheetId="24" r:id="rId8"/>
  </sheets>
  <definedNames>
    <definedName name="_xlnm.Print_Area" localSheetId="4">'סה"כ'!#REF!</definedName>
    <definedName name="_xlnm.Print_Titles" localSheetId="4">'סה"כ'!$A:$B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6" l="1"/>
  <c r="I6" i="6"/>
  <c r="I4" i="6"/>
  <c r="J4" i="6"/>
  <c r="I5" i="6"/>
  <c r="J5" i="6"/>
  <c r="I7" i="6"/>
  <c r="J7" i="6"/>
  <c r="I8" i="6"/>
  <c r="J8" i="6"/>
  <c r="I9" i="6"/>
  <c r="J9" i="6"/>
  <c r="I10" i="6"/>
  <c r="J10" i="6"/>
  <c r="I3" i="6"/>
  <c r="J11" i="10"/>
  <c r="J11" i="13"/>
  <c r="D61" i="24"/>
  <c r="D58" i="24"/>
  <c r="D54" i="24"/>
  <c r="D48" i="24"/>
  <c r="D44" i="24"/>
  <c r="D42" i="24"/>
  <c r="D39" i="24"/>
  <c r="D31" i="24"/>
  <c r="D22" i="24"/>
  <c r="D9" i="24"/>
  <c r="D6" i="24"/>
  <c r="G1" i="4"/>
  <c r="E5" i="2"/>
  <c r="C5" i="2"/>
  <c r="B5" i="2"/>
  <c r="D4" i="2"/>
  <c r="C4" i="2"/>
  <c r="B4" i="2"/>
  <c r="D2" i="2"/>
  <c r="C2" i="2"/>
  <c r="B2" i="2"/>
  <c r="C8" i="4"/>
  <c r="D62" i="24" l="1"/>
  <c r="I8" i="10" l="1"/>
  <c r="I9" i="10"/>
  <c r="I10" i="10"/>
  <c r="I7" i="10"/>
  <c r="I4" i="10"/>
  <c r="I5" i="10"/>
  <c r="I3" i="10"/>
  <c r="I4" i="13"/>
  <c r="I5" i="13"/>
  <c r="I7" i="13"/>
  <c r="I8" i="13"/>
  <c r="I9" i="13"/>
  <c r="I10" i="13"/>
  <c r="I11" i="13"/>
  <c r="I3" i="13"/>
  <c r="I8" i="4"/>
  <c r="I9" i="4"/>
  <c r="I10" i="4"/>
  <c r="I7" i="4"/>
  <c r="I4" i="4"/>
  <c r="I5" i="4"/>
  <c r="I3" i="4"/>
  <c r="C6" i="6"/>
  <c r="I12" i="13" l="1"/>
  <c r="I6" i="10"/>
  <c r="I6" i="13"/>
  <c r="I6" i="4"/>
  <c r="C23" i="1"/>
  <c r="C24" i="1"/>
  <c r="C25" i="1"/>
  <c r="C22" i="1"/>
  <c r="C20" i="1"/>
  <c r="C21" i="1"/>
  <c r="I13" i="13" l="1"/>
  <c r="E9" i="10"/>
  <c r="E9" i="13"/>
  <c r="E9" i="4"/>
  <c r="E9" i="6"/>
  <c r="C12" i="10" l="1"/>
  <c r="I11" i="10" l="1"/>
  <c r="I12" i="10" s="1"/>
  <c r="I13" i="10" s="1"/>
  <c r="I11" i="4"/>
  <c r="I12" i="4" s="1"/>
  <c r="I13" i="4" s="1"/>
  <c r="D3" i="10" l="1"/>
  <c r="D8" i="10"/>
  <c r="J8" i="10" s="1"/>
  <c r="D9" i="10"/>
  <c r="J9" i="10" s="1"/>
  <c r="D10" i="10"/>
  <c r="J10" i="10" s="1"/>
  <c r="D7" i="10"/>
  <c r="J7" i="10" s="1"/>
  <c r="D4" i="10"/>
  <c r="D5" i="10"/>
  <c r="J5" i="10" s="1"/>
  <c r="D8" i="13"/>
  <c r="J8" i="13" s="1"/>
  <c r="D9" i="13"/>
  <c r="J9" i="13" s="1"/>
  <c r="D10" i="13"/>
  <c r="J10" i="13" s="1"/>
  <c r="D7" i="13"/>
  <c r="J7" i="13" s="1"/>
  <c r="J12" i="13" s="1"/>
  <c r="D4" i="13"/>
  <c r="D5" i="13"/>
  <c r="J5" i="13" s="1"/>
  <c r="D3" i="13"/>
  <c r="D3" i="6"/>
  <c r="J3" i="6" s="1"/>
  <c r="D8" i="6"/>
  <c r="D9" i="6"/>
  <c r="D10" i="6"/>
  <c r="D17" i="1" s="1"/>
  <c r="D7" i="6"/>
  <c r="D4" i="6"/>
  <c r="D5" i="6"/>
  <c r="D3" i="4"/>
  <c r="D10" i="4"/>
  <c r="D9" i="4"/>
  <c r="D8" i="4"/>
  <c r="D7" i="4"/>
  <c r="J7" i="4" s="1"/>
  <c r="D4" i="4"/>
  <c r="D5" i="4"/>
  <c r="C32" i="1"/>
  <c r="C30" i="1"/>
  <c r="C29" i="1"/>
  <c r="C28" i="1"/>
  <c r="C27" i="1"/>
  <c r="C19" i="1"/>
  <c r="C16" i="1"/>
  <c r="C13" i="1"/>
  <c r="C12" i="1"/>
  <c r="C6" i="1"/>
  <c r="C5" i="1"/>
  <c r="C3" i="1"/>
  <c r="J12" i="10" l="1"/>
  <c r="D9" i="1"/>
  <c r="J10" i="4"/>
  <c r="D4" i="1"/>
  <c r="D7" i="1"/>
  <c r="J8" i="4"/>
  <c r="D8" i="1"/>
  <c r="J9" i="4"/>
  <c r="D5" i="1"/>
  <c r="J5" i="4"/>
  <c r="D6" i="13"/>
  <c r="D6" i="4"/>
  <c r="D3" i="1"/>
  <c r="D6" i="1"/>
  <c r="D12" i="13"/>
  <c r="D12" i="10"/>
  <c r="D6" i="10"/>
  <c r="C37" i="1"/>
  <c r="C4" i="1"/>
  <c r="C36" i="1" s="1"/>
  <c r="E4" i="13" l="1"/>
  <c r="E3" i="13"/>
  <c r="D25" i="1"/>
  <c r="D24" i="1"/>
  <c r="D23" i="1"/>
  <c r="D22" i="1"/>
  <c r="D21" i="1"/>
  <c r="D20" i="1"/>
  <c r="D19" i="1"/>
  <c r="C33" i="1"/>
  <c r="E19" i="1" l="1"/>
  <c r="J3" i="13"/>
  <c r="E20" i="1"/>
  <c r="J4" i="13"/>
  <c r="D26" i="1"/>
  <c r="E12" i="13"/>
  <c r="C12" i="13"/>
  <c r="F10" i="13"/>
  <c r="F9" i="13"/>
  <c r="F7" i="13"/>
  <c r="C6" i="13"/>
  <c r="G1" i="13"/>
  <c r="J6" i="13" l="1"/>
  <c r="J13" i="13" s="1"/>
  <c r="G11" i="13"/>
  <c r="H11" i="13" s="1"/>
  <c r="F11" i="13"/>
  <c r="F4" i="13"/>
  <c r="C13" i="13"/>
  <c r="E6" i="13"/>
  <c r="F6" i="13" s="1"/>
  <c r="G4" i="13"/>
  <c r="H4" i="13" s="1"/>
  <c r="G9" i="13"/>
  <c r="H9" i="13" s="1"/>
  <c r="F3" i="13"/>
  <c r="G7" i="13"/>
  <c r="H7" i="13" s="1"/>
  <c r="G3" i="13"/>
  <c r="H3" i="13" s="1"/>
  <c r="F21" i="1"/>
  <c r="F22" i="1"/>
  <c r="F23" i="1"/>
  <c r="F24" i="1"/>
  <c r="F25" i="1"/>
  <c r="F5" i="13"/>
  <c r="F8" i="13"/>
  <c r="F12" i="13"/>
  <c r="G5" i="13"/>
  <c r="H5" i="13" s="1"/>
  <c r="G8" i="13"/>
  <c r="H8" i="13" s="1"/>
  <c r="G10" i="13"/>
  <c r="H10" i="13" s="1"/>
  <c r="C9" i="1"/>
  <c r="D13" i="13" l="1"/>
  <c r="E13" i="13"/>
  <c r="G12" i="13"/>
  <c r="H12" i="13" s="1"/>
  <c r="G6" i="13"/>
  <c r="F13" i="13" l="1"/>
  <c r="H6" i="13"/>
  <c r="G13" i="13"/>
  <c r="H13" i="13" s="1"/>
  <c r="C31" i="1"/>
  <c r="E4" i="10" l="1"/>
  <c r="E3" i="10"/>
  <c r="F9" i="10"/>
  <c r="D28" i="1"/>
  <c r="E37" i="1"/>
  <c r="E38" i="1"/>
  <c r="E39" i="1"/>
  <c r="E40" i="1"/>
  <c r="E41" i="1"/>
  <c r="G1" i="1"/>
  <c r="G1" i="10"/>
  <c r="G1" i="6"/>
  <c r="C12" i="4"/>
  <c r="E12" i="10"/>
  <c r="F11" i="10"/>
  <c r="C6" i="10"/>
  <c r="C15" i="1"/>
  <c r="C17" i="1"/>
  <c r="C41" i="1" s="1"/>
  <c r="C7" i="1"/>
  <c r="C8" i="1"/>
  <c r="C40" i="1" s="1"/>
  <c r="D16" i="1"/>
  <c r="D11" i="6"/>
  <c r="F11" i="6" s="1"/>
  <c r="F9" i="4"/>
  <c r="D11" i="4"/>
  <c r="E27" i="1" l="1"/>
  <c r="J3" i="10"/>
  <c r="J6" i="10" s="1"/>
  <c r="J13" i="10" s="1"/>
  <c r="E28" i="1"/>
  <c r="J4" i="10"/>
  <c r="D12" i="4"/>
  <c r="D13" i="4" s="1"/>
  <c r="J11" i="4"/>
  <c r="J12" i="4" s="1"/>
  <c r="C39" i="1"/>
  <c r="H39" i="1" s="1"/>
  <c r="H41" i="1"/>
  <c r="F10" i="4"/>
  <c r="G23" i="1"/>
  <c r="G22" i="1"/>
  <c r="G24" i="1"/>
  <c r="G21" i="1"/>
  <c r="G25" i="1"/>
  <c r="F10" i="10"/>
  <c r="F10" i="6"/>
  <c r="F8" i="10"/>
  <c r="F8" i="6"/>
  <c r="F8" i="4"/>
  <c r="H40" i="1"/>
  <c r="F12" i="10"/>
  <c r="F17" i="1"/>
  <c r="D15" i="1"/>
  <c r="F15" i="1" s="1"/>
  <c r="G5" i="10"/>
  <c r="H5" i="10" s="1"/>
  <c r="F4" i="10"/>
  <c r="F28" i="1"/>
  <c r="G28" i="1"/>
  <c r="F3" i="10"/>
  <c r="G8" i="10"/>
  <c r="H8" i="10" s="1"/>
  <c r="D33" i="1"/>
  <c r="D29" i="1"/>
  <c r="G29" i="1" s="1"/>
  <c r="D27" i="1"/>
  <c r="G10" i="10"/>
  <c r="H10" i="10" s="1"/>
  <c r="D32" i="1"/>
  <c r="G11" i="10"/>
  <c r="H11" i="10" s="1"/>
  <c r="D31" i="1"/>
  <c r="D30" i="1"/>
  <c r="C13" i="10"/>
  <c r="G9" i="10"/>
  <c r="H9" i="10" s="1"/>
  <c r="G3" i="10"/>
  <c r="H3" i="10" s="1"/>
  <c r="G4" i="10"/>
  <c r="H4" i="10" s="1"/>
  <c r="E6" i="10"/>
  <c r="E13" i="10" s="1"/>
  <c r="F5" i="10"/>
  <c r="G7" i="10"/>
  <c r="F7" i="10"/>
  <c r="F9" i="6"/>
  <c r="F9" i="1" l="1"/>
  <c r="D41" i="1"/>
  <c r="D40" i="1"/>
  <c r="I40" i="1" s="1"/>
  <c r="D39" i="1"/>
  <c r="D13" i="10"/>
  <c r="F13" i="10" s="1"/>
  <c r="G15" i="1"/>
  <c r="F29" i="1"/>
  <c r="G17" i="1"/>
  <c r="G9" i="1"/>
  <c r="F7" i="1"/>
  <c r="G7" i="1"/>
  <c r="G6" i="10"/>
  <c r="H6" i="10" s="1"/>
  <c r="G32" i="1"/>
  <c r="F32" i="1"/>
  <c r="F30" i="1"/>
  <c r="G30" i="1"/>
  <c r="G31" i="1"/>
  <c r="F31" i="1"/>
  <c r="F33" i="1"/>
  <c r="G33" i="1"/>
  <c r="F6" i="10"/>
  <c r="H7" i="10"/>
  <c r="G12" i="10"/>
  <c r="F39" i="1" l="1"/>
  <c r="I39" i="1"/>
  <c r="F41" i="1"/>
  <c r="I41" i="1"/>
  <c r="G41" i="1"/>
  <c r="G39" i="1"/>
  <c r="H12" i="10"/>
  <c r="G13" i="10"/>
  <c r="H13" i="10" s="1"/>
  <c r="G10" i="4" l="1"/>
  <c r="H10" i="4" s="1"/>
  <c r="G8" i="4"/>
  <c r="H8" i="4" s="1"/>
  <c r="G11" i="4"/>
  <c r="G9" i="4"/>
  <c r="H9" i="4" s="1"/>
  <c r="G8" i="6"/>
  <c r="H8" i="6" s="1"/>
  <c r="G11" i="6"/>
  <c r="G9" i="6"/>
  <c r="H9" i="6" s="1"/>
  <c r="G10" i="6"/>
  <c r="H10" i="6" s="1"/>
  <c r="E4" i="6" l="1"/>
  <c r="E3" i="6"/>
  <c r="E4" i="4"/>
  <c r="J4" i="4" s="1"/>
  <c r="E3" i="4"/>
  <c r="J3" i="4" s="1"/>
  <c r="J6" i="4" s="1"/>
  <c r="J13" i="4" s="1"/>
  <c r="E6" i="4" l="1"/>
  <c r="I11" i="6" l="1"/>
  <c r="J11" i="6" s="1"/>
  <c r="J12" i="6" l="1"/>
  <c r="D14" i="1"/>
  <c r="E4" i="1"/>
  <c r="E3" i="1"/>
  <c r="E12" i="1"/>
  <c r="C14" i="1"/>
  <c r="C38" i="1" s="1"/>
  <c r="C11" i="1"/>
  <c r="C35" i="1" s="1"/>
  <c r="H37" i="1"/>
  <c r="E11" i="1"/>
  <c r="E35" i="1" l="1"/>
  <c r="E36" i="1"/>
  <c r="H38" i="1"/>
  <c r="H36" i="1"/>
  <c r="I12" i="6"/>
  <c r="I13" i="6" s="1"/>
  <c r="D38" i="1"/>
  <c r="I38" i="1" s="1"/>
  <c r="J13" i="6"/>
  <c r="C12" i="6"/>
  <c r="E12" i="4"/>
  <c r="E12" i="6"/>
  <c r="C6" i="4"/>
  <c r="C42" i="1" l="1"/>
  <c r="H35" i="1"/>
  <c r="E42" i="1"/>
  <c r="G14" i="1"/>
  <c r="F14" i="1"/>
  <c r="F7" i="4"/>
  <c r="E6" i="6"/>
  <c r="E13" i="6" s="1"/>
  <c r="E26" i="1" s="1"/>
  <c r="F11" i="4"/>
  <c r="D12" i="6"/>
  <c r="F7" i="6"/>
  <c r="F12" i="4"/>
  <c r="E18" i="1"/>
  <c r="C13" i="6"/>
  <c r="C13" i="4"/>
  <c r="E10" i="1"/>
  <c r="E13" i="4"/>
  <c r="D13" i="1"/>
  <c r="D12" i="1"/>
  <c r="D11" i="1"/>
  <c r="G4" i="6"/>
  <c r="H4" i="6" s="1"/>
  <c r="G7" i="4"/>
  <c r="C18" i="1"/>
  <c r="C10" i="1"/>
  <c r="H42" i="1" l="1"/>
  <c r="C26" i="1"/>
  <c r="D36" i="1"/>
  <c r="D37" i="1"/>
  <c r="D35" i="1"/>
  <c r="F12" i="6"/>
  <c r="G12" i="1"/>
  <c r="F12" i="1"/>
  <c r="F8" i="1"/>
  <c r="F40" i="1"/>
  <c r="G8" i="1"/>
  <c r="G16" i="1"/>
  <c r="F16" i="1"/>
  <c r="F4" i="1"/>
  <c r="G4" i="1"/>
  <c r="G13" i="1"/>
  <c r="F13" i="1"/>
  <c r="G5" i="1"/>
  <c r="F5" i="1"/>
  <c r="F38" i="1"/>
  <c r="G6" i="1"/>
  <c r="G38" i="1" s="1"/>
  <c r="F6" i="1"/>
  <c r="C34" i="1"/>
  <c r="E34" i="1"/>
  <c r="F4" i="6"/>
  <c r="D6" i="6"/>
  <c r="D13" i="6" s="1"/>
  <c r="G3" i="1"/>
  <c r="D10" i="1"/>
  <c r="F3" i="1"/>
  <c r="H7" i="4"/>
  <c r="G4" i="4"/>
  <c r="H4" i="4" s="1"/>
  <c r="H11" i="4"/>
  <c r="F3" i="4"/>
  <c r="G5" i="4"/>
  <c r="H5" i="4" s="1"/>
  <c r="F5" i="4"/>
  <c r="G3" i="4"/>
  <c r="F4" i="4"/>
  <c r="G5" i="6"/>
  <c r="H5" i="6" s="1"/>
  <c r="F5" i="6"/>
  <c r="G3" i="6"/>
  <c r="F3" i="6"/>
  <c r="G7" i="6"/>
  <c r="H11" i="6"/>
  <c r="F35" i="1" l="1"/>
  <c r="I35" i="1"/>
  <c r="F37" i="1"/>
  <c r="I37" i="1"/>
  <c r="F36" i="1"/>
  <c r="I36" i="1"/>
  <c r="F10" i="1"/>
  <c r="G37" i="1"/>
  <c r="G20" i="1"/>
  <c r="F20" i="1"/>
  <c r="G19" i="1"/>
  <c r="F19" i="1"/>
  <c r="G36" i="1"/>
  <c r="D42" i="1"/>
  <c r="G40" i="1"/>
  <c r="F13" i="6"/>
  <c r="G6" i="4"/>
  <c r="F6" i="6"/>
  <c r="G10" i="1"/>
  <c r="D18" i="1"/>
  <c r="G11" i="1"/>
  <c r="G18" i="1" s="1"/>
  <c r="F11" i="1"/>
  <c r="H7" i="6"/>
  <c r="G12" i="6"/>
  <c r="H12" i="6" s="1"/>
  <c r="G6" i="6"/>
  <c r="G12" i="4"/>
  <c r="H12" i="4" s="1"/>
  <c r="F6" i="4"/>
  <c r="H3" i="4"/>
  <c r="H3" i="6"/>
  <c r="I42" i="1" l="1"/>
  <c r="F18" i="1"/>
  <c r="F26" i="1"/>
  <c r="G26" i="1"/>
  <c r="F42" i="1"/>
  <c r="F13" i="4"/>
  <c r="G13" i="6"/>
  <c r="G27" i="1"/>
  <c r="G34" i="1" s="1"/>
  <c r="F27" i="1"/>
  <c r="D34" i="1"/>
  <c r="F34" i="1" s="1"/>
  <c r="G13" i="4"/>
  <c r="H6" i="6"/>
  <c r="H6" i="4"/>
  <c r="G35" i="1" l="1"/>
  <c r="G42" i="1" s="1"/>
  <c r="H13" i="4"/>
  <c r="H13" i="6"/>
</calcChain>
</file>

<file path=xl/sharedStrings.xml><?xml version="1.0" encoding="utf-8"?>
<sst xmlns="http://schemas.openxmlformats.org/spreadsheetml/2006/main" count="364" uniqueCount="90">
  <si>
    <t>סוכן</t>
  </si>
  <si>
    <t>יעד</t>
  </si>
  <si>
    <t>מכירות</t>
  </si>
  <si>
    <t>פתוחות</t>
  </si>
  <si>
    <t>אחוז ביצוע</t>
  </si>
  <si>
    <t>אומדן</t>
  </si>
  <si>
    <t>בתי מרקחת פרטיים</t>
  </si>
  <si>
    <t>BE</t>
  </si>
  <si>
    <t>סופרפארם</t>
  </si>
  <si>
    <t>מאוחדת</t>
  </si>
  <si>
    <t>סה"כ</t>
  </si>
  <si>
    <t>אילן</t>
  </si>
  <si>
    <t>דודו</t>
  </si>
  <si>
    <t xml:space="preserve"> </t>
  </si>
  <si>
    <t>בתי מרקחת</t>
  </si>
  <si>
    <t>BE סה"כ</t>
  </si>
  <si>
    <t>בתי מרקחת סה"כ</t>
  </si>
  <si>
    <t>סכום כולל</t>
  </si>
  <si>
    <t>אחוז אומדן</t>
  </si>
  <si>
    <t>סה"כ כללי</t>
  </si>
  <si>
    <t>מכוני אורטופדיה</t>
  </si>
  <si>
    <t>חנויות פרטיות</t>
  </si>
  <si>
    <t>חנויות ספורט</t>
  </si>
  <si>
    <t>סקטור</t>
  </si>
  <si>
    <t>מכונים אורטופדיה</t>
  </si>
  <si>
    <t>מכוני פיזוטרפיה</t>
  </si>
  <si>
    <t>בימ"ק פיננסית</t>
  </si>
  <si>
    <t>סטאס</t>
  </si>
  <si>
    <t>יעד בניכוי עמלת כמיפל</t>
  </si>
  <si>
    <t>חיים</t>
  </si>
  <si>
    <t>אורלי</t>
  </si>
  <si>
    <t>יעד יומי</t>
  </si>
  <si>
    <t>מאוחדת סה"כ</t>
  </si>
  <si>
    <t>לקוח</t>
  </si>
  <si>
    <t>דוד</t>
  </si>
  <si>
    <t>Chemipal</t>
  </si>
  <si>
    <t>עוזיאל י-ם ב.מ</t>
  </si>
  <si>
    <t>651 דרורים BE</t>
  </si>
  <si>
    <t>679 כרכור מדיקל BE</t>
  </si>
  <si>
    <t>5210 (מאוחדת ראשל""צ )פיקא</t>
  </si>
  <si>
    <t>7401  מאוחדת אום אל פחם</t>
  </si>
  <si>
    <t>59 מאוחדת רחובות הרצל</t>
  </si>
  <si>
    <t>צפון</t>
  </si>
  <si>
    <t>שבעת הכוכבים אילת BE</t>
  </si>
  <si>
    <t>697 ירכא BE</t>
  </si>
  <si>
    <t>681  פארם שוהם BE</t>
  </si>
  <si>
    <t>145 נתיבות BE</t>
  </si>
  <si>
    <t>7319  מאוחדת  פ.זאב</t>
  </si>
  <si>
    <t>7114  מאוחדת קרית ספר מודיעין</t>
  </si>
  <si>
    <t>54   (מאוחדת  פסגת זאב 2 )נדבה</t>
  </si>
  <si>
    <t>מכירות בניכוי עמלת כמיפל</t>
  </si>
  <si>
    <t>חאזם</t>
  </si>
  <si>
    <t>חידאר פארם ב.מ</t>
  </si>
  <si>
    <t>המרכז אעבלין ב.מ</t>
  </si>
  <si>
    <t>בלסם פארם טמרה ב.מ</t>
  </si>
  <si>
    <t>סופר מדיקה ב.מ קרית ים</t>
  </si>
  <si>
    <t>שרה ב.מ נושק לבקה אל גרביה</t>
  </si>
  <si>
    <t>ארתור טבעי בע""מ ר.בית שמש ב.מ</t>
  </si>
  <si>
    <t>נרקיס פארם חדרה</t>
  </si>
  <si>
    <t>אלבלד פארם ב.מ טמרה</t>
  </si>
  <si>
    <t>ד""ר קיי פארם חדרה</t>
  </si>
  <si>
    <t>מזור י-ם ב.מ</t>
  </si>
  <si>
    <t>הר נוף י-ם ב.מ שרמפארם</t>
  </si>
  <si>
    <t>יהודה הלוי ת""א ב.מ שרםפארם</t>
  </si>
  <si>
    <t>071 שופרסל ד.נשר תל חנן</t>
  </si>
  <si>
    <t>675 שרונים BE</t>
  </si>
  <si>
    <t>670 איכילוב BE</t>
  </si>
  <si>
    <t>643 פ""ת סירקין BE</t>
  </si>
  <si>
    <t>650 חיפה BE</t>
  </si>
  <si>
    <t>676   יקנעם BE</t>
  </si>
  <si>
    <t>482 נווה דורון רמלה BE</t>
  </si>
  <si>
    <t>712  עין הים חדרה BE</t>
  </si>
  <si>
    <t>518 כפר קרע BE</t>
  </si>
  <si>
    <t>7311 קופ""ח מאוחדת הר חומה</t>
  </si>
  <si>
    <t>7123 מאוחדת כפר סבא</t>
  </si>
  <si>
    <t>4410 מאוחדת נתניה</t>
  </si>
  <si>
    <t>5310 מאוחדת רחובות</t>
  </si>
  <si>
    <t>5510 מאוחדת רמת-גן</t>
  </si>
  <si>
    <t>5910 מאוחדת תל-אביב</t>
  </si>
  <si>
    <t>מאוחדת בית""ר עילית 5102 מחסן</t>
  </si>
  <si>
    <t>מאוחדת אגן האיילות 7302גבעת זא</t>
  </si>
  <si>
    <t>מאוחדת גבעת מרדכי 7334 ירושלים</t>
  </si>
  <si>
    <t>156 מאוחדת נס ציונה</t>
  </si>
  <si>
    <t>7339 מאוחדת נופי סלע</t>
  </si>
  <si>
    <t>7351 מאוחדת פארם רוממה תובל</t>
  </si>
  <si>
    <t>7130 מאוחדת פארם רוטשילד פ""ת</t>
  </si>
  <si>
    <t>7536 מאוחדת פארם רא""ם רחובות</t>
  </si>
  <si>
    <t>7426 מאוחדת פארם ויוה חדרה</t>
  </si>
  <si>
    <t>הפרש ליעד יומי</t>
  </si>
  <si>
    <t>הפרש יעד יומי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</si>
</sst>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₪&quot;\ #,##0;[Red]&quot;₪&quot;\ \-#,##0"/>
    <numFmt numFmtId="8" formatCode="&quot;₪&quot;\ #,##0.00;[Red]&quot;₪&quot;\ \-#,##0.00"/>
    <numFmt numFmtId="43" formatCode="_ * #,##0.00_ ;_ * \-#,##0.00_ ;_ * &quot;-&quot;??_ ;_ @_ "/>
    <numFmt numFmtId="164" formatCode="_ * #,##0_ ;_ * \-#,##0_ ;_ * &quot;-&quot;??_ ;_ @_ "/>
    <numFmt numFmtId="165" formatCode="&quot;₪&quot;#,##0_);\(&quot;₪&quot;#,##0\)"/>
  </numFmts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indexed="8"/>
      <name val="Arial"/>
      <family val="2"/>
    </font>
    <font>
      <sz val="11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1" applyNumberFormat="1" applyFont="1"/>
    <xf numFmtId="0" fontId="0" fillId="2" borderId="0" xfId="0" applyFill="1"/>
    <xf numFmtId="8" fontId="0" fillId="0" borderId="0" xfId="0" applyNumberFormat="1"/>
    <xf numFmtId="0" fontId="2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9" fontId="3" fillId="0" borderId="1" xfId="2" applyFont="1" applyBorder="1"/>
    <xf numFmtId="0" fontId="3" fillId="0" borderId="0" xfId="0" applyFont="1"/>
    <xf numFmtId="0" fontId="3" fillId="3" borderId="1" xfId="0" applyFont="1" applyFill="1" applyBorder="1"/>
    <xf numFmtId="0" fontId="3" fillId="4" borderId="1" xfId="0" applyFont="1" applyFill="1" applyBorder="1"/>
    <xf numFmtId="164" fontId="3" fillId="4" borderId="1" xfId="1" applyNumberFormat="1" applyFont="1" applyFill="1" applyBorder="1"/>
    <xf numFmtId="9" fontId="3" fillId="4" borderId="1" xfId="2" applyFont="1" applyFill="1" applyBorder="1"/>
    <xf numFmtId="164" fontId="3" fillId="0" borderId="0" xfId="1" applyNumberFormat="1" applyFont="1"/>
    <xf numFmtId="0" fontId="3" fillId="0" borderId="1" xfId="0" applyFont="1" applyBorder="1" applyAlignment="1">
      <alignment wrapText="1"/>
    </xf>
    <xf numFmtId="164" fontId="3" fillId="0" borderId="0" xfId="0" applyNumberFormat="1" applyFont="1"/>
    <xf numFmtId="6" fontId="0" fillId="0" borderId="0" xfId="0" applyNumberFormat="1"/>
    <xf numFmtId="164" fontId="0" fillId="0" borderId="0" xfId="1" applyNumberFormat="1" applyFont="1" applyBorder="1"/>
    <xf numFmtId="0" fontId="3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164" fontId="3" fillId="0" borderId="1" xfId="1" applyNumberFormat="1" applyFont="1" applyBorder="1" applyAlignment="1"/>
    <xf numFmtId="9" fontId="3" fillId="0" borderId="1" xfId="2" applyFont="1" applyBorder="1" applyAlignment="1"/>
    <xf numFmtId="164" fontId="3" fillId="0" borderId="1" xfId="0" applyNumberFormat="1" applyFont="1" applyBorder="1"/>
    <xf numFmtId="164" fontId="0" fillId="0" borderId="1" xfId="1" applyNumberFormat="1" applyFont="1" applyBorder="1" applyAlignment="1"/>
    <xf numFmtId="164" fontId="3" fillId="3" borderId="1" xfId="1" applyNumberFormat="1" applyFont="1" applyFill="1" applyBorder="1" applyAlignment="1"/>
    <xf numFmtId="9" fontId="3" fillId="3" borderId="1" xfId="2" applyFont="1" applyFill="1" applyBorder="1" applyAlignment="1"/>
    <xf numFmtId="164" fontId="3" fillId="3" borderId="1" xfId="0" applyNumberFormat="1" applyFont="1" applyFill="1" applyBorder="1"/>
    <xf numFmtId="164" fontId="3" fillId="0" borderId="1" xfId="1" applyNumberFormat="1" applyFont="1" applyFill="1" applyBorder="1" applyAlignment="1"/>
    <xf numFmtId="9" fontId="0" fillId="0" borderId="0" xfId="2" applyFont="1" applyBorder="1"/>
    <xf numFmtId="164" fontId="0" fillId="2" borderId="0" xfId="1" applyNumberFormat="1" applyFont="1" applyFill="1" applyBorder="1"/>
    <xf numFmtId="9" fontId="0" fillId="2" borderId="0" xfId="2" applyFont="1" applyFill="1" applyBorder="1"/>
    <xf numFmtId="164" fontId="0" fillId="2" borderId="0" xfId="0" applyNumberFormat="1" applyFill="1"/>
    <xf numFmtId="9" fontId="0" fillId="0" borderId="0" xfId="2" applyFont="1" applyFill="1"/>
    <xf numFmtId="9" fontId="0" fillId="0" borderId="0" xfId="2" applyFont="1" applyAlignment="1">
      <alignment horizontal="right" wrapText="1"/>
    </xf>
    <xf numFmtId="164" fontId="0" fillId="0" borderId="0" xfId="2" applyNumberFormat="1" applyFont="1"/>
    <xf numFmtId="164" fontId="6" fillId="0" borderId="0" xfId="0" applyNumberFormat="1" applyFont="1" applyAlignment="1">
      <alignment horizontal="right" vertical="center"/>
    </xf>
    <xf numFmtId="43" fontId="0" fillId="0" borderId="0" xfId="0" applyNumberFormat="1"/>
    <xf numFmtId="165" fontId="7" fillId="0" borderId="0" xfId="0" applyNumberFormat="1" applyFont="1" applyAlignment="1">
      <alignment horizontal="right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/>
    </xf>
    <xf numFmtId="43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82A6-EF6E-4291-BE53-9C912A3FDBA5}">
  <sheetPr>
    <pageSetUpPr fitToPage="1"/>
  </sheetPr>
  <dimension ref="A1:M16"/>
  <sheetViews>
    <sheetView rightToLeft="1" topLeftCell="A4" workbookViewId="0">
      <selection activeCell="J3" sqref="J3"/>
    </sheetView>
  </sheetViews>
  <sheetFormatPr defaultColWidth="9" defaultRowHeight="15.5" x14ac:dyDescent="0.35"/>
  <cols>
    <col min="1" max="1" width="9" style="8"/>
    <col min="2" max="2" width="18.58203125" style="8" customWidth="1"/>
    <col min="3" max="3" width="10.83203125" style="13" bestFit="1" customWidth="1"/>
    <col min="4" max="4" width="11.83203125" style="8" bestFit="1" customWidth="1"/>
    <col min="5" max="5" width="9.83203125" style="8" bestFit="1" customWidth="1"/>
    <col min="6" max="6" width="9" style="8"/>
    <col min="7" max="7" width="10.83203125" style="8" bestFit="1" customWidth="1"/>
    <col min="8" max="8" width="9" style="8"/>
    <col min="9" max="9" width="11.83203125" style="8" hidden="1" customWidth="1"/>
    <col min="10" max="10" width="12.08203125" style="8" customWidth="1"/>
    <col min="13" max="13" width="10.83203125" style="8" bestFit="1" customWidth="1"/>
    <col min="14" max="16384" width="9" style="8"/>
  </cols>
  <sheetData>
    <row r="1" spans="1:13" x14ac:dyDescent="0.35">
      <c r="A1" s="5"/>
      <c r="B1" s="5"/>
      <c r="C1" s="6"/>
      <c r="D1" s="5"/>
      <c r="E1" s="5"/>
      <c r="F1" s="5"/>
      <c r="G1" s="7">
        <f>10/22</f>
        <v>0.45454545454545453</v>
      </c>
      <c r="H1" s="5">
        <v>12</v>
      </c>
      <c r="I1" s="5"/>
      <c r="J1" s="7"/>
    </row>
    <row r="2" spans="1:13" x14ac:dyDescent="0.35">
      <c r="A2" s="5" t="s">
        <v>0</v>
      </c>
      <c r="B2" s="5" t="s">
        <v>0</v>
      </c>
      <c r="C2" s="6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18</v>
      </c>
      <c r="I2" s="5" t="s">
        <v>31</v>
      </c>
      <c r="J2" s="5" t="s">
        <v>89</v>
      </c>
      <c r="M2" s="3"/>
    </row>
    <row r="3" spans="1:13" ht="31.5" customHeight="1" x14ac:dyDescent="0.35">
      <c r="A3" s="39" t="s">
        <v>51</v>
      </c>
      <c r="B3" s="5" t="s">
        <v>6</v>
      </c>
      <c r="C3" s="20">
        <v>109000</v>
      </c>
      <c r="D3" s="20">
        <f>מכירות!C2+מכירות!C11</f>
        <v>20013.099999999999</v>
      </c>
      <c r="E3" s="20">
        <f>פתוחות!D2</f>
        <v>4595</v>
      </c>
      <c r="F3" s="21">
        <f t="shared" ref="F3:F13" si="0">(E3+D3)/C3</f>
        <v>0.22576238532110091</v>
      </c>
      <c r="G3" s="20">
        <f>(E3+D3)/$G$1</f>
        <v>54137.82</v>
      </c>
      <c r="H3" s="21">
        <f t="shared" ref="H3:H13" si="1">G3/C3</f>
        <v>0.49667724770642202</v>
      </c>
      <c r="I3" s="20">
        <f>C3/22</f>
        <v>4954.545454545455</v>
      </c>
      <c r="J3" s="20">
        <f>(D3-E3)/$H$1</f>
        <v>1284.8416666666665</v>
      </c>
      <c r="M3" s="3"/>
    </row>
    <row r="4" spans="1:13" ht="31.5" customHeight="1" x14ac:dyDescent="0.35">
      <c r="A4" s="39"/>
      <c r="B4" s="5" t="s">
        <v>7</v>
      </c>
      <c r="C4" s="20">
        <v>25070</v>
      </c>
      <c r="D4" s="20">
        <f>מכירות!C3</f>
        <v>9809.2000000000007</v>
      </c>
      <c r="E4" s="20">
        <f>פתוחות!D3</f>
        <v>646</v>
      </c>
      <c r="F4" s="21">
        <f t="shared" si="0"/>
        <v>0.41704028719585162</v>
      </c>
      <c r="G4" s="20">
        <f>(E4+D4)/$G$1</f>
        <v>23001.440000000002</v>
      </c>
      <c r="H4" s="21">
        <f t="shared" si="1"/>
        <v>0.9174886318308737</v>
      </c>
      <c r="I4" s="20">
        <f>C4/22</f>
        <v>1139.5454545454545</v>
      </c>
      <c r="J4" s="20">
        <f t="shared" ref="J4:J13" si="2">(D4-E4)/$H$1</f>
        <v>763.6</v>
      </c>
      <c r="M4" s="3"/>
    </row>
    <row r="5" spans="1:13" ht="31.5" customHeight="1" x14ac:dyDescent="0.35">
      <c r="A5" s="39"/>
      <c r="B5" s="5" t="s">
        <v>8</v>
      </c>
      <c r="C5" s="23">
        <v>119900</v>
      </c>
      <c r="D5" s="20">
        <f>מכירות!C4</f>
        <v>50294</v>
      </c>
      <c r="E5" s="20"/>
      <c r="F5" s="21">
        <f t="shared" si="0"/>
        <v>0.41946622185154298</v>
      </c>
      <c r="G5" s="20">
        <f>(E5+D5)/$G$1</f>
        <v>110646.8</v>
      </c>
      <c r="H5" s="21">
        <f t="shared" si="1"/>
        <v>0.92282568807339449</v>
      </c>
      <c r="I5" s="20">
        <f>C5/22</f>
        <v>5450</v>
      </c>
      <c r="J5" s="20">
        <f t="shared" si="2"/>
        <v>4191.166666666667</v>
      </c>
      <c r="M5" s="3"/>
    </row>
    <row r="6" spans="1:13" ht="31.5" customHeight="1" x14ac:dyDescent="0.35">
      <c r="A6" s="39"/>
      <c r="B6" s="9" t="s">
        <v>10</v>
      </c>
      <c r="C6" s="24">
        <f>SUM(C3:C5)</f>
        <v>253970</v>
      </c>
      <c r="D6" s="24">
        <f>SUM(D3:D5)</f>
        <v>80116.3</v>
      </c>
      <c r="E6" s="24">
        <f>SUM(E3:E5)</f>
        <v>5241</v>
      </c>
      <c r="F6" s="25">
        <f t="shared" si="0"/>
        <v>0.33609205811710047</v>
      </c>
      <c r="G6" s="24">
        <f>SUM(G3:G5)</f>
        <v>187786.06</v>
      </c>
      <c r="H6" s="25">
        <f t="shared" si="1"/>
        <v>0.73940252785762095</v>
      </c>
      <c r="I6" s="24">
        <f>SUM(I3:I5)</f>
        <v>11544.09090909091</v>
      </c>
      <c r="J6" s="24">
        <f>SUM(J3:J5)</f>
        <v>6239.6083333333336</v>
      </c>
    </row>
    <row r="7" spans="1:13" ht="31.5" customHeight="1" x14ac:dyDescent="0.35">
      <c r="A7" s="39"/>
      <c r="B7" s="5" t="s">
        <v>20</v>
      </c>
      <c r="C7" s="20">
        <v>47457</v>
      </c>
      <c r="D7" s="27">
        <f>מכירות!C7</f>
        <v>19629</v>
      </c>
      <c r="E7" s="27"/>
      <c r="F7" s="21">
        <f t="shared" si="0"/>
        <v>0.41361653707566848</v>
      </c>
      <c r="G7" s="20">
        <f>(E7+D7)/$G$1</f>
        <v>43183.8</v>
      </c>
      <c r="H7" s="21">
        <f t="shared" si="1"/>
        <v>0.90995638156647074</v>
      </c>
      <c r="I7" s="27">
        <f>C7/22</f>
        <v>2157.1363636363635</v>
      </c>
      <c r="J7" s="20">
        <f t="shared" si="2"/>
        <v>1635.75</v>
      </c>
    </row>
    <row r="8" spans="1:13" ht="31.5" customHeight="1" x14ac:dyDescent="0.35">
      <c r="A8" s="39"/>
      <c r="B8" s="5" t="s">
        <v>25</v>
      </c>
      <c r="C8" s="20">
        <f>16734+302</f>
        <v>17036</v>
      </c>
      <c r="D8" s="27">
        <f>מכירות!C8</f>
        <v>5352</v>
      </c>
      <c r="E8" s="27"/>
      <c r="F8" s="21">
        <f t="shared" si="0"/>
        <v>0.31415825311105894</v>
      </c>
      <c r="G8" s="20">
        <f>(E8+D8)/$G$1</f>
        <v>11774.4</v>
      </c>
      <c r="H8" s="21">
        <f t="shared" si="1"/>
        <v>0.69114815684432962</v>
      </c>
      <c r="I8" s="27">
        <f>C8/22</f>
        <v>774.36363636363637</v>
      </c>
      <c r="J8" s="20">
        <f t="shared" si="2"/>
        <v>446</v>
      </c>
    </row>
    <row r="9" spans="1:13" ht="31.5" customHeight="1" x14ac:dyDescent="0.35">
      <c r="A9" s="39"/>
      <c r="B9" s="5" t="s">
        <v>9</v>
      </c>
      <c r="C9" s="20">
        <v>21800</v>
      </c>
      <c r="D9" s="27">
        <f>מכירות!C5</f>
        <v>6626.4</v>
      </c>
      <c r="E9" s="6">
        <f>פתוחות!D4</f>
        <v>302</v>
      </c>
      <c r="F9" s="21">
        <f t="shared" si="0"/>
        <v>0.31781651376146786</v>
      </c>
      <c r="G9" s="20">
        <f>(E9+D9)/$G$1</f>
        <v>15242.48</v>
      </c>
      <c r="H9" s="21">
        <f t="shared" si="1"/>
        <v>0.69919633027522932</v>
      </c>
      <c r="I9" s="27">
        <f>C9/22</f>
        <v>990.90909090909088</v>
      </c>
      <c r="J9" s="20">
        <f t="shared" si="2"/>
        <v>527.0333333333333</v>
      </c>
      <c r="M9" s="3"/>
    </row>
    <row r="10" spans="1:13" ht="31.5" customHeight="1" x14ac:dyDescent="0.35">
      <c r="A10" s="39"/>
      <c r="B10" s="5" t="s">
        <v>21</v>
      </c>
      <c r="C10" s="20">
        <v>6250</v>
      </c>
      <c r="D10" s="27">
        <f>מכירות!C9</f>
        <v>0</v>
      </c>
      <c r="E10" s="5"/>
      <c r="F10" s="21">
        <f t="shared" si="0"/>
        <v>0</v>
      </c>
      <c r="G10" s="20">
        <f>(E10+D10)/$G$1</f>
        <v>0</v>
      </c>
      <c r="H10" s="21">
        <f t="shared" si="1"/>
        <v>0</v>
      </c>
      <c r="I10" s="27">
        <f>C10/22</f>
        <v>284.09090909090907</v>
      </c>
      <c r="J10" s="20">
        <f t="shared" si="2"/>
        <v>0</v>
      </c>
      <c r="M10" s="3"/>
    </row>
    <row r="11" spans="1:13" ht="31.5" hidden="1" customHeight="1" x14ac:dyDescent="0.35">
      <c r="A11" s="39"/>
      <c r="B11" s="5" t="s">
        <v>22</v>
      </c>
      <c r="C11" s="20"/>
      <c r="D11" s="27">
        <f>מכירות!C11</f>
        <v>1276</v>
      </c>
      <c r="E11" s="5"/>
      <c r="F11" s="21" t="e">
        <f t="shared" si="0"/>
        <v>#DIV/0!</v>
      </c>
      <c r="G11" s="20">
        <f>(E11+D11)/$G$1</f>
        <v>2807.2000000000003</v>
      </c>
      <c r="H11" s="21" t="e">
        <f t="shared" si="1"/>
        <v>#DIV/0!</v>
      </c>
      <c r="I11" s="27">
        <f t="shared" ref="I11" si="3">C11/20</f>
        <v>0</v>
      </c>
      <c r="J11" s="20">
        <f t="shared" si="2"/>
        <v>106.33333333333333</v>
      </c>
      <c r="M11" s="3"/>
    </row>
    <row r="12" spans="1:13" ht="31.5" customHeight="1" x14ac:dyDescent="0.35">
      <c r="A12" s="39"/>
      <c r="B12" s="9" t="s">
        <v>10</v>
      </c>
      <c r="C12" s="24">
        <f>SUM(C7:C11)</f>
        <v>92543</v>
      </c>
      <c r="D12" s="24">
        <f>SUM(D7:D11)</f>
        <v>32883.4</v>
      </c>
      <c r="E12" s="24">
        <f>SUM(E7:E11)</f>
        <v>302</v>
      </c>
      <c r="F12" s="25">
        <f t="shared" si="0"/>
        <v>0.35859438315161601</v>
      </c>
      <c r="G12" s="24">
        <f>SUM(G7:G11)</f>
        <v>73007.88</v>
      </c>
      <c r="H12" s="25">
        <f t="shared" si="1"/>
        <v>0.78890764293355531</v>
      </c>
      <c r="I12" s="24">
        <f>SUM(I7:I11)</f>
        <v>4206.5</v>
      </c>
      <c r="J12" s="24">
        <f>SUM(J7:J11)</f>
        <v>2715.1166666666668</v>
      </c>
      <c r="M12" s="3"/>
    </row>
    <row r="13" spans="1:13" ht="31.5" customHeight="1" x14ac:dyDescent="0.35">
      <c r="A13" s="10"/>
      <c r="B13" s="10" t="s">
        <v>19</v>
      </c>
      <c r="C13" s="11">
        <f>C6+C12</f>
        <v>346513</v>
      </c>
      <c r="D13" s="11">
        <f>D6+D12</f>
        <v>112999.70000000001</v>
      </c>
      <c r="E13" s="11">
        <f>E6+E12</f>
        <v>5543</v>
      </c>
      <c r="F13" s="12">
        <f t="shared" si="0"/>
        <v>0.34210173932868321</v>
      </c>
      <c r="G13" s="11">
        <f>G6+G12</f>
        <v>260793.94</v>
      </c>
      <c r="H13" s="12">
        <f t="shared" si="1"/>
        <v>0.752623826523103</v>
      </c>
      <c r="I13" s="11">
        <f>I6+I12</f>
        <v>15750.59090909091</v>
      </c>
      <c r="J13" s="11">
        <f>J6+J12</f>
        <v>8954.7250000000004</v>
      </c>
    </row>
    <row r="14" spans="1:13" x14ac:dyDescent="0.35">
      <c r="D14" s="13"/>
      <c r="G14" s="13"/>
      <c r="I14" s="13"/>
    </row>
    <row r="15" spans="1:13" ht="15" customHeight="1" x14ac:dyDescent="0.35">
      <c r="D15" s="15"/>
    </row>
    <row r="16" spans="1:13" x14ac:dyDescent="0.35">
      <c r="D16" s="16"/>
      <c r="I16" s="16"/>
    </row>
  </sheetData>
  <mergeCells count="1">
    <mergeCell ref="A3:A12"/>
  </mergeCells>
  <printOptions horizontalCentered="1" gridLines="1"/>
  <pageMargins left="0" right="0" top="0.74803149606299213" bottom="0.74803149606299213" header="0.31496062992125984" footer="0.31496062992125984"/>
  <pageSetup paperSize="9" orientation="landscape" r:id="rId1"/>
  <headerFooter>
    <oddHeader>&amp;L&amp;D&amp;Cיעד אוגוסט 2026 -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60EF-29AA-4A06-B858-808CFCAFD4C7}">
  <sheetPr>
    <pageSetUpPr fitToPage="1"/>
  </sheetPr>
  <dimension ref="A1:N16"/>
  <sheetViews>
    <sheetView rightToLeft="1" workbookViewId="0">
      <selection activeCell="J3" sqref="J3"/>
    </sheetView>
  </sheetViews>
  <sheetFormatPr defaultColWidth="9" defaultRowHeight="15.5" x14ac:dyDescent="0.35"/>
  <cols>
    <col min="1" max="1" width="9" style="8"/>
    <col min="2" max="2" width="18.58203125" style="8" customWidth="1"/>
    <col min="3" max="3" width="10.83203125" style="13" bestFit="1" customWidth="1"/>
    <col min="4" max="4" width="11.83203125" style="8" bestFit="1" customWidth="1"/>
    <col min="5" max="5" width="9.83203125" style="8" bestFit="1" customWidth="1"/>
    <col min="6" max="6" width="9.75" style="8" customWidth="1"/>
    <col min="7" max="7" width="12.08203125" style="8" customWidth="1"/>
    <col min="8" max="8" width="9" style="8"/>
    <col min="9" max="9" width="13.83203125" style="8" hidden="1" customWidth="1"/>
    <col min="10" max="10" width="11.83203125" style="8" customWidth="1"/>
    <col min="11" max="11" width="9.75" style="8" bestFit="1" customWidth="1"/>
    <col min="12" max="13" width="9" style="8"/>
    <col min="14" max="14" width="9.83203125" style="8" bestFit="1" customWidth="1"/>
    <col min="15" max="16384" width="9" style="8"/>
  </cols>
  <sheetData>
    <row r="1" spans="1:14" x14ac:dyDescent="0.35">
      <c r="A1" s="5"/>
      <c r="B1" s="5"/>
      <c r="C1" s="6"/>
      <c r="D1" s="5"/>
      <c r="E1" s="5"/>
      <c r="F1" s="5"/>
      <c r="G1" s="7">
        <f>חאזם!G1</f>
        <v>0.45454545454545453</v>
      </c>
      <c r="H1" s="5">
        <v>12</v>
      </c>
    </row>
    <row r="2" spans="1:14" x14ac:dyDescent="0.35">
      <c r="A2" s="5" t="s">
        <v>0</v>
      </c>
      <c r="B2" s="5" t="s">
        <v>0</v>
      </c>
      <c r="C2" s="6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18</v>
      </c>
      <c r="I2" s="5" t="s">
        <v>31</v>
      </c>
      <c r="J2" s="14" t="s">
        <v>89</v>
      </c>
    </row>
    <row r="3" spans="1:14" ht="31.5" customHeight="1" x14ac:dyDescent="0.35">
      <c r="A3" s="39" t="s">
        <v>12</v>
      </c>
      <c r="B3" s="5" t="s">
        <v>6</v>
      </c>
      <c r="C3" s="20">
        <v>45780</v>
      </c>
      <c r="D3" s="20">
        <f>מכירות!B2+מכירות!B11</f>
        <v>28518.9</v>
      </c>
      <c r="E3" s="20">
        <f>פתוחות!D5</f>
        <v>885</v>
      </c>
      <c r="F3" s="21">
        <f>(E3+D3)/C3</f>
        <v>0.64228702490170386</v>
      </c>
      <c r="G3" s="20">
        <f>(E3+D3)/$G$1</f>
        <v>64688.58</v>
      </c>
      <c r="H3" s="21">
        <f>G3/C3</f>
        <v>1.4130314547837484</v>
      </c>
      <c r="I3" s="22">
        <f>C3/22</f>
        <v>2080.909090909091</v>
      </c>
      <c r="J3" s="20">
        <f>(C3-D3)/$H$1</f>
        <v>1438.425</v>
      </c>
      <c r="K3" s="40"/>
      <c r="L3" s="36"/>
      <c r="M3"/>
      <c r="N3" s="3"/>
    </row>
    <row r="4" spans="1:14" ht="31.5" customHeight="1" x14ac:dyDescent="0.35">
      <c r="A4" s="39"/>
      <c r="B4" s="5" t="s">
        <v>7</v>
      </c>
      <c r="C4" s="20">
        <v>25070</v>
      </c>
      <c r="D4" s="20">
        <f>מכירות!B3</f>
        <v>5330.1</v>
      </c>
      <c r="E4" s="20">
        <f>פתוחות!D6</f>
        <v>320</v>
      </c>
      <c r="F4" s="21">
        <f t="shared" ref="F4:F13" si="0">(E4+D4)/C4</f>
        <v>0.2253729557239729</v>
      </c>
      <c r="G4" s="20">
        <f t="shared" ref="G4:G11" si="1">(E4+D4)/$G$1</f>
        <v>12430.220000000001</v>
      </c>
      <c r="H4" s="21">
        <f t="shared" ref="H4:H12" si="2">G4/C4</f>
        <v>0.49582050259274035</v>
      </c>
      <c r="I4" s="22">
        <f t="shared" ref="I4:I10" si="3">C4/22</f>
        <v>1139.5454545454545</v>
      </c>
      <c r="J4" s="20">
        <f t="shared" ref="J4:J10" si="4">(C4-D4)/$H$1</f>
        <v>1644.9916666666668</v>
      </c>
      <c r="K4" s="4"/>
      <c r="L4"/>
      <c r="M4"/>
      <c r="N4" s="3"/>
    </row>
    <row r="5" spans="1:14" ht="31.5" customHeight="1" x14ac:dyDescent="0.35">
      <c r="A5" s="39"/>
      <c r="B5" s="5" t="s">
        <v>8</v>
      </c>
      <c r="C5" s="23">
        <v>167860</v>
      </c>
      <c r="D5" s="20">
        <f>מכירות!B4</f>
        <v>78350.3</v>
      </c>
      <c r="E5" s="20"/>
      <c r="F5" s="21">
        <f t="shared" si="0"/>
        <v>0.46675979983319432</v>
      </c>
      <c r="G5" s="20">
        <f t="shared" si="1"/>
        <v>172370.66</v>
      </c>
      <c r="H5" s="21">
        <f t="shared" si="2"/>
        <v>1.0268715596330276</v>
      </c>
      <c r="I5" s="22">
        <f t="shared" si="3"/>
        <v>7630</v>
      </c>
      <c r="J5" s="20">
        <f t="shared" si="4"/>
        <v>7459.1416666666664</v>
      </c>
      <c r="L5"/>
      <c r="M5"/>
    </row>
    <row r="6" spans="1:14" ht="31.5" customHeight="1" x14ac:dyDescent="0.35">
      <c r="A6" s="39"/>
      <c r="B6" s="9" t="s">
        <v>10</v>
      </c>
      <c r="C6" s="24">
        <f>SUM(C3:C5)</f>
        <v>238710</v>
      </c>
      <c r="D6" s="24">
        <f t="shared" ref="D6:E6" si="5">SUM(D3:D5)</f>
        <v>112199.3</v>
      </c>
      <c r="E6" s="24">
        <f t="shared" si="5"/>
        <v>1205</v>
      </c>
      <c r="F6" s="25">
        <f t="shared" si="0"/>
        <v>0.47507142557915466</v>
      </c>
      <c r="G6" s="24">
        <f>SUM(G3:G5)</f>
        <v>249489.46000000002</v>
      </c>
      <c r="H6" s="25">
        <f t="shared" si="2"/>
        <v>1.0451571362741403</v>
      </c>
      <c r="I6" s="24">
        <f t="shared" ref="I6:J6" si="6">SUM(I3:I5)</f>
        <v>10850.454545454546</v>
      </c>
      <c r="J6" s="24">
        <f t="shared" si="6"/>
        <v>10542.558333333334</v>
      </c>
      <c r="L6"/>
      <c r="M6"/>
    </row>
    <row r="7" spans="1:14" ht="31.5" customHeight="1" x14ac:dyDescent="0.35">
      <c r="A7" s="39"/>
      <c r="B7" s="5" t="s">
        <v>20</v>
      </c>
      <c r="C7" s="20">
        <v>28992</v>
      </c>
      <c r="D7" s="20">
        <f>מכירות!B7</f>
        <v>8622</v>
      </c>
      <c r="E7" s="5"/>
      <c r="F7" s="21">
        <f t="shared" si="0"/>
        <v>0.29739238410596025</v>
      </c>
      <c r="G7" s="20">
        <f t="shared" si="1"/>
        <v>18968.400000000001</v>
      </c>
      <c r="H7" s="21">
        <f t="shared" si="2"/>
        <v>0.65426324503311262</v>
      </c>
      <c r="I7" s="22">
        <f t="shared" si="3"/>
        <v>1317.8181818181818</v>
      </c>
      <c r="J7" s="20">
        <f t="shared" si="4"/>
        <v>1697.5</v>
      </c>
      <c r="L7"/>
      <c r="M7"/>
    </row>
    <row r="8" spans="1:14" ht="31.5" customHeight="1" x14ac:dyDescent="0.35">
      <c r="A8" s="39"/>
      <c r="B8" s="5" t="s">
        <v>25</v>
      </c>
      <c r="C8" s="20"/>
      <c r="D8" s="20">
        <f>מכירות!B8</f>
        <v>0</v>
      </c>
      <c r="E8" s="5"/>
      <c r="F8" s="21" t="e">
        <f t="shared" si="0"/>
        <v>#DIV/0!</v>
      </c>
      <c r="G8" s="20">
        <f t="shared" si="1"/>
        <v>0</v>
      </c>
      <c r="H8" s="21" t="e">
        <f t="shared" si="2"/>
        <v>#DIV/0!</v>
      </c>
      <c r="I8" s="22">
        <f t="shared" si="3"/>
        <v>0</v>
      </c>
      <c r="J8" s="20">
        <f t="shared" si="4"/>
        <v>0</v>
      </c>
      <c r="L8"/>
      <c r="M8"/>
    </row>
    <row r="9" spans="1:14" ht="31.5" customHeight="1" x14ac:dyDescent="0.35">
      <c r="A9" s="39"/>
      <c r="B9" s="5" t="s">
        <v>9</v>
      </c>
      <c r="C9" s="20">
        <v>43600</v>
      </c>
      <c r="D9" s="20">
        <f>מכירות!B5</f>
        <v>27849.1</v>
      </c>
      <c r="E9" s="5">
        <f>פתוחות!D7</f>
        <v>2240</v>
      </c>
      <c r="F9" s="21">
        <f t="shared" si="0"/>
        <v>0.69011697247706416</v>
      </c>
      <c r="G9" s="20">
        <f t="shared" si="1"/>
        <v>66196.02</v>
      </c>
      <c r="H9" s="21">
        <f t="shared" si="2"/>
        <v>1.5182573394495413</v>
      </c>
      <c r="I9" s="22">
        <f t="shared" si="3"/>
        <v>1981.8181818181818</v>
      </c>
      <c r="J9" s="20">
        <f t="shared" si="4"/>
        <v>1312.575</v>
      </c>
      <c r="L9"/>
      <c r="M9"/>
    </row>
    <row r="10" spans="1:14" ht="31.5" customHeight="1" x14ac:dyDescent="0.35">
      <c r="A10" s="39"/>
      <c r="B10" s="5" t="s">
        <v>21</v>
      </c>
      <c r="C10" s="20">
        <v>6250</v>
      </c>
      <c r="D10" s="20">
        <f>מכירות!B9</f>
        <v>0</v>
      </c>
      <c r="E10" s="5"/>
      <c r="F10" s="21">
        <f t="shared" si="0"/>
        <v>0</v>
      </c>
      <c r="G10" s="20">
        <f t="shared" si="1"/>
        <v>0</v>
      </c>
      <c r="H10" s="21">
        <f t="shared" si="2"/>
        <v>0</v>
      </c>
      <c r="I10" s="22">
        <f t="shared" si="3"/>
        <v>284.09090909090907</v>
      </c>
      <c r="J10" s="20">
        <f t="shared" si="4"/>
        <v>520.83333333333337</v>
      </c>
      <c r="L10"/>
      <c r="M10"/>
    </row>
    <row r="11" spans="1:14" ht="31.5" hidden="1" customHeight="1" x14ac:dyDescent="0.35">
      <c r="A11" s="39"/>
      <c r="B11" s="5" t="s">
        <v>22</v>
      </c>
      <c r="C11" s="20"/>
      <c r="D11" s="20">
        <f>מכירות!B11</f>
        <v>457</v>
      </c>
      <c r="E11" s="5"/>
      <c r="F11" s="21" t="e">
        <f t="shared" si="0"/>
        <v>#DIV/0!</v>
      </c>
      <c r="G11" s="20">
        <f t="shared" si="1"/>
        <v>1005.4</v>
      </c>
      <c r="H11" s="21" t="e">
        <f t="shared" si="2"/>
        <v>#DIV/0!</v>
      </c>
      <c r="I11" s="22">
        <f t="shared" ref="I7:I11" si="7">C11-D11-E11</f>
        <v>-457</v>
      </c>
      <c r="J11" s="20">
        <f t="shared" ref="J9:J11" si="8">I11/$H$1</f>
        <v>-38.083333333333336</v>
      </c>
      <c r="L11"/>
      <c r="M11"/>
    </row>
    <row r="12" spans="1:14" ht="31.5" customHeight="1" x14ac:dyDescent="0.35">
      <c r="A12" s="39"/>
      <c r="B12" s="9" t="s">
        <v>10</v>
      </c>
      <c r="C12" s="24">
        <f>SUM(C7:C11)</f>
        <v>78842</v>
      </c>
      <c r="D12" s="24">
        <f>SUM(D7:D11)</f>
        <v>36928.1</v>
      </c>
      <c r="E12" s="24">
        <f>SUM(E7:E11)</f>
        <v>2240</v>
      </c>
      <c r="F12" s="25">
        <f t="shared" si="0"/>
        <v>0.49679231881484487</v>
      </c>
      <c r="G12" s="24">
        <f>SUM(G7:G11)</f>
        <v>86169.82</v>
      </c>
      <c r="H12" s="25">
        <f t="shared" si="2"/>
        <v>1.0929431013926589</v>
      </c>
      <c r="I12" s="26">
        <f>SUM(I7:I11)</f>
        <v>3126.7272727272725</v>
      </c>
      <c r="J12" s="26">
        <f>SUM(J7:J11)</f>
        <v>3492.8249999999998</v>
      </c>
      <c r="L12"/>
      <c r="M12"/>
    </row>
    <row r="13" spans="1:14" ht="31.5" customHeight="1" x14ac:dyDescent="0.35">
      <c r="A13" s="10"/>
      <c r="B13" s="10" t="s">
        <v>19</v>
      </c>
      <c r="C13" s="11">
        <f>C6+C12</f>
        <v>317552</v>
      </c>
      <c r="D13" s="11">
        <f>D6+D12</f>
        <v>149127.4</v>
      </c>
      <c r="E13" s="11">
        <f>E6+E12</f>
        <v>3445</v>
      </c>
      <c r="F13" s="12">
        <f t="shared" si="0"/>
        <v>0.48046430190960848</v>
      </c>
      <c r="G13" s="11">
        <f>G6+G12</f>
        <v>335659.28</v>
      </c>
      <c r="H13" s="12">
        <f>G13/C13</f>
        <v>1.0570214642011388</v>
      </c>
      <c r="I13" s="11">
        <f>I6+I12</f>
        <v>13977.181818181818</v>
      </c>
      <c r="J13" s="11">
        <f>J6+J12</f>
        <v>14035.383333333335</v>
      </c>
    </row>
    <row r="14" spans="1:14" x14ac:dyDescent="0.35">
      <c r="D14" s="15"/>
      <c r="E14" s="15"/>
    </row>
    <row r="15" spans="1:14" ht="15" customHeight="1" x14ac:dyDescent="0.35"/>
    <row r="16" spans="1:14" x14ac:dyDescent="0.35">
      <c r="D16" s="16"/>
    </row>
  </sheetData>
  <mergeCells count="1">
    <mergeCell ref="A3:A12"/>
  </mergeCells>
  <printOptions horizontalCentered="1" gridLines="1"/>
  <pageMargins left="0" right="0" top="0.74803149606299213" bottom="0.74803149606299213" header="0.31496062992125984" footer="0.31496062992125984"/>
  <pageSetup paperSize="9" orientation="landscape" r:id="rId1"/>
  <headerFooter>
    <oddHeader>&amp;L&amp;D&amp;Cיעד אוגוסט 2026 - 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B1F9-07F7-4C13-98DC-46445CFF4D4B}">
  <sheetPr>
    <pageSetUpPr fitToPage="1"/>
  </sheetPr>
  <dimension ref="A1:L16"/>
  <sheetViews>
    <sheetView rightToLeft="1" workbookViewId="0">
      <selection activeCell="J3" sqref="J3"/>
    </sheetView>
  </sheetViews>
  <sheetFormatPr defaultColWidth="9" defaultRowHeight="15.5" x14ac:dyDescent="0.35"/>
  <cols>
    <col min="1" max="1" width="9" style="8"/>
    <col min="2" max="2" width="18.58203125" style="8" customWidth="1"/>
    <col min="3" max="3" width="10.83203125" style="13" bestFit="1" customWidth="1"/>
    <col min="4" max="4" width="11.83203125" style="8" bestFit="1" customWidth="1"/>
    <col min="5" max="5" width="9.83203125" style="8" bestFit="1" customWidth="1"/>
    <col min="6" max="6" width="9.75" style="8" customWidth="1"/>
    <col min="7" max="7" width="12.08203125" style="8" customWidth="1"/>
    <col min="8" max="8" width="9" style="8"/>
    <col min="9" max="9" width="9.83203125" style="8" hidden="1" customWidth="1"/>
    <col min="10" max="10" width="12.08203125" style="8" customWidth="1"/>
    <col min="11" max="11" width="9" style="8"/>
    <col min="12" max="12" width="9.83203125" style="8" bestFit="1" customWidth="1"/>
    <col min="13" max="16384" width="9" style="8"/>
  </cols>
  <sheetData>
    <row r="1" spans="1:12" x14ac:dyDescent="0.35">
      <c r="A1" s="5"/>
      <c r="B1" s="5"/>
      <c r="C1" s="6"/>
      <c r="D1" s="5"/>
      <c r="E1" s="5"/>
      <c r="F1" s="5"/>
      <c r="G1" s="7">
        <f>חאזם!G1</f>
        <v>0.45454545454545453</v>
      </c>
      <c r="H1" s="5">
        <v>12</v>
      </c>
      <c r="I1" s="5"/>
      <c r="J1" s="7"/>
    </row>
    <row r="2" spans="1:12" x14ac:dyDescent="0.35">
      <c r="A2" s="5" t="s">
        <v>0</v>
      </c>
      <c r="B2" s="5" t="s">
        <v>0</v>
      </c>
      <c r="C2" s="6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18</v>
      </c>
      <c r="I2" s="5" t="s">
        <v>31</v>
      </c>
      <c r="J2" s="5" t="s">
        <v>89</v>
      </c>
    </row>
    <row r="3" spans="1:12" ht="31.5" customHeight="1" x14ac:dyDescent="0.35">
      <c r="A3" s="39" t="s">
        <v>29</v>
      </c>
      <c r="B3" s="5" t="s">
        <v>6</v>
      </c>
      <c r="C3" s="20">
        <v>30520</v>
      </c>
      <c r="D3" s="20">
        <f>מכירות!D2</f>
        <v>13592.7</v>
      </c>
      <c r="E3" s="20">
        <f>פתוחות!D8</f>
        <v>75</v>
      </c>
      <c r="F3" s="21">
        <f>(E3+D3)/C3</f>
        <v>0.44782765399737878</v>
      </c>
      <c r="G3" s="20">
        <f>(E3+D3)/$G$1</f>
        <v>30068.940000000002</v>
      </c>
      <c r="H3" s="21">
        <f>G3/C3</f>
        <v>0.98522083879423339</v>
      </c>
      <c r="I3" s="20">
        <f>C3/22</f>
        <v>1387.2727272727273</v>
      </c>
      <c r="J3" s="20">
        <f>(D3-E3)/$H$1</f>
        <v>1126.4750000000001</v>
      </c>
      <c r="K3"/>
      <c r="L3" s="3"/>
    </row>
    <row r="4" spans="1:12" ht="31.5" customHeight="1" x14ac:dyDescent="0.35">
      <c r="A4" s="39"/>
      <c r="B4" s="5" t="s">
        <v>7</v>
      </c>
      <c r="C4" s="20">
        <v>30520</v>
      </c>
      <c r="D4" s="20">
        <f>מכירות!D3</f>
        <v>9861.2000000000007</v>
      </c>
      <c r="E4" s="20">
        <f>פתוחות!D9</f>
        <v>408</v>
      </c>
      <c r="F4" s="21">
        <f t="shared" ref="F4:F13" si="0">(E4+D4)/C4</f>
        <v>0.3364744429882045</v>
      </c>
      <c r="G4" s="20">
        <f t="shared" ref="G4:G11" si="1">(E4+D4)/$G$1</f>
        <v>22592.240000000002</v>
      </c>
      <c r="H4" s="21">
        <f t="shared" ref="H4:H12" si="2">G4/C4</f>
        <v>0.74024377457404988</v>
      </c>
      <c r="I4" s="20">
        <f t="shared" ref="I4:I11" si="3">C4/22</f>
        <v>1387.2727272727273</v>
      </c>
      <c r="J4" s="20">
        <f t="shared" ref="J4:J13" si="4">(D4-E4)/$H$1</f>
        <v>787.76666666666677</v>
      </c>
      <c r="K4"/>
      <c r="L4" s="3"/>
    </row>
    <row r="5" spans="1:12" ht="31.5" customHeight="1" x14ac:dyDescent="0.35">
      <c r="A5" s="39"/>
      <c r="B5" s="5" t="s">
        <v>8</v>
      </c>
      <c r="C5" s="23">
        <v>161865</v>
      </c>
      <c r="D5" s="20">
        <f>מכירות!D4</f>
        <v>64049.2</v>
      </c>
      <c r="E5" s="20"/>
      <c r="F5" s="21">
        <f t="shared" si="0"/>
        <v>0.39569517808049914</v>
      </c>
      <c r="G5" s="20">
        <f t="shared" si="1"/>
        <v>140908.24</v>
      </c>
      <c r="H5" s="21">
        <f t="shared" si="2"/>
        <v>0.87052939177709809</v>
      </c>
      <c r="I5" s="20">
        <f t="shared" si="3"/>
        <v>7357.5</v>
      </c>
      <c r="J5" s="20">
        <f t="shared" si="4"/>
        <v>5337.4333333333334</v>
      </c>
      <c r="K5"/>
    </row>
    <row r="6" spans="1:12" ht="31.5" customHeight="1" x14ac:dyDescent="0.35">
      <c r="A6" s="39"/>
      <c r="B6" s="9" t="s">
        <v>10</v>
      </c>
      <c r="C6" s="24">
        <f>SUM(C3:C5)</f>
        <v>222905</v>
      </c>
      <c r="D6" s="24">
        <f>SUM(D3:D5)</f>
        <v>87503.1</v>
      </c>
      <c r="E6" s="24">
        <f t="shared" ref="E6" si="5">SUM(E3:E5)</f>
        <v>483</v>
      </c>
      <c r="F6" s="25">
        <f t="shared" si="0"/>
        <v>0.39472465848679933</v>
      </c>
      <c r="G6" s="24">
        <f>SUM(G3:G5)</f>
        <v>193569.41999999998</v>
      </c>
      <c r="H6" s="25">
        <f t="shared" si="2"/>
        <v>0.86839424867095838</v>
      </c>
      <c r="I6" s="24">
        <f>SUM(I3:I5)</f>
        <v>10132.045454545454</v>
      </c>
      <c r="J6" s="24">
        <f>SUM(J3:J5)</f>
        <v>7251.6750000000002</v>
      </c>
      <c r="K6"/>
    </row>
    <row r="7" spans="1:12" ht="31.5" customHeight="1" x14ac:dyDescent="0.35">
      <c r="A7" s="39"/>
      <c r="B7" s="5" t="s">
        <v>20</v>
      </c>
      <c r="C7" s="20">
        <v>12794</v>
      </c>
      <c r="D7" s="20">
        <f>מכירות!D7</f>
        <v>4269</v>
      </c>
      <c r="E7" s="5"/>
      <c r="F7" s="21">
        <f t="shared" si="0"/>
        <v>0.33367203376582771</v>
      </c>
      <c r="G7" s="20">
        <f t="shared" si="1"/>
        <v>9391.8000000000011</v>
      </c>
      <c r="H7" s="21">
        <f t="shared" si="2"/>
        <v>0.73407847428482109</v>
      </c>
      <c r="I7" s="20">
        <f t="shared" si="3"/>
        <v>581.5454545454545</v>
      </c>
      <c r="J7" s="20">
        <f t="shared" si="4"/>
        <v>355.75</v>
      </c>
      <c r="K7"/>
    </row>
    <row r="8" spans="1:12" ht="31.5" customHeight="1" x14ac:dyDescent="0.35">
      <c r="A8" s="39"/>
      <c r="B8" s="5" t="s">
        <v>25</v>
      </c>
      <c r="C8" s="20">
        <v>0</v>
      </c>
      <c r="D8" s="20">
        <f>מכירות!D8</f>
        <v>0</v>
      </c>
      <c r="E8" s="5"/>
      <c r="F8" s="21" t="e">
        <f t="shared" si="0"/>
        <v>#DIV/0!</v>
      </c>
      <c r="G8" s="20">
        <f t="shared" si="1"/>
        <v>0</v>
      </c>
      <c r="H8" s="21" t="e">
        <f t="shared" si="2"/>
        <v>#DIV/0!</v>
      </c>
      <c r="I8" s="20">
        <f t="shared" si="3"/>
        <v>0</v>
      </c>
      <c r="J8" s="20">
        <f t="shared" si="4"/>
        <v>0</v>
      </c>
      <c r="K8"/>
    </row>
    <row r="9" spans="1:12" ht="31.5" customHeight="1" x14ac:dyDescent="0.35">
      <c r="A9" s="39"/>
      <c r="B9" s="5" t="s">
        <v>9</v>
      </c>
      <c r="C9" s="20">
        <v>6625</v>
      </c>
      <c r="D9" s="20">
        <f>מכירות!D5</f>
        <v>4045</v>
      </c>
      <c r="E9" s="5">
        <f>פתוחות!D10</f>
        <v>537</v>
      </c>
      <c r="F9" s="21">
        <f t="shared" si="0"/>
        <v>0.69162264150943398</v>
      </c>
      <c r="G9" s="20">
        <f t="shared" si="1"/>
        <v>10080.4</v>
      </c>
      <c r="H9" s="21">
        <f t="shared" si="2"/>
        <v>1.5215698113207548</v>
      </c>
      <c r="I9" s="20">
        <f t="shared" si="3"/>
        <v>301.13636363636363</v>
      </c>
      <c r="J9" s="20">
        <f t="shared" si="4"/>
        <v>292.33333333333331</v>
      </c>
      <c r="K9"/>
    </row>
    <row r="10" spans="1:12" ht="31.5" customHeight="1" x14ac:dyDescent="0.35">
      <c r="A10" s="39"/>
      <c r="B10" s="5" t="s">
        <v>21</v>
      </c>
      <c r="C10" s="20">
        <v>22036</v>
      </c>
      <c r="D10" s="20">
        <f>מכירות!D9</f>
        <v>1212</v>
      </c>
      <c r="E10" s="5"/>
      <c r="F10" s="21">
        <f t="shared" si="0"/>
        <v>5.5000907605736067E-2</v>
      </c>
      <c r="G10" s="20">
        <f t="shared" si="1"/>
        <v>2666.4</v>
      </c>
      <c r="H10" s="21">
        <f t="shared" si="2"/>
        <v>0.12100199673261935</v>
      </c>
      <c r="I10" s="20">
        <f t="shared" si="3"/>
        <v>1001.6363636363636</v>
      </c>
      <c r="J10" s="20">
        <f t="shared" si="4"/>
        <v>101</v>
      </c>
      <c r="K10"/>
    </row>
    <row r="11" spans="1:12" ht="13" hidden="1" customHeight="1" x14ac:dyDescent="0.35">
      <c r="A11" s="39"/>
      <c r="B11" s="5" t="s">
        <v>22</v>
      </c>
      <c r="C11" s="20"/>
      <c r="D11" s="20"/>
      <c r="E11" s="5"/>
      <c r="F11" s="21" t="e">
        <f t="shared" si="0"/>
        <v>#DIV/0!</v>
      </c>
      <c r="G11" s="20">
        <f t="shared" si="1"/>
        <v>0</v>
      </c>
      <c r="H11" s="21" t="e">
        <f t="shared" si="2"/>
        <v>#DIV/0!</v>
      </c>
      <c r="I11" s="20">
        <f t="shared" si="3"/>
        <v>0</v>
      </c>
      <c r="J11" s="20">
        <f t="shared" si="4"/>
        <v>0</v>
      </c>
      <c r="K11"/>
    </row>
    <row r="12" spans="1:12" ht="31.5" customHeight="1" x14ac:dyDescent="0.35">
      <c r="A12" s="39"/>
      <c r="B12" s="9" t="s">
        <v>10</v>
      </c>
      <c r="C12" s="24">
        <f>SUM(C7:C11)</f>
        <v>41455</v>
      </c>
      <c r="D12" s="24">
        <f>SUM(D7:D11)</f>
        <v>9526</v>
      </c>
      <c r="E12" s="24">
        <f>SUM(E7:E11)</f>
        <v>537</v>
      </c>
      <c r="F12" s="25">
        <f t="shared" si="0"/>
        <v>0.24274514533831865</v>
      </c>
      <c r="G12" s="24">
        <f>SUM(G7:G11)</f>
        <v>22138.600000000002</v>
      </c>
      <c r="H12" s="25">
        <f t="shared" si="2"/>
        <v>0.53403931974430108</v>
      </c>
      <c r="I12" s="24">
        <f>SUM(I7:I11)</f>
        <v>1884.3181818181818</v>
      </c>
      <c r="J12" s="24">
        <f>SUM(J7:J11)</f>
        <v>749.08333333333326</v>
      </c>
      <c r="K12"/>
    </row>
    <row r="13" spans="1:12" ht="31.5" customHeight="1" x14ac:dyDescent="0.35">
      <c r="A13" s="10"/>
      <c r="B13" s="10" t="s">
        <v>19</v>
      </c>
      <c r="C13" s="11">
        <f>C6+C12</f>
        <v>264360</v>
      </c>
      <c r="D13" s="11">
        <f>D6+D12</f>
        <v>97029.1</v>
      </c>
      <c r="E13" s="11">
        <f>E6+E12</f>
        <v>1020</v>
      </c>
      <c r="F13" s="12">
        <f t="shared" si="0"/>
        <v>0.37089234377364205</v>
      </c>
      <c r="G13" s="11">
        <f>G6+G12</f>
        <v>215708.02</v>
      </c>
      <c r="H13" s="12">
        <f>G13/C13</f>
        <v>0.81596315630201233</v>
      </c>
      <c r="I13" s="11">
        <f>I6+I12</f>
        <v>12016.363636363636</v>
      </c>
      <c r="J13" s="11">
        <f>J6+J12</f>
        <v>8000.7583333333332</v>
      </c>
    </row>
    <row r="14" spans="1:12" x14ac:dyDescent="0.35">
      <c r="D14" s="15"/>
    </row>
    <row r="15" spans="1:12" ht="15" customHeight="1" x14ac:dyDescent="0.35"/>
    <row r="16" spans="1:12" x14ac:dyDescent="0.35">
      <c r="D16" s="16"/>
    </row>
  </sheetData>
  <mergeCells count="1">
    <mergeCell ref="A3:A12"/>
  </mergeCells>
  <printOptions horizontalCentered="1" gridLines="1"/>
  <pageMargins left="0" right="0" top="0.74803149606299213" bottom="0.74803149606299213" header="0.31496062992125984" footer="0.31496062992125984"/>
  <pageSetup paperSize="9" orientation="landscape" r:id="rId1"/>
  <headerFooter>
    <oddHeader>&amp;L&amp;D&amp;Cיעד אוגוסט 2026 - 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2494-4563-4EBF-A860-0342FE19EF4D}">
  <sheetPr>
    <pageSetUpPr fitToPage="1"/>
  </sheetPr>
  <dimension ref="A1:M16"/>
  <sheetViews>
    <sheetView rightToLeft="1" workbookViewId="0">
      <selection activeCell="J3" sqref="J3"/>
    </sheetView>
  </sheetViews>
  <sheetFormatPr defaultColWidth="9" defaultRowHeight="15.5" x14ac:dyDescent="0.35"/>
  <cols>
    <col min="1" max="1" width="9" style="8"/>
    <col min="2" max="2" width="18.58203125" style="8" customWidth="1"/>
    <col min="3" max="3" width="10.83203125" style="13" bestFit="1" customWidth="1"/>
    <col min="4" max="4" width="11.83203125" style="8" bestFit="1" customWidth="1"/>
    <col min="5" max="5" width="9.83203125" style="8" bestFit="1" customWidth="1"/>
    <col min="6" max="6" width="9.75" style="8" customWidth="1"/>
    <col min="7" max="7" width="12.08203125" style="8" customWidth="1"/>
    <col min="8" max="8" width="9" style="8"/>
    <col min="9" max="9" width="9.83203125" style="8" hidden="1" customWidth="1"/>
    <col min="10" max="10" width="12.08203125" style="8" customWidth="1"/>
    <col min="11" max="12" width="9" style="8"/>
    <col min="13" max="13" width="9.83203125" style="8" bestFit="1" customWidth="1"/>
    <col min="14" max="16384" width="9" style="8"/>
  </cols>
  <sheetData>
    <row r="1" spans="1:13" x14ac:dyDescent="0.35">
      <c r="A1" s="5"/>
      <c r="B1" s="5"/>
      <c r="C1" s="6"/>
      <c r="D1" s="5"/>
      <c r="E1" s="5"/>
      <c r="F1" s="5"/>
      <c r="G1" s="7">
        <f>חאזם!G1</f>
        <v>0.45454545454545453</v>
      </c>
      <c r="H1" s="5">
        <v>12</v>
      </c>
      <c r="I1" s="5"/>
      <c r="J1" s="7"/>
    </row>
    <row r="2" spans="1:13" x14ac:dyDescent="0.35">
      <c r="A2" s="5" t="s">
        <v>0</v>
      </c>
      <c r="B2" s="5" t="s">
        <v>0</v>
      </c>
      <c r="C2" s="6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18</v>
      </c>
      <c r="I2" s="5" t="s">
        <v>31</v>
      </c>
      <c r="J2" s="5" t="s">
        <v>88</v>
      </c>
    </row>
    <row r="3" spans="1:13" ht="31.5" customHeight="1" x14ac:dyDescent="0.35">
      <c r="A3" s="39" t="s">
        <v>27</v>
      </c>
      <c r="B3" s="5" t="s">
        <v>6</v>
      </c>
      <c r="C3" s="20">
        <v>32700</v>
      </c>
      <c r="D3" s="20">
        <f>מכירות!E2+מכירות!E11</f>
        <v>10036.799999999999</v>
      </c>
      <c r="E3" s="20">
        <f>פתוחות!D11</f>
        <v>0</v>
      </c>
      <c r="F3" s="21">
        <f>(E3+D3)/C3</f>
        <v>0.30693577981651377</v>
      </c>
      <c r="G3" s="20">
        <f>(E3+D3)/$G$1</f>
        <v>22080.959999999999</v>
      </c>
      <c r="H3" s="21">
        <f>G3/C3</f>
        <v>0.67525871559633022</v>
      </c>
      <c r="I3" s="20">
        <f>C3/22</f>
        <v>1486.3636363636363</v>
      </c>
      <c r="J3" s="20">
        <f>(D3-E3)/$H$1</f>
        <v>836.4</v>
      </c>
      <c r="K3"/>
      <c r="L3"/>
      <c r="M3" s="3"/>
    </row>
    <row r="4" spans="1:13" ht="31.5" customHeight="1" x14ac:dyDescent="0.35">
      <c r="A4" s="39"/>
      <c r="B4" s="5" t="s">
        <v>7</v>
      </c>
      <c r="C4" s="20">
        <v>28340</v>
      </c>
      <c r="D4" s="20">
        <f>מכירות!E3</f>
        <v>11639.9</v>
      </c>
      <c r="E4" s="20">
        <f>פתוחות!D12</f>
        <v>481</v>
      </c>
      <c r="F4" s="21">
        <f t="shared" ref="F4:F13" si="0">(E4+D4)/C4</f>
        <v>0.42769583627381791</v>
      </c>
      <c r="G4" s="20">
        <f t="shared" ref="G4:G11" si="1">(E4+D4)/$G$1</f>
        <v>26665.98</v>
      </c>
      <c r="H4" s="21">
        <f t="shared" ref="H4:H12" si="2">G4/C4</f>
        <v>0.94093083980239944</v>
      </c>
      <c r="I4" s="20">
        <f t="shared" ref="I4:I5" si="3">C4/22</f>
        <v>1288.1818181818182</v>
      </c>
      <c r="J4" s="20">
        <f t="shared" ref="J4:J13" si="4">(D4-E4)/$H$1</f>
        <v>929.9083333333333</v>
      </c>
      <c r="K4"/>
      <c r="L4"/>
      <c r="M4" s="3"/>
    </row>
    <row r="5" spans="1:13" ht="31.5" customHeight="1" x14ac:dyDescent="0.35">
      <c r="A5" s="39"/>
      <c r="B5" s="5" t="s">
        <v>8</v>
      </c>
      <c r="C5" s="23">
        <v>149875</v>
      </c>
      <c r="D5" s="20">
        <f>מכירות!E4</f>
        <v>56289.2</v>
      </c>
      <c r="E5" s="20"/>
      <c r="F5" s="21">
        <f t="shared" si="0"/>
        <v>0.37557431192660551</v>
      </c>
      <c r="G5" s="20">
        <f t="shared" si="1"/>
        <v>123836.23999999999</v>
      </c>
      <c r="H5" s="21">
        <f t="shared" si="2"/>
        <v>0.82626348623853207</v>
      </c>
      <c r="I5" s="20">
        <f t="shared" si="3"/>
        <v>6812.5</v>
      </c>
      <c r="J5" s="20">
        <f t="shared" si="4"/>
        <v>4690.7666666666664</v>
      </c>
      <c r="K5"/>
      <c r="L5"/>
    </row>
    <row r="6" spans="1:13" ht="31.5" customHeight="1" x14ac:dyDescent="0.35">
      <c r="A6" s="39"/>
      <c r="B6" s="9" t="s">
        <v>10</v>
      </c>
      <c r="C6" s="24">
        <f>SUM(C3:C5)</f>
        <v>210915</v>
      </c>
      <c r="D6" s="24">
        <f>SUM(D3:D5)</f>
        <v>77965.899999999994</v>
      </c>
      <c r="E6" s="24">
        <f t="shared" ref="E6" si="5">SUM(E3:E5)</f>
        <v>481</v>
      </c>
      <c r="F6" s="25">
        <f t="shared" si="0"/>
        <v>0.37193608799753453</v>
      </c>
      <c r="G6" s="24">
        <f>SUM(G3:G5)</f>
        <v>172583.18</v>
      </c>
      <c r="H6" s="25">
        <f t="shared" si="2"/>
        <v>0.818259393594576</v>
      </c>
      <c r="I6" s="24">
        <f>SUM(I3:I5)</f>
        <v>9587.045454545454</v>
      </c>
      <c r="J6" s="24">
        <f>SUM(J3:J5)</f>
        <v>6457.0749999999998</v>
      </c>
      <c r="K6"/>
      <c r="L6"/>
    </row>
    <row r="7" spans="1:13" ht="31.5" customHeight="1" x14ac:dyDescent="0.35">
      <c r="A7" s="39"/>
      <c r="B7" s="5" t="s">
        <v>20</v>
      </c>
      <c r="C7" s="20">
        <v>10756</v>
      </c>
      <c r="D7" s="20">
        <f>מכירות!E7</f>
        <v>1222</v>
      </c>
      <c r="E7" s="5"/>
      <c r="F7" s="21">
        <f t="shared" si="0"/>
        <v>0.11361100780959464</v>
      </c>
      <c r="G7" s="20">
        <f t="shared" si="1"/>
        <v>2688.4</v>
      </c>
      <c r="H7" s="21">
        <f t="shared" si="2"/>
        <v>0.24994421718110824</v>
      </c>
      <c r="I7" s="6">
        <f>C7/22</f>
        <v>488.90909090909093</v>
      </c>
      <c r="J7" s="20">
        <f t="shared" si="4"/>
        <v>101.83333333333333</v>
      </c>
      <c r="K7"/>
      <c r="L7"/>
    </row>
    <row r="8" spans="1:13" ht="31.5" customHeight="1" x14ac:dyDescent="0.35">
      <c r="A8" s="39"/>
      <c r="B8" s="5" t="s">
        <v>25</v>
      </c>
      <c r="C8" s="20">
        <v>7964</v>
      </c>
      <c r="D8" s="20">
        <f>מכירות!E8</f>
        <v>899</v>
      </c>
      <c r="E8" s="5"/>
      <c r="F8" s="21">
        <f t="shared" si="0"/>
        <v>0.11288297338021094</v>
      </c>
      <c r="G8" s="20">
        <f t="shared" si="1"/>
        <v>1977.8</v>
      </c>
      <c r="H8" s="21">
        <f t="shared" si="2"/>
        <v>0.24834254143646409</v>
      </c>
      <c r="I8" s="6">
        <f t="shared" ref="I8:I10" si="6">C8/22</f>
        <v>362</v>
      </c>
      <c r="J8" s="20">
        <f t="shared" si="4"/>
        <v>74.916666666666671</v>
      </c>
      <c r="K8"/>
      <c r="L8"/>
    </row>
    <row r="9" spans="1:13" ht="31.5" customHeight="1" x14ac:dyDescent="0.35">
      <c r="A9" s="39"/>
      <c r="B9" s="5" t="s">
        <v>9</v>
      </c>
      <c r="C9" s="20">
        <v>21564</v>
      </c>
      <c r="D9" s="20">
        <f>מכירות!E5</f>
        <v>7584.6</v>
      </c>
      <c r="E9" s="5">
        <f>פתוחות!D13</f>
        <v>132</v>
      </c>
      <c r="F9" s="21">
        <f t="shared" si="0"/>
        <v>0.35784641068447415</v>
      </c>
      <c r="G9" s="20">
        <f t="shared" si="1"/>
        <v>16976.52</v>
      </c>
      <c r="H9" s="21">
        <f t="shared" si="2"/>
        <v>0.78726210350584314</v>
      </c>
      <c r="I9" s="6">
        <f t="shared" si="6"/>
        <v>980.18181818181813</v>
      </c>
      <c r="J9" s="20">
        <f t="shared" si="4"/>
        <v>621.05000000000007</v>
      </c>
      <c r="K9"/>
      <c r="L9"/>
    </row>
    <row r="10" spans="1:13" ht="31.5" customHeight="1" x14ac:dyDescent="0.35">
      <c r="A10" s="39"/>
      <c r="B10" s="5" t="s">
        <v>21</v>
      </c>
      <c r="C10" s="20">
        <v>5875</v>
      </c>
      <c r="D10" s="20">
        <f>מכירות!E9</f>
        <v>157</v>
      </c>
      <c r="E10" s="5"/>
      <c r="F10" s="21">
        <f t="shared" si="0"/>
        <v>2.672340425531915E-2</v>
      </c>
      <c r="G10" s="20">
        <f t="shared" si="1"/>
        <v>345.40000000000003</v>
      </c>
      <c r="H10" s="21">
        <f t="shared" si="2"/>
        <v>5.8791489361702136E-2</v>
      </c>
      <c r="I10" s="6">
        <f t="shared" si="6"/>
        <v>267.04545454545456</v>
      </c>
      <c r="J10" s="20">
        <f t="shared" si="4"/>
        <v>13.083333333333334</v>
      </c>
      <c r="K10"/>
      <c r="L10"/>
    </row>
    <row r="11" spans="1:13" ht="11.5" hidden="1" customHeight="1" x14ac:dyDescent="0.35">
      <c r="A11" s="39"/>
      <c r="B11" s="5" t="s">
        <v>22</v>
      </c>
      <c r="C11" s="20"/>
      <c r="D11" s="20"/>
      <c r="E11" s="5"/>
      <c r="F11" s="21" t="e">
        <f t="shared" si="0"/>
        <v>#DIV/0!</v>
      </c>
      <c r="G11" s="20">
        <f t="shared" si="1"/>
        <v>0</v>
      </c>
      <c r="H11" s="21" t="e">
        <f t="shared" si="2"/>
        <v>#DIV/0!</v>
      </c>
      <c r="I11" s="6">
        <f t="shared" ref="I11" si="7">C11/20</f>
        <v>0</v>
      </c>
      <c r="J11" s="20">
        <f t="shared" si="4"/>
        <v>0</v>
      </c>
      <c r="K11"/>
      <c r="L11"/>
    </row>
    <row r="12" spans="1:13" ht="16.5" customHeight="1" x14ac:dyDescent="0.35">
      <c r="A12" s="39"/>
      <c r="B12" s="9" t="s">
        <v>10</v>
      </c>
      <c r="C12" s="24">
        <f>SUM(C7:C11)</f>
        <v>46159</v>
      </c>
      <c r="D12" s="24">
        <f>SUM(D7:D11)</f>
        <v>9862.6</v>
      </c>
      <c r="E12" s="24">
        <f>SUM(E7:E11)</f>
        <v>132</v>
      </c>
      <c r="F12" s="25">
        <f t="shared" si="0"/>
        <v>0.21652548798717478</v>
      </c>
      <c r="G12" s="24">
        <f>SUM(G7:G11)</f>
        <v>21988.120000000003</v>
      </c>
      <c r="H12" s="25">
        <f t="shared" si="2"/>
        <v>0.47635607357178456</v>
      </c>
      <c r="I12" s="24">
        <f>SUM(I7:I11)</f>
        <v>2098.1363636363635</v>
      </c>
      <c r="J12" s="24">
        <f>SUM(J7:J11)</f>
        <v>810.88333333333344</v>
      </c>
      <c r="K12"/>
      <c r="L12"/>
    </row>
    <row r="13" spans="1:13" ht="31.5" customHeight="1" x14ac:dyDescent="0.35">
      <c r="A13" s="10"/>
      <c r="B13" s="10" t="s">
        <v>19</v>
      </c>
      <c r="C13" s="11">
        <f>C6+C12</f>
        <v>257074</v>
      </c>
      <c r="D13" s="11">
        <f>D6+D12</f>
        <v>87828.5</v>
      </c>
      <c r="E13" s="11">
        <f>E6+E12</f>
        <v>613</v>
      </c>
      <c r="F13" s="12">
        <f t="shared" si="0"/>
        <v>0.34403129060114984</v>
      </c>
      <c r="G13" s="11">
        <f>G6+G12</f>
        <v>194571.3</v>
      </c>
      <c r="H13" s="12">
        <f>G13/C13</f>
        <v>0.75686883932252969</v>
      </c>
      <c r="I13" s="11">
        <f>I6+I12</f>
        <v>11685.181818181818</v>
      </c>
      <c r="J13" s="11">
        <f>J6+J12</f>
        <v>7267.958333333333</v>
      </c>
    </row>
    <row r="14" spans="1:13" x14ac:dyDescent="0.35">
      <c r="D14" s="15"/>
    </row>
    <row r="15" spans="1:13" ht="15" customHeight="1" x14ac:dyDescent="0.35"/>
    <row r="16" spans="1:13" x14ac:dyDescent="0.35">
      <c r="D16" s="16"/>
    </row>
  </sheetData>
  <mergeCells count="1">
    <mergeCell ref="A3:A12"/>
  </mergeCells>
  <printOptions horizontalCentered="1" gridLines="1"/>
  <pageMargins left="0" right="0" top="0.74803149606299213" bottom="0.74803149606299213" header="0.31496062992125984" footer="0.31496062992125984"/>
  <pageSetup paperSize="9" orientation="landscape" r:id="rId1"/>
  <headerFooter>
    <oddHeader>&amp;L&amp;D&amp;Cיעד אוגוסט 2026 - 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20E8-E4A5-4106-B24E-0F2BBC708AC5}">
  <sheetPr>
    <pageSetUpPr fitToPage="1"/>
  </sheetPr>
  <dimension ref="A1:I44"/>
  <sheetViews>
    <sheetView rightToLeft="1" tabSelected="1" topLeftCell="A39" workbookViewId="0">
      <selection activeCell="C46" sqref="C46"/>
    </sheetView>
  </sheetViews>
  <sheetFormatPr defaultRowHeight="14" x14ac:dyDescent="0.3"/>
  <cols>
    <col min="2" max="2" width="18.58203125" customWidth="1"/>
    <col min="3" max="3" width="10.83203125" style="17" bestFit="1" customWidth="1"/>
    <col min="4" max="4" width="11" bestFit="1" customWidth="1"/>
    <col min="5" max="5" width="9.08203125" style="17" bestFit="1" customWidth="1"/>
    <col min="6" max="6" width="9.08203125" bestFit="1" customWidth="1"/>
    <col min="7" max="7" width="11" bestFit="1" customWidth="1"/>
    <col min="8" max="8" width="11" style="1" bestFit="1" customWidth="1"/>
    <col min="9" max="9" width="10.75" bestFit="1" customWidth="1"/>
  </cols>
  <sheetData>
    <row r="1" spans="1:8" x14ac:dyDescent="0.3">
      <c r="G1" s="28">
        <f>חאזם!G1</f>
        <v>0.45454545454545453</v>
      </c>
    </row>
    <row r="2" spans="1:8" x14ac:dyDescent="0.3">
      <c r="A2" t="s">
        <v>0</v>
      </c>
      <c r="B2" t="s">
        <v>0</v>
      </c>
      <c r="C2" s="17" t="s">
        <v>1</v>
      </c>
      <c r="D2" t="s">
        <v>2</v>
      </c>
      <c r="E2" s="17" t="s">
        <v>3</v>
      </c>
      <c r="F2" t="s">
        <v>4</v>
      </c>
      <c r="G2" t="s">
        <v>5</v>
      </c>
    </row>
    <row r="3" spans="1:8" x14ac:dyDescent="0.3">
      <c r="A3" t="s">
        <v>42</v>
      </c>
      <c r="B3" s="17" t="s">
        <v>6</v>
      </c>
      <c r="C3" s="17">
        <f>חאזם!C3</f>
        <v>109000</v>
      </c>
      <c r="D3" s="17">
        <f>חאזם!D3</f>
        <v>20013.099999999999</v>
      </c>
      <c r="E3" s="17">
        <f>חאזם!E3</f>
        <v>4595</v>
      </c>
      <c r="F3" s="28">
        <f t="shared" ref="F3:F42" si="0">(E3+D3)/C3</f>
        <v>0.22576238532110091</v>
      </c>
      <c r="G3" s="17">
        <f t="shared" ref="G3:G9" si="1">(D3+E3)/$G$1</f>
        <v>54137.82</v>
      </c>
    </row>
    <row r="4" spans="1:8" x14ac:dyDescent="0.3">
      <c r="B4" t="s">
        <v>7</v>
      </c>
      <c r="C4" s="17">
        <f>חאזם!C4</f>
        <v>25070</v>
      </c>
      <c r="D4" s="17">
        <f>חאזם!D4</f>
        <v>9809.2000000000007</v>
      </c>
      <c r="E4" s="17">
        <f>חאזם!E4</f>
        <v>646</v>
      </c>
      <c r="F4" s="28">
        <f t="shared" si="0"/>
        <v>0.41704028719585162</v>
      </c>
      <c r="G4" s="17">
        <f t="shared" si="1"/>
        <v>23001.440000000002</v>
      </c>
    </row>
    <row r="5" spans="1:8" x14ac:dyDescent="0.3">
      <c r="B5" t="s">
        <v>8</v>
      </c>
      <c r="C5" s="17">
        <f>חאזם!C5</f>
        <v>119900</v>
      </c>
      <c r="D5" s="17">
        <f>חאזם!D5</f>
        <v>50294</v>
      </c>
      <c r="F5" s="28">
        <f t="shared" si="0"/>
        <v>0.41946622185154298</v>
      </c>
      <c r="G5" s="17">
        <f t="shared" si="1"/>
        <v>110646.8</v>
      </c>
    </row>
    <row r="6" spans="1:8" ht="15.5" x14ac:dyDescent="0.35">
      <c r="B6" s="8" t="s">
        <v>20</v>
      </c>
      <c r="C6" s="17">
        <f>חאזם!C7</f>
        <v>47457</v>
      </c>
      <c r="D6" s="17">
        <f>חאזם!D7</f>
        <v>19629</v>
      </c>
      <c r="F6" s="28">
        <f t="shared" si="0"/>
        <v>0.41361653707566848</v>
      </c>
      <c r="G6" s="17">
        <f t="shared" si="1"/>
        <v>43183.8</v>
      </c>
    </row>
    <row r="7" spans="1:8" ht="15.5" x14ac:dyDescent="0.35">
      <c r="B7" s="8" t="s">
        <v>25</v>
      </c>
      <c r="C7" s="17">
        <f>חאזם!C8</f>
        <v>17036</v>
      </c>
      <c r="D7" s="17">
        <f>חאזם!D8</f>
        <v>5352</v>
      </c>
      <c r="F7" s="28">
        <f t="shared" si="0"/>
        <v>0.31415825311105894</v>
      </c>
      <c r="G7" s="17">
        <f t="shared" si="1"/>
        <v>11774.4</v>
      </c>
    </row>
    <row r="8" spans="1:8" ht="15.5" x14ac:dyDescent="0.35">
      <c r="B8" s="8" t="s">
        <v>9</v>
      </c>
      <c r="C8" s="17">
        <f>חאזם!C9</f>
        <v>21800</v>
      </c>
      <c r="D8" s="17">
        <f>חאזם!D9</f>
        <v>6626.4</v>
      </c>
      <c r="F8" s="28">
        <f t="shared" si="0"/>
        <v>0.30396330275229355</v>
      </c>
      <c r="G8" s="17">
        <f t="shared" si="1"/>
        <v>14578.08</v>
      </c>
    </row>
    <row r="9" spans="1:8" ht="15.5" x14ac:dyDescent="0.35">
      <c r="B9" s="8" t="s">
        <v>21</v>
      </c>
      <c r="C9" s="17">
        <f>חאזם!C10</f>
        <v>6250</v>
      </c>
      <c r="D9" s="17">
        <f>חאזם!D10</f>
        <v>0</v>
      </c>
      <c r="F9" s="28">
        <f t="shared" si="0"/>
        <v>0</v>
      </c>
      <c r="G9" s="17">
        <f t="shared" si="1"/>
        <v>0</v>
      </c>
    </row>
    <row r="10" spans="1:8" ht="16.5" customHeight="1" x14ac:dyDescent="0.3">
      <c r="A10" s="2" t="s">
        <v>11</v>
      </c>
      <c r="B10" s="2" t="s">
        <v>10</v>
      </c>
      <c r="C10" s="29">
        <f>SUM(C3:C9)</f>
        <v>346513</v>
      </c>
      <c r="D10" s="29">
        <f>SUM(D3:D9)</f>
        <v>111723.7</v>
      </c>
      <c r="E10" s="29">
        <f>SUM(E3:E9)</f>
        <v>5241</v>
      </c>
      <c r="F10" s="30">
        <f t="shared" si="0"/>
        <v>0.33754779762952614</v>
      </c>
      <c r="G10" s="29">
        <f>SUM(G3:G9)</f>
        <v>257322.33999999997</v>
      </c>
      <c r="H10" s="34"/>
    </row>
    <row r="11" spans="1:8" x14ac:dyDescent="0.3">
      <c r="A11" t="s">
        <v>12</v>
      </c>
      <c r="B11" s="17" t="s">
        <v>6</v>
      </c>
      <c r="C11" s="17">
        <f>דודו!C3</f>
        <v>45780</v>
      </c>
      <c r="D11" s="17">
        <f>דודו!D3</f>
        <v>28518.9</v>
      </c>
      <c r="E11" s="17">
        <f>דודו!E3</f>
        <v>885</v>
      </c>
      <c r="F11" s="28">
        <f t="shared" si="0"/>
        <v>0.64228702490170386</v>
      </c>
      <c r="G11" s="17">
        <f t="shared" ref="G11:G17" si="2">(D11+E11)/$G$1</f>
        <v>64688.58</v>
      </c>
    </row>
    <row r="12" spans="1:8" x14ac:dyDescent="0.3">
      <c r="B12" t="s">
        <v>7</v>
      </c>
      <c r="C12" s="17">
        <f>דודו!C4</f>
        <v>25070</v>
      </c>
      <c r="D12" s="17">
        <f>דודו!D4</f>
        <v>5330.1</v>
      </c>
      <c r="E12" s="17">
        <f>דודו!E4</f>
        <v>320</v>
      </c>
      <c r="F12" s="28">
        <f t="shared" si="0"/>
        <v>0.2253729557239729</v>
      </c>
      <c r="G12" s="17">
        <f t="shared" si="2"/>
        <v>12430.220000000001</v>
      </c>
    </row>
    <row r="13" spans="1:8" x14ac:dyDescent="0.3">
      <c r="B13" t="s">
        <v>8</v>
      </c>
      <c r="C13" s="17">
        <f>דודו!C5</f>
        <v>167860</v>
      </c>
      <c r="D13" s="17">
        <f>דודו!D5</f>
        <v>78350.3</v>
      </c>
      <c r="F13" s="28">
        <f t="shared" si="0"/>
        <v>0.46675979983319432</v>
      </c>
      <c r="G13" s="17">
        <f t="shared" si="2"/>
        <v>172370.66</v>
      </c>
    </row>
    <row r="14" spans="1:8" ht="15.5" x14ac:dyDescent="0.35">
      <c r="B14" s="8" t="s">
        <v>20</v>
      </c>
      <c r="C14" s="17">
        <f>דודו!C7</f>
        <v>28992</v>
      </c>
      <c r="D14" s="17">
        <f>דודו!D7</f>
        <v>8622</v>
      </c>
      <c r="F14" s="28">
        <f t="shared" si="0"/>
        <v>0.29739238410596025</v>
      </c>
      <c r="G14" s="17">
        <f t="shared" si="2"/>
        <v>18968.400000000001</v>
      </c>
    </row>
    <row r="15" spans="1:8" ht="15.5" x14ac:dyDescent="0.35">
      <c r="B15" s="8" t="s">
        <v>25</v>
      </c>
      <c r="C15" s="17">
        <f>דודו!C8</f>
        <v>0</v>
      </c>
      <c r="D15" s="17">
        <f>דודו!D8</f>
        <v>0</v>
      </c>
      <c r="F15" s="28" t="e">
        <f t="shared" si="0"/>
        <v>#DIV/0!</v>
      </c>
      <c r="G15" s="17">
        <f t="shared" si="2"/>
        <v>0</v>
      </c>
    </row>
    <row r="16" spans="1:8" ht="15.5" x14ac:dyDescent="0.35">
      <c r="B16" s="8" t="s">
        <v>9</v>
      </c>
      <c r="C16" s="17">
        <f>דודו!C9</f>
        <v>43600</v>
      </c>
      <c r="D16" s="17">
        <f>דודו!D9</f>
        <v>27849.1</v>
      </c>
      <c r="F16" s="28">
        <f t="shared" si="0"/>
        <v>0.63874082568807333</v>
      </c>
      <c r="G16" s="17">
        <f t="shared" si="2"/>
        <v>61268.02</v>
      </c>
    </row>
    <row r="17" spans="1:8" ht="15.5" x14ac:dyDescent="0.35">
      <c r="B17" s="8" t="s">
        <v>21</v>
      </c>
      <c r="C17" s="17">
        <f>דודו!C10</f>
        <v>6250</v>
      </c>
      <c r="D17" s="17">
        <f>דודו!D10</f>
        <v>0</v>
      </c>
      <c r="F17" s="28">
        <f t="shared" si="0"/>
        <v>0</v>
      </c>
      <c r="G17" s="17">
        <f t="shared" si="2"/>
        <v>0</v>
      </c>
    </row>
    <row r="18" spans="1:8" x14ac:dyDescent="0.3">
      <c r="A18" s="2" t="s">
        <v>12</v>
      </c>
      <c r="B18" s="2" t="s">
        <v>10</v>
      </c>
      <c r="C18" s="29">
        <f>SUM(C11:C17)</f>
        <v>317552</v>
      </c>
      <c r="D18" s="31">
        <f>SUM(D11:D17)</f>
        <v>148670.39999999999</v>
      </c>
      <c r="E18" s="31">
        <f>SUM(E11:E17)</f>
        <v>1205</v>
      </c>
      <c r="F18" s="30">
        <f t="shared" si="0"/>
        <v>0.47197120471607795</v>
      </c>
      <c r="G18" s="31">
        <f>SUM(G11:G17)</f>
        <v>329725.88000000006</v>
      </c>
      <c r="H18" s="34"/>
    </row>
    <row r="19" spans="1:8" x14ac:dyDescent="0.3">
      <c r="A19" t="s">
        <v>29</v>
      </c>
      <c r="B19" s="17" t="s">
        <v>6</v>
      </c>
      <c r="C19" s="17">
        <f>חיים!C3</f>
        <v>30520</v>
      </c>
      <c r="D19" s="17">
        <f>חיים!D3</f>
        <v>13592.7</v>
      </c>
      <c r="E19" s="17">
        <f>חיים!E3</f>
        <v>75</v>
      </c>
      <c r="F19" s="28">
        <f t="shared" si="0"/>
        <v>0.44782765399737878</v>
      </c>
      <c r="G19" s="17">
        <f t="shared" ref="G19:G25" si="3">(D19+E19)/$G$1</f>
        <v>30068.940000000002</v>
      </c>
      <c r="H19" s="32"/>
    </row>
    <row r="20" spans="1:8" x14ac:dyDescent="0.3">
      <c r="B20" t="s">
        <v>7</v>
      </c>
      <c r="C20" s="17">
        <f>חיים!C4</f>
        <v>30520</v>
      </c>
      <c r="D20" s="17">
        <f>חיים!D4</f>
        <v>9861.2000000000007</v>
      </c>
      <c r="E20" s="17">
        <f>חיים!E4</f>
        <v>408</v>
      </c>
      <c r="F20" s="28">
        <f t="shared" si="0"/>
        <v>0.3364744429882045</v>
      </c>
      <c r="G20" s="17">
        <f t="shared" si="3"/>
        <v>22592.240000000002</v>
      </c>
      <c r="H20" s="32"/>
    </row>
    <row r="21" spans="1:8" x14ac:dyDescent="0.3">
      <c r="B21" t="s">
        <v>8</v>
      </c>
      <c r="C21" s="17">
        <f>חיים!C5</f>
        <v>161865</v>
      </c>
      <c r="D21" s="17">
        <f>חיים!D5</f>
        <v>64049.2</v>
      </c>
      <c r="F21" s="28">
        <f t="shared" si="0"/>
        <v>0.39569517808049914</v>
      </c>
      <c r="G21" s="17">
        <f t="shared" si="3"/>
        <v>140908.24</v>
      </c>
      <c r="H21" s="32"/>
    </row>
    <row r="22" spans="1:8" ht="15.5" x14ac:dyDescent="0.35">
      <c r="B22" s="8" t="s">
        <v>20</v>
      </c>
      <c r="C22" s="17">
        <f>חיים!C7</f>
        <v>12794</v>
      </c>
      <c r="D22" s="17">
        <f>חיים!D7</f>
        <v>4269</v>
      </c>
      <c r="F22" s="28">
        <f t="shared" si="0"/>
        <v>0.33367203376582771</v>
      </c>
      <c r="G22" s="17">
        <f t="shared" si="3"/>
        <v>9391.8000000000011</v>
      </c>
      <c r="H22" s="32"/>
    </row>
    <row r="23" spans="1:8" ht="15.5" x14ac:dyDescent="0.35">
      <c r="B23" s="8" t="s">
        <v>25</v>
      </c>
      <c r="C23" s="17">
        <f>חיים!C8</f>
        <v>0</v>
      </c>
      <c r="D23" s="17">
        <f>חיים!D8</f>
        <v>0</v>
      </c>
      <c r="F23" s="28" t="e">
        <f t="shared" si="0"/>
        <v>#DIV/0!</v>
      </c>
      <c r="G23" s="17">
        <f t="shared" si="3"/>
        <v>0</v>
      </c>
      <c r="H23" s="32"/>
    </row>
    <row r="24" spans="1:8" ht="15.5" x14ac:dyDescent="0.35">
      <c r="B24" s="8" t="s">
        <v>9</v>
      </c>
      <c r="C24" s="17">
        <f>חיים!C9</f>
        <v>6625</v>
      </c>
      <c r="D24" s="17">
        <f>חיים!D9</f>
        <v>4045</v>
      </c>
      <c r="F24" s="28">
        <f t="shared" si="0"/>
        <v>0.61056603773584905</v>
      </c>
      <c r="G24" s="17">
        <f t="shared" si="3"/>
        <v>8899</v>
      </c>
      <c r="H24" s="32"/>
    </row>
    <row r="25" spans="1:8" ht="15.5" x14ac:dyDescent="0.35">
      <c r="B25" s="8" t="s">
        <v>21</v>
      </c>
      <c r="C25" s="17">
        <f>חיים!C10</f>
        <v>22036</v>
      </c>
      <c r="D25" s="17">
        <f>חיים!D10</f>
        <v>1212</v>
      </c>
      <c r="F25" s="28">
        <f t="shared" si="0"/>
        <v>5.5000907605736067E-2</v>
      </c>
      <c r="G25" s="17">
        <f t="shared" si="3"/>
        <v>2666.4</v>
      </c>
      <c r="H25" s="32"/>
    </row>
    <row r="26" spans="1:8" x14ac:dyDescent="0.3">
      <c r="A26" s="2" t="s">
        <v>29</v>
      </c>
      <c r="B26" s="2" t="s">
        <v>10</v>
      </c>
      <c r="C26" s="29">
        <f>SUM(C19:C25)</f>
        <v>264360</v>
      </c>
      <c r="D26" s="31">
        <f>SUM(D19:D25)</f>
        <v>97029.1</v>
      </c>
      <c r="E26" s="31">
        <f>SUM(E19:E25)</f>
        <v>483</v>
      </c>
      <c r="F26" s="30">
        <f t="shared" si="0"/>
        <v>0.36886102284763206</v>
      </c>
      <c r="G26" s="31">
        <f>SUM(G19:G25)</f>
        <v>214526.61999999997</v>
      </c>
      <c r="H26" s="34"/>
    </row>
    <row r="27" spans="1:8" x14ac:dyDescent="0.3">
      <c r="A27" t="s">
        <v>27</v>
      </c>
      <c r="B27" s="17" t="s">
        <v>6</v>
      </c>
      <c r="C27" s="17">
        <f>סטאס!C3</f>
        <v>32700</v>
      </c>
      <c r="D27" s="17">
        <f>סטאס!D3</f>
        <v>10036.799999999999</v>
      </c>
      <c r="E27" s="17">
        <f>סטאס!E3</f>
        <v>0</v>
      </c>
      <c r="F27" s="28">
        <f t="shared" si="0"/>
        <v>0.30693577981651377</v>
      </c>
      <c r="G27" s="17">
        <f t="shared" ref="G27:G33" si="4">(D27+E27)/$G$1</f>
        <v>22080.959999999999</v>
      </c>
    </row>
    <row r="28" spans="1:8" x14ac:dyDescent="0.3">
      <c r="B28" t="s">
        <v>7</v>
      </c>
      <c r="C28" s="17">
        <f>סטאס!C4</f>
        <v>28340</v>
      </c>
      <c r="D28" s="17">
        <f>סטאס!D4</f>
        <v>11639.9</v>
      </c>
      <c r="E28" s="17">
        <f>סטאס!E4</f>
        <v>481</v>
      </c>
      <c r="F28" s="28">
        <f t="shared" si="0"/>
        <v>0.42769583627381791</v>
      </c>
      <c r="G28" s="17">
        <f t="shared" si="4"/>
        <v>26665.98</v>
      </c>
    </row>
    <row r="29" spans="1:8" x14ac:dyDescent="0.3">
      <c r="B29" t="s">
        <v>8</v>
      </c>
      <c r="C29" s="17">
        <f>סטאס!C5</f>
        <v>149875</v>
      </c>
      <c r="D29" s="17">
        <f>סטאס!D5</f>
        <v>56289.2</v>
      </c>
      <c r="F29" s="28">
        <f t="shared" si="0"/>
        <v>0.37557431192660551</v>
      </c>
      <c r="G29" s="17">
        <f t="shared" si="4"/>
        <v>123836.23999999999</v>
      </c>
    </row>
    <row r="30" spans="1:8" ht="15.5" x14ac:dyDescent="0.35">
      <c r="B30" s="8" t="s">
        <v>20</v>
      </c>
      <c r="C30" s="17">
        <f>סטאס!C7</f>
        <v>10756</v>
      </c>
      <c r="D30" s="17">
        <f>סטאס!D7</f>
        <v>1222</v>
      </c>
      <c r="F30" s="28">
        <f t="shared" si="0"/>
        <v>0.11361100780959464</v>
      </c>
      <c r="G30" s="17">
        <f t="shared" si="4"/>
        <v>2688.4</v>
      </c>
    </row>
    <row r="31" spans="1:8" ht="15.5" x14ac:dyDescent="0.35">
      <c r="B31" s="8" t="s">
        <v>25</v>
      </c>
      <c r="C31" s="17">
        <f>סטאס!C8</f>
        <v>7964</v>
      </c>
      <c r="D31" s="17">
        <f>סטאס!D8</f>
        <v>899</v>
      </c>
      <c r="F31" s="28">
        <f t="shared" si="0"/>
        <v>0.11288297338021094</v>
      </c>
      <c r="G31" s="17">
        <f t="shared" si="4"/>
        <v>1977.8</v>
      </c>
    </row>
    <row r="32" spans="1:8" ht="15.5" x14ac:dyDescent="0.35">
      <c r="B32" s="8" t="s">
        <v>9</v>
      </c>
      <c r="C32" s="17">
        <f>סטאס!C9</f>
        <v>21564</v>
      </c>
      <c r="D32" s="17">
        <f>סטאס!D9</f>
        <v>7584.6</v>
      </c>
      <c r="F32" s="28">
        <f t="shared" si="0"/>
        <v>0.35172509738452978</v>
      </c>
      <c r="G32" s="17">
        <f t="shared" si="4"/>
        <v>16686.120000000003</v>
      </c>
    </row>
    <row r="33" spans="1:9" ht="15.5" x14ac:dyDescent="0.35">
      <c r="B33" s="8" t="s">
        <v>21</v>
      </c>
      <c r="C33" s="17">
        <f>סטאס!C10</f>
        <v>5875</v>
      </c>
      <c r="D33" s="17">
        <f>סטאס!D10</f>
        <v>157</v>
      </c>
      <c r="F33" s="28">
        <f t="shared" si="0"/>
        <v>2.672340425531915E-2</v>
      </c>
      <c r="G33" s="17">
        <f t="shared" si="4"/>
        <v>345.40000000000003</v>
      </c>
    </row>
    <row r="34" spans="1:9" ht="30.75" customHeight="1" x14ac:dyDescent="0.3">
      <c r="A34" s="2" t="s">
        <v>27</v>
      </c>
      <c r="B34" s="2" t="s">
        <v>10</v>
      </c>
      <c r="C34" s="29">
        <f>SUM(C27:C33)</f>
        <v>257074</v>
      </c>
      <c r="D34" s="29">
        <f>SUM(D27:D33)</f>
        <v>87828.5</v>
      </c>
      <c r="E34" s="29">
        <f>SUM(E27:E33)</f>
        <v>481</v>
      </c>
      <c r="F34" s="30">
        <f t="shared" si="0"/>
        <v>0.3435178197717389</v>
      </c>
      <c r="G34" s="29">
        <f>SUM(G27:G33)</f>
        <v>194280.89999999997</v>
      </c>
      <c r="H34" s="33" t="s">
        <v>28</v>
      </c>
      <c r="I34" s="38" t="s">
        <v>50</v>
      </c>
    </row>
    <row r="35" spans="1:9" x14ac:dyDescent="0.3">
      <c r="A35" t="s">
        <v>10</v>
      </c>
      <c r="B35" s="17" t="s">
        <v>6</v>
      </c>
      <c r="C35" s="17">
        <f t="shared" ref="C35:D41" si="5">C3+C11+C19+C27</f>
        <v>218000</v>
      </c>
      <c r="D35" s="17">
        <f t="shared" si="5"/>
        <v>72161.5</v>
      </c>
      <c r="E35" s="17">
        <f>E3+E11+E27+E19</f>
        <v>5555</v>
      </c>
      <c r="F35" s="28">
        <f t="shared" si="0"/>
        <v>0.35649770642201833</v>
      </c>
      <c r="G35" s="17">
        <f t="shared" ref="G35:G41" si="6">G3+G11+G27</f>
        <v>140907.35999999999</v>
      </c>
      <c r="H35" s="1">
        <f>C35*0.91</f>
        <v>198380</v>
      </c>
      <c r="I35" s="36">
        <f>D35*0.91</f>
        <v>65666.964999999997</v>
      </c>
    </row>
    <row r="36" spans="1:9" x14ac:dyDescent="0.3">
      <c r="B36" t="s">
        <v>7</v>
      </c>
      <c r="C36" s="17">
        <f t="shared" si="5"/>
        <v>109000</v>
      </c>
      <c r="D36" s="17">
        <f t="shared" si="5"/>
        <v>36640.400000000001</v>
      </c>
      <c r="E36" s="17">
        <f>E4+E12+E28+E20</f>
        <v>1855</v>
      </c>
      <c r="F36" s="28">
        <f t="shared" si="0"/>
        <v>0.35316880733944955</v>
      </c>
      <c r="G36" s="17">
        <f t="shared" si="6"/>
        <v>62097.64</v>
      </c>
      <c r="H36" s="1">
        <f t="shared" ref="H36:H37" si="7">C36*0.91</f>
        <v>99190</v>
      </c>
      <c r="I36" s="36">
        <f t="shared" ref="I36:I40" si="8">D36*0.91</f>
        <v>33342.764000000003</v>
      </c>
    </row>
    <row r="37" spans="1:9" x14ac:dyDescent="0.3">
      <c r="B37" t="s">
        <v>8</v>
      </c>
      <c r="C37" s="17">
        <f t="shared" si="5"/>
        <v>599500</v>
      </c>
      <c r="D37" s="17">
        <f t="shared" si="5"/>
        <v>248982.7</v>
      </c>
      <c r="E37" s="17">
        <f>E5+E13+E29</f>
        <v>0</v>
      </c>
      <c r="F37" s="28">
        <f t="shared" si="0"/>
        <v>0.41531726438698918</v>
      </c>
      <c r="G37" s="17">
        <f t="shared" si="6"/>
        <v>406853.7</v>
      </c>
      <c r="H37" s="1">
        <f t="shared" si="7"/>
        <v>545545</v>
      </c>
      <c r="I37" s="36">
        <f t="shared" si="8"/>
        <v>226574.25700000001</v>
      </c>
    </row>
    <row r="38" spans="1:9" ht="15.5" x14ac:dyDescent="0.35">
      <c r="B38" s="8" t="s">
        <v>20</v>
      </c>
      <c r="C38" s="17">
        <f t="shared" si="5"/>
        <v>99999</v>
      </c>
      <c r="D38" s="17">
        <f t="shared" si="5"/>
        <v>33742</v>
      </c>
      <c r="E38" s="17">
        <f>E6+E14+E30</f>
        <v>0</v>
      </c>
      <c r="F38" s="28">
        <f t="shared" si="0"/>
        <v>0.33742337423374236</v>
      </c>
      <c r="G38" s="17">
        <f t="shared" si="6"/>
        <v>64840.600000000006</v>
      </c>
      <c r="H38" s="1">
        <f>C38</f>
        <v>99999</v>
      </c>
      <c r="I38" s="36">
        <f>D38</f>
        <v>33742</v>
      </c>
    </row>
    <row r="39" spans="1:9" ht="15.5" x14ac:dyDescent="0.35">
      <c r="B39" s="8" t="s">
        <v>25</v>
      </c>
      <c r="C39" s="17">
        <f t="shared" si="5"/>
        <v>25000</v>
      </c>
      <c r="D39" s="17">
        <f t="shared" si="5"/>
        <v>6251</v>
      </c>
      <c r="E39" s="17">
        <f>E7+E15+E31</f>
        <v>0</v>
      </c>
      <c r="F39" s="28">
        <f t="shared" si="0"/>
        <v>0.25003999999999998</v>
      </c>
      <c r="G39" s="17">
        <f t="shared" si="6"/>
        <v>13752.199999999999</v>
      </c>
      <c r="H39" s="1">
        <f t="shared" ref="H39:H41" si="9">C39</f>
        <v>25000</v>
      </c>
      <c r="I39" s="36">
        <f>D39</f>
        <v>6251</v>
      </c>
    </row>
    <row r="40" spans="1:9" ht="15.5" x14ac:dyDescent="0.35">
      <c r="B40" s="8" t="s">
        <v>9</v>
      </c>
      <c r="C40" s="17">
        <f t="shared" si="5"/>
        <v>93589</v>
      </c>
      <c r="D40" s="17">
        <f t="shared" si="5"/>
        <v>46105.1</v>
      </c>
      <c r="E40" s="17">
        <f>E8+E16+E32</f>
        <v>0</v>
      </c>
      <c r="F40" s="28">
        <f t="shared" si="0"/>
        <v>0.49263374969280577</v>
      </c>
      <c r="G40" s="17">
        <f t="shared" si="6"/>
        <v>92532.22</v>
      </c>
      <c r="H40" s="1">
        <f t="shared" si="9"/>
        <v>93589</v>
      </c>
      <c r="I40" s="36">
        <f t="shared" si="8"/>
        <v>41955.641000000003</v>
      </c>
    </row>
    <row r="41" spans="1:9" ht="15.5" x14ac:dyDescent="0.35">
      <c r="B41" s="8" t="s">
        <v>21</v>
      </c>
      <c r="C41" s="17">
        <f t="shared" si="5"/>
        <v>40411</v>
      </c>
      <c r="D41" s="17">
        <f t="shared" si="5"/>
        <v>1369</v>
      </c>
      <c r="E41" s="17">
        <f>E9+E17+E33</f>
        <v>0</v>
      </c>
      <c r="F41" s="28">
        <f t="shared" si="0"/>
        <v>3.3876914701442676E-2</v>
      </c>
      <c r="G41" s="17">
        <f t="shared" si="6"/>
        <v>345.40000000000003</v>
      </c>
      <c r="H41" s="1">
        <f t="shared" si="9"/>
        <v>40411</v>
      </c>
      <c r="I41" s="36">
        <f>D41</f>
        <v>1369</v>
      </c>
    </row>
    <row r="42" spans="1:9" x14ac:dyDescent="0.3">
      <c r="A42" s="2" t="s">
        <v>10</v>
      </c>
      <c r="B42" s="2" t="s">
        <v>10</v>
      </c>
      <c r="C42" s="29">
        <f>SUM(C35:C41)</f>
        <v>1185499</v>
      </c>
      <c r="D42" s="29">
        <f>SUM(D35:D41)</f>
        <v>445251.69999999995</v>
      </c>
      <c r="E42" s="29">
        <f>SUM(E35:E41)</f>
        <v>7410</v>
      </c>
      <c r="F42" s="30">
        <f t="shared" si="0"/>
        <v>0.38183220736584339</v>
      </c>
      <c r="G42" s="29">
        <f>SUM(G35:G41)</f>
        <v>781329.11999999988</v>
      </c>
      <c r="H42" s="1">
        <f>SUM(H35:H41)</f>
        <v>1102114</v>
      </c>
      <c r="I42" s="1">
        <f>SUM(I35:I41)</f>
        <v>408901.62700000004</v>
      </c>
    </row>
    <row r="43" spans="1:9" x14ac:dyDescent="0.3">
      <c r="D43" s="1"/>
    </row>
    <row r="44" spans="1:9" x14ac:dyDescent="0.3">
      <c r="D44" s="36"/>
    </row>
  </sheetData>
  <printOptions horizontalCentered="1" gridLines="1"/>
  <pageMargins left="0" right="0" top="0.74803149606299213" bottom="0.74803149606299213" header="0.31496062992125984" footer="0.31496062992125984"/>
  <pageSetup paperSize="9" scale="78" orientation="landscape" r:id="rId1"/>
  <headerFooter>
    <oddHeader>&amp;L&amp;D&amp;Cיעד אוגוסט 2026 - 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3FD1-267B-495D-B830-55E39EF34FC5}">
  <dimension ref="A1:E17"/>
  <sheetViews>
    <sheetView rightToLeft="1" workbookViewId="0">
      <selection activeCell="G12" sqref="G12"/>
    </sheetView>
  </sheetViews>
  <sheetFormatPr defaultRowHeight="14" x14ac:dyDescent="0.3"/>
  <cols>
    <col min="1" max="1" width="14" customWidth="1"/>
    <col min="2" max="2" width="12.5" bestFit="1" customWidth="1"/>
    <col min="3" max="3" width="14.58203125" bestFit="1" customWidth="1"/>
    <col min="4" max="4" width="14.5" customWidth="1"/>
    <col min="5" max="5" width="11.83203125" bestFit="1" customWidth="1"/>
  </cols>
  <sheetData>
    <row r="1" spans="1:5" x14ac:dyDescent="0.3">
      <c r="A1" t="s">
        <v>13</v>
      </c>
      <c r="B1" t="s">
        <v>12</v>
      </c>
      <c r="C1" t="s">
        <v>51</v>
      </c>
      <c r="D1" t="s">
        <v>29</v>
      </c>
      <c r="E1" t="s">
        <v>27</v>
      </c>
    </row>
    <row r="2" spans="1:5" x14ac:dyDescent="0.3">
      <c r="A2" t="s">
        <v>14</v>
      </c>
      <c r="B2" s="37">
        <f>24940.9+3121</f>
        <v>28061.9</v>
      </c>
      <c r="C2" s="37">
        <f>19176.1-439</f>
        <v>18737.099999999999</v>
      </c>
      <c r="D2" s="37">
        <f>12979.7+613</f>
        <v>13592.7</v>
      </c>
      <c r="E2" s="37">
        <v>7414.8</v>
      </c>
    </row>
    <row r="3" spans="1:5" x14ac:dyDescent="0.3">
      <c r="A3" t="s">
        <v>7</v>
      </c>
      <c r="B3" s="37">
        <v>5330.1</v>
      </c>
      <c r="C3" s="37">
        <v>9809.2000000000007</v>
      </c>
      <c r="D3" s="37">
        <v>9861.2000000000007</v>
      </c>
      <c r="E3" s="37">
        <v>11639.9</v>
      </c>
    </row>
    <row r="4" spans="1:5" x14ac:dyDescent="0.3">
      <c r="A4" t="s">
        <v>8</v>
      </c>
      <c r="B4" s="37">
        <f>77984.3+366</f>
        <v>78350.3</v>
      </c>
      <c r="C4" s="37">
        <f>44573+5721</f>
        <v>50294</v>
      </c>
      <c r="D4" s="37">
        <f>63318.2+731</f>
        <v>64049.2</v>
      </c>
      <c r="E4" s="37">
        <v>56289.2</v>
      </c>
    </row>
    <row r="5" spans="1:5" ht="15.5" x14ac:dyDescent="0.35">
      <c r="A5" s="8" t="s">
        <v>9</v>
      </c>
      <c r="B5" s="37">
        <f>24724.1+3125</f>
        <v>27849.1</v>
      </c>
      <c r="C5" s="37">
        <f>6500.4+126</f>
        <v>6626.4</v>
      </c>
      <c r="D5" s="37">
        <v>4045</v>
      </c>
      <c r="E5" s="37">
        <f>6570.6+1014</f>
        <v>7584.6</v>
      </c>
    </row>
    <row r="6" spans="1:5" x14ac:dyDescent="0.3">
      <c r="B6" s="37"/>
      <c r="C6" s="37"/>
      <c r="D6" s="37"/>
      <c r="E6" s="37"/>
    </row>
    <row r="7" spans="1:5" ht="15.5" x14ac:dyDescent="0.35">
      <c r="A7" s="18" t="s">
        <v>24</v>
      </c>
      <c r="B7" s="37">
        <v>8622</v>
      </c>
      <c r="C7" s="37">
        <v>19629</v>
      </c>
      <c r="D7" s="37">
        <v>4269</v>
      </c>
      <c r="E7" s="37">
        <v>1222</v>
      </c>
    </row>
    <row r="8" spans="1:5" ht="15.5" x14ac:dyDescent="0.35">
      <c r="A8" s="18" t="s">
        <v>25</v>
      </c>
      <c r="B8" s="37"/>
      <c r="C8" s="37">
        <v>5352</v>
      </c>
      <c r="D8" s="37"/>
      <c r="E8" s="37">
        <v>899</v>
      </c>
    </row>
    <row r="9" spans="1:5" ht="15.5" x14ac:dyDescent="0.35">
      <c r="A9" s="8" t="s">
        <v>21</v>
      </c>
      <c r="B9" s="37"/>
      <c r="C9" s="37"/>
      <c r="D9" s="37">
        <v>1212</v>
      </c>
      <c r="E9" s="37">
        <v>157</v>
      </c>
    </row>
    <row r="10" spans="1:5" ht="15.5" x14ac:dyDescent="0.35">
      <c r="A10" s="8" t="s">
        <v>22</v>
      </c>
      <c r="B10" s="37"/>
      <c r="C10" s="37"/>
      <c r="D10" s="37"/>
      <c r="E10" s="37"/>
    </row>
    <row r="11" spans="1:5" ht="15.5" x14ac:dyDescent="0.35">
      <c r="A11" s="8" t="s">
        <v>26</v>
      </c>
      <c r="B11" s="37">
        <v>457</v>
      </c>
      <c r="C11" s="37">
        <v>1276</v>
      </c>
      <c r="D11" s="37">
        <v>1303</v>
      </c>
      <c r="E11" s="37">
        <v>2622</v>
      </c>
    </row>
    <row r="12" spans="1:5" x14ac:dyDescent="0.3">
      <c r="A12" s="19"/>
      <c r="B12" s="35"/>
      <c r="C12" s="35"/>
      <c r="D12" s="35"/>
      <c r="E12" s="35"/>
    </row>
    <row r="13" spans="1:5" x14ac:dyDescent="0.3">
      <c r="B13" s="1"/>
      <c r="C13" s="1"/>
      <c r="D13" s="1"/>
      <c r="E13" s="1"/>
    </row>
    <row r="14" spans="1:5" x14ac:dyDescent="0.3">
      <c r="B14" s="1"/>
      <c r="C14" s="1"/>
      <c r="D14" s="1"/>
      <c r="E14" s="1"/>
    </row>
    <row r="15" spans="1:5" x14ac:dyDescent="0.3">
      <c r="B15" s="1"/>
      <c r="C15" s="1"/>
      <c r="D15" s="1"/>
      <c r="E15" s="1"/>
    </row>
    <row r="16" spans="1:5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12E36-E221-407C-86FB-DAB2BE4D62EF}">
  <dimension ref="A1:D14"/>
  <sheetViews>
    <sheetView rightToLeft="1" workbookViewId="0">
      <selection activeCell="F1" sqref="F1:I1048576"/>
    </sheetView>
  </sheetViews>
  <sheetFormatPr defaultRowHeight="14" x14ac:dyDescent="0.3"/>
  <cols>
    <col min="4" max="4" width="10.75" bestFit="1" customWidth="1"/>
  </cols>
  <sheetData>
    <row r="1" spans="1:4" x14ac:dyDescent="0.3">
      <c r="A1" t="s">
        <v>23</v>
      </c>
      <c r="B1" t="s">
        <v>0</v>
      </c>
      <c r="C1" t="s">
        <v>33</v>
      </c>
      <c r="D1" t="s">
        <v>35</v>
      </c>
    </row>
    <row r="2" spans="1:4" x14ac:dyDescent="0.3">
      <c r="A2" s="4" t="s">
        <v>16</v>
      </c>
      <c r="B2" t="s">
        <v>30</v>
      </c>
      <c r="D2" s="1">
        <v>4595</v>
      </c>
    </row>
    <row r="3" spans="1:4" x14ac:dyDescent="0.3">
      <c r="A3" s="4" t="s">
        <v>15</v>
      </c>
      <c r="B3" t="s">
        <v>30</v>
      </c>
      <c r="D3" s="1">
        <v>646</v>
      </c>
    </row>
    <row r="4" spans="1:4" x14ac:dyDescent="0.3">
      <c r="A4" s="4" t="s">
        <v>32</v>
      </c>
      <c r="B4" t="s">
        <v>30</v>
      </c>
      <c r="D4" s="1">
        <v>302</v>
      </c>
    </row>
    <row r="5" spans="1:4" x14ac:dyDescent="0.3">
      <c r="A5" s="4" t="s">
        <v>16</v>
      </c>
      <c r="B5" t="s">
        <v>34</v>
      </c>
      <c r="D5" s="1">
        <v>885</v>
      </c>
    </row>
    <row r="6" spans="1:4" x14ac:dyDescent="0.3">
      <c r="A6" s="4" t="s">
        <v>15</v>
      </c>
      <c r="B6" t="s">
        <v>34</v>
      </c>
      <c r="D6" s="1">
        <v>320</v>
      </c>
    </row>
    <row r="7" spans="1:4" x14ac:dyDescent="0.3">
      <c r="A7" s="4" t="s">
        <v>32</v>
      </c>
      <c r="B7" t="s">
        <v>34</v>
      </c>
      <c r="D7" s="1">
        <v>2240</v>
      </c>
    </row>
    <row r="8" spans="1:4" x14ac:dyDescent="0.3">
      <c r="A8" s="4" t="s">
        <v>16</v>
      </c>
      <c r="B8" t="s">
        <v>29</v>
      </c>
      <c r="D8" s="1">
        <v>75</v>
      </c>
    </row>
    <row r="9" spans="1:4" x14ac:dyDescent="0.3">
      <c r="A9" s="4" t="s">
        <v>15</v>
      </c>
      <c r="B9" t="s">
        <v>29</v>
      </c>
      <c r="D9" s="1">
        <v>408</v>
      </c>
    </row>
    <row r="10" spans="1:4" x14ac:dyDescent="0.3">
      <c r="A10" s="4" t="s">
        <v>32</v>
      </c>
      <c r="B10" t="s">
        <v>29</v>
      </c>
      <c r="D10" s="1">
        <v>537</v>
      </c>
    </row>
    <row r="11" spans="1:4" x14ac:dyDescent="0.3">
      <c r="A11" s="4" t="s">
        <v>16</v>
      </c>
      <c r="B11" t="s">
        <v>27</v>
      </c>
      <c r="D11" s="1"/>
    </row>
    <row r="12" spans="1:4" x14ac:dyDescent="0.3">
      <c r="A12" s="4" t="s">
        <v>15</v>
      </c>
      <c r="B12" t="s">
        <v>27</v>
      </c>
      <c r="D12" s="1">
        <v>481</v>
      </c>
    </row>
    <row r="13" spans="1:4" x14ac:dyDescent="0.3">
      <c r="A13" s="4" t="s">
        <v>32</v>
      </c>
      <c r="B13" t="s">
        <v>27</v>
      </c>
      <c r="D13" s="1">
        <v>132</v>
      </c>
    </row>
    <row r="14" spans="1:4" x14ac:dyDescent="0.3">
      <c r="A14" s="4" t="s">
        <v>17</v>
      </c>
      <c r="D14" s="3">
        <v>10621</v>
      </c>
    </row>
  </sheetData>
  <sortState xmlns:xlrd2="http://schemas.microsoft.com/office/spreadsheetml/2017/richdata2" ref="A2:D107">
    <sortCondition ref="A2:A10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20A3-6451-4DA6-B932-94F6C44B4C53}">
  <dimension ref="A1:D62"/>
  <sheetViews>
    <sheetView rightToLeft="1" workbookViewId="0">
      <selection sqref="A1:D1 A6:D6 A9:D9 A22:D22 A31:D31 A39:D39 A42:D42 A44:D44 A48:D48 A54:D54 A58:D58 A61:D62"/>
    </sheetView>
  </sheetViews>
  <sheetFormatPr defaultRowHeight="14" outlineLevelRow="2" x14ac:dyDescent="0.3"/>
  <cols>
    <col min="1" max="1" width="9.1640625" bestFit="1" customWidth="1"/>
    <col min="3" max="3" width="26.58203125" bestFit="1" customWidth="1"/>
    <col min="4" max="4" width="10.75" bestFit="1" customWidth="1"/>
  </cols>
  <sheetData>
    <row r="1" spans="1:4" x14ac:dyDescent="0.3">
      <c r="A1" t="s">
        <v>23</v>
      </c>
      <c r="B1" t="s">
        <v>0</v>
      </c>
      <c r="C1" t="s">
        <v>33</v>
      </c>
      <c r="D1" t="s">
        <v>35</v>
      </c>
    </row>
    <row r="2" spans="1:4" hidden="1" outlineLevel="2" x14ac:dyDescent="0.3">
      <c r="A2" t="s">
        <v>14</v>
      </c>
      <c r="B2" t="s">
        <v>12</v>
      </c>
      <c r="C2" t="s">
        <v>57</v>
      </c>
      <c r="D2" s="3">
        <v>117</v>
      </c>
    </row>
    <row r="3" spans="1:4" hidden="1" outlineLevel="2" x14ac:dyDescent="0.3">
      <c r="A3" t="s">
        <v>14</v>
      </c>
      <c r="B3" t="s">
        <v>12</v>
      </c>
      <c r="C3" t="s">
        <v>61</v>
      </c>
      <c r="D3" s="3">
        <v>679</v>
      </c>
    </row>
    <row r="4" spans="1:4" hidden="1" outlineLevel="2" x14ac:dyDescent="0.3">
      <c r="A4" t="s">
        <v>14</v>
      </c>
      <c r="B4" t="s">
        <v>12</v>
      </c>
      <c r="C4" t="s">
        <v>36</v>
      </c>
      <c r="D4" s="3">
        <v>74</v>
      </c>
    </row>
    <row r="5" spans="1:4" hidden="1" outlineLevel="2" x14ac:dyDescent="0.3">
      <c r="A5" t="s">
        <v>14</v>
      </c>
      <c r="B5" t="s">
        <v>12</v>
      </c>
      <c r="C5" t="s">
        <v>62</v>
      </c>
      <c r="D5" s="3">
        <v>15</v>
      </c>
    </row>
    <row r="6" spans="1:4" outlineLevel="1" collapsed="1" x14ac:dyDescent="0.3">
      <c r="A6" s="4" t="s">
        <v>16</v>
      </c>
      <c r="B6" t="s">
        <v>12</v>
      </c>
      <c r="D6" s="3">
        <f>SUBTOTAL(9,D2:D5)</f>
        <v>885</v>
      </c>
    </row>
    <row r="7" spans="1:4" hidden="1" outlineLevel="2" x14ac:dyDescent="0.3">
      <c r="A7" t="s">
        <v>7</v>
      </c>
      <c r="B7" t="s">
        <v>12</v>
      </c>
      <c r="C7" t="s">
        <v>43</v>
      </c>
      <c r="D7" s="3">
        <v>31</v>
      </c>
    </row>
    <row r="8" spans="1:4" hidden="1" outlineLevel="2" x14ac:dyDescent="0.3">
      <c r="A8" t="s">
        <v>7</v>
      </c>
      <c r="B8" t="s">
        <v>12</v>
      </c>
      <c r="C8" t="s">
        <v>46</v>
      </c>
      <c r="D8" s="3">
        <v>289</v>
      </c>
    </row>
    <row r="9" spans="1:4" outlineLevel="1" collapsed="1" x14ac:dyDescent="0.3">
      <c r="A9" s="4" t="s">
        <v>15</v>
      </c>
      <c r="B9" t="s">
        <v>12</v>
      </c>
      <c r="D9" s="3">
        <f>SUBTOTAL(9,D7:D8)</f>
        <v>320</v>
      </c>
    </row>
    <row r="10" spans="1:4" hidden="1" outlineLevel="2" x14ac:dyDescent="0.3">
      <c r="A10" t="s">
        <v>9</v>
      </c>
      <c r="B10" t="s">
        <v>12</v>
      </c>
      <c r="C10" t="s">
        <v>73</v>
      </c>
      <c r="D10" s="3">
        <v>54</v>
      </c>
    </row>
    <row r="11" spans="1:4" hidden="1" outlineLevel="2" x14ac:dyDescent="0.3">
      <c r="A11" t="s">
        <v>9</v>
      </c>
      <c r="B11" t="s">
        <v>12</v>
      </c>
      <c r="C11" t="s">
        <v>47</v>
      </c>
      <c r="D11" s="3">
        <v>46</v>
      </c>
    </row>
    <row r="12" spans="1:4" hidden="1" outlineLevel="2" x14ac:dyDescent="0.3">
      <c r="A12" t="s">
        <v>9</v>
      </c>
      <c r="B12" t="s">
        <v>12</v>
      </c>
      <c r="C12" t="s">
        <v>48</v>
      </c>
      <c r="D12" s="3">
        <v>94</v>
      </c>
    </row>
    <row r="13" spans="1:4" hidden="1" outlineLevel="2" x14ac:dyDescent="0.3">
      <c r="A13" t="s">
        <v>9</v>
      </c>
      <c r="B13" t="s">
        <v>12</v>
      </c>
      <c r="C13" t="s">
        <v>76</v>
      </c>
      <c r="D13" s="3">
        <v>857</v>
      </c>
    </row>
    <row r="14" spans="1:4" hidden="1" outlineLevel="2" x14ac:dyDescent="0.3">
      <c r="A14" t="s">
        <v>9</v>
      </c>
      <c r="B14" t="s">
        <v>12</v>
      </c>
      <c r="C14" t="s">
        <v>79</v>
      </c>
      <c r="D14" s="3">
        <v>113</v>
      </c>
    </row>
    <row r="15" spans="1:4" hidden="1" outlineLevel="2" x14ac:dyDescent="0.3">
      <c r="A15" t="s">
        <v>9</v>
      </c>
      <c r="B15" t="s">
        <v>12</v>
      </c>
      <c r="C15" t="s">
        <v>80</v>
      </c>
      <c r="D15" s="3">
        <v>32</v>
      </c>
    </row>
    <row r="16" spans="1:4" hidden="1" outlineLevel="2" x14ac:dyDescent="0.3">
      <c r="A16" t="s">
        <v>9</v>
      </c>
      <c r="B16" t="s">
        <v>12</v>
      </c>
      <c r="C16" t="s">
        <v>49</v>
      </c>
      <c r="D16" s="3">
        <v>89</v>
      </c>
    </row>
    <row r="17" spans="1:4" hidden="1" outlineLevel="2" x14ac:dyDescent="0.3">
      <c r="A17" t="s">
        <v>9</v>
      </c>
      <c r="B17" t="s">
        <v>12</v>
      </c>
      <c r="C17" t="s">
        <v>81</v>
      </c>
      <c r="D17" s="3">
        <v>13</v>
      </c>
    </row>
    <row r="18" spans="1:4" hidden="1" outlineLevel="2" x14ac:dyDescent="0.3">
      <c r="A18" t="s">
        <v>9</v>
      </c>
      <c r="B18" t="s">
        <v>12</v>
      </c>
      <c r="C18" t="s">
        <v>41</v>
      </c>
      <c r="D18" s="3">
        <v>296</v>
      </c>
    </row>
    <row r="19" spans="1:4" hidden="1" outlineLevel="2" x14ac:dyDescent="0.3">
      <c r="A19" t="s">
        <v>9</v>
      </c>
      <c r="B19" t="s">
        <v>12</v>
      </c>
      <c r="C19" t="s">
        <v>83</v>
      </c>
      <c r="D19" s="3">
        <v>500</v>
      </c>
    </row>
    <row r="20" spans="1:4" hidden="1" outlineLevel="2" x14ac:dyDescent="0.3">
      <c r="A20" t="s">
        <v>9</v>
      </c>
      <c r="B20" t="s">
        <v>12</v>
      </c>
      <c r="C20" t="s">
        <v>84</v>
      </c>
      <c r="D20" s="3">
        <v>49</v>
      </c>
    </row>
    <row r="21" spans="1:4" hidden="1" outlineLevel="2" x14ac:dyDescent="0.3">
      <c r="A21" t="s">
        <v>9</v>
      </c>
      <c r="B21" t="s">
        <v>12</v>
      </c>
      <c r="C21" t="s">
        <v>86</v>
      </c>
      <c r="D21" s="3">
        <v>97</v>
      </c>
    </row>
    <row r="22" spans="1:4" outlineLevel="1" collapsed="1" x14ac:dyDescent="0.3">
      <c r="A22" s="4" t="s">
        <v>32</v>
      </c>
      <c r="B22" t="s">
        <v>12</v>
      </c>
      <c r="D22" s="3">
        <f>SUBTOTAL(9,D10:D21)</f>
        <v>2240</v>
      </c>
    </row>
    <row r="23" spans="1:4" hidden="1" outlineLevel="2" x14ac:dyDescent="0.3">
      <c r="A23" t="s">
        <v>14</v>
      </c>
      <c r="B23" t="s">
        <v>51</v>
      </c>
      <c r="C23" t="s">
        <v>52</v>
      </c>
      <c r="D23" s="3">
        <v>473</v>
      </c>
    </row>
    <row r="24" spans="1:4" hidden="1" outlineLevel="2" x14ac:dyDescent="0.3">
      <c r="A24" t="s">
        <v>14</v>
      </c>
      <c r="B24" t="s">
        <v>51</v>
      </c>
      <c r="C24" t="s">
        <v>53</v>
      </c>
      <c r="D24" s="3">
        <v>292</v>
      </c>
    </row>
    <row r="25" spans="1:4" hidden="1" outlineLevel="2" x14ac:dyDescent="0.3">
      <c r="A25" t="s">
        <v>14</v>
      </c>
      <c r="B25" t="s">
        <v>51</v>
      </c>
      <c r="C25" t="s">
        <v>54</v>
      </c>
      <c r="D25" s="3">
        <v>525</v>
      </c>
    </row>
    <row r="26" spans="1:4" hidden="1" outlineLevel="2" x14ac:dyDescent="0.3">
      <c r="A26" t="s">
        <v>14</v>
      </c>
      <c r="B26" t="s">
        <v>51</v>
      </c>
      <c r="C26" t="s">
        <v>55</v>
      </c>
      <c r="D26" s="3">
        <v>316</v>
      </c>
    </row>
    <row r="27" spans="1:4" hidden="1" outlineLevel="2" x14ac:dyDescent="0.3">
      <c r="A27" t="s">
        <v>14</v>
      </c>
      <c r="B27" t="s">
        <v>51</v>
      </c>
      <c r="C27" t="s">
        <v>56</v>
      </c>
      <c r="D27" s="3">
        <v>94</v>
      </c>
    </row>
    <row r="28" spans="1:4" hidden="1" outlineLevel="2" x14ac:dyDescent="0.3">
      <c r="A28" t="s">
        <v>14</v>
      </c>
      <c r="B28" t="s">
        <v>51</v>
      </c>
      <c r="C28" t="s">
        <v>58</v>
      </c>
      <c r="D28" s="3">
        <v>2135</v>
      </c>
    </row>
    <row r="29" spans="1:4" hidden="1" outlineLevel="2" x14ac:dyDescent="0.3">
      <c r="A29" t="s">
        <v>14</v>
      </c>
      <c r="B29" t="s">
        <v>51</v>
      </c>
      <c r="C29" t="s">
        <v>59</v>
      </c>
      <c r="D29" s="3">
        <v>729</v>
      </c>
    </row>
    <row r="30" spans="1:4" hidden="1" outlineLevel="2" x14ac:dyDescent="0.3">
      <c r="A30" t="s">
        <v>14</v>
      </c>
      <c r="B30" t="s">
        <v>51</v>
      </c>
      <c r="C30" t="s">
        <v>60</v>
      </c>
      <c r="D30" s="3">
        <v>31</v>
      </c>
    </row>
    <row r="31" spans="1:4" outlineLevel="1" collapsed="1" x14ac:dyDescent="0.3">
      <c r="A31" s="4" t="s">
        <v>16</v>
      </c>
      <c r="B31" t="s">
        <v>51</v>
      </c>
      <c r="D31" s="3">
        <f>SUBTOTAL(9,D23:D30)</f>
        <v>4595</v>
      </c>
    </row>
    <row r="32" spans="1:4" hidden="1" outlineLevel="2" x14ac:dyDescent="0.3">
      <c r="A32" t="s">
        <v>7</v>
      </c>
      <c r="B32" t="s">
        <v>51</v>
      </c>
      <c r="C32" t="s">
        <v>64</v>
      </c>
      <c r="D32" s="3">
        <v>66</v>
      </c>
    </row>
    <row r="33" spans="1:4" hidden="1" outlineLevel="2" x14ac:dyDescent="0.3">
      <c r="A33" t="s">
        <v>7</v>
      </c>
      <c r="B33" t="s">
        <v>51</v>
      </c>
      <c r="C33" t="s">
        <v>44</v>
      </c>
      <c r="D33" s="3">
        <v>41</v>
      </c>
    </row>
    <row r="34" spans="1:4" hidden="1" outlineLevel="2" x14ac:dyDescent="0.3">
      <c r="A34" t="s">
        <v>7</v>
      </c>
      <c r="B34" t="s">
        <v>51</v>
      </c>
      <c r="C34" t="s">
        <v>68</v>
      </c>
      <c r="D34" s="3">
        <v>105</v>
      </c>
    </row>
    <row r="35" spans="1:4" hidden="1" outlineLevel="2" x14ac:dyDescent="0.3">
      <c r="A35" t="s">
        <v>7</v>
      </c>
      <c r="B35" t="s">
        <v>51</v>
      </c>
      <c r="C35" t="s">
        <v>69</v>
      </c>
      <c r="D35" s="3">
        <v>102</v>
      </c>
    </row>
    <row r="36" spans="1:4" hidden="1" outlineLevel="2" x14ac:dyDescent="0.3">
      <c r="A36" t="s">
        <v>7</v>
      </c>
      <c r="B36" t="s">
        <v>51</v>
      </c>
      <c r="C36" t="s">
        <v>38</v>
      </c>
      <c r="D36" s="3">
        <v>82</v>
      </c>
    </row>
    <row r="37" spans="1:4" hidden="1" outlineLevel="2" x14ac:dyDescent="0.3">
      <c r="A37" t="s">
        <v>7</v>
      </c>
      <c r="B37" t="s">
        <v>51</v>
      </c>
      <c r="C37" t="s">
        <v>71</v>
      </c>
      <c r="D37" s="3">
        <v>169</v>
      </c>
    </row>
    <row r="38" spans="1:4" hidden="1" outlineLevel="2" x14ac:dyDescent="0.3">
      <c r="A38" t="s">
        <v>7</v>
      </c>
      <c r="B38" t="s">
        <v>51</v>
      </c>
      <c r="C38" t="s">
        <v>72</v>
      </c>
      <c r="D38" s="3">
        <v>81</v>
      </c>
    </row>
    <row r="39" spans="1:4" outlineLevel="1" collapsed="1" x14ac:dyDescent="0.3">
      <c r="A39" s="4" t="s">
        <v>15</v>
      </c>
      <c r="B39" t="s">
        <v>51</v>
      </c>
      <c r="D39" s="3">
        <f>SUBTOTAL(9,D32:D38)</f>
        <v>646</v>
      </c>
    </row>
    <row r="40" spans="1:4" hidden="1" outlineLevel="2" x14ac:dyDescent="0.3">
      <c r="A40" t="s">
        <v>9</v>
      </c>
      <c r="B40" t="s">
        <v>51</v>
      </c>
      <c r="C40" t="s">
        <v>40</v>
      </c>
      <c r="D40" s="3">
        <v>273</v>
      </c>
    </row>
    <row r="41" spans="1:4" hidden="1" outlineLevel="2" x14ac:dyDescent="0.3">
      <c r="A41" t="s">
        <v>9</v>
      </c>
      <c r="B41" t="s">
        <v>51</v>
      </c>
      <c r="C41" t="s">
        <v>87</v>
      </c>
      <c r="D41" s="3">
        <v>29</v>
      </c>
    </row>
    <row r="42" spans="1:4" outlineLevel="1" collapsed="1" x14ac:dyDescent="0.3">
      <c r="A42" s="4" t="s">
        <v>32</v>
      </c>
      <c r="B42" t="s">
        <v>51</v>
      </c>
      <c r="D42" s="3">
        <f>SUBTOTAL(9,D40:D41)</f>
        <v>302</v>
      </c>
    </row>
    <row r="43" spans="1:4" hidden="1" outlineLevel="2" x14ac:dyDescent="0.3">
      <c r="A43" t="s">
        <v>14</v>
      </c>
      <c r="B43" t="s">
        <v>29</v>
      </c>
      <c r="C43" t="s">
        <v>63</v>
      </c>
      <c r="D43" s="3">
        <v>75</v>
      </c>
    </row>
    <row r="44" spans="1:4" outlineLevel="1" collapsed="1" x14ac:dyDescent="0.3">
      <c r="A44" s="4" t="s">
        <v>16</v>
      </c>
      <c r="B44" t="s">
        <v>29</v>
      </c>
      <c r="D44" s="3">
        <f>SUBTOTAL(9,D43:D43)</f>
        <v>75</v>
      </c>
    </row>
    <row r="45" spans="1:4" hidden="1" outlineLevel="2" x14ac:dyDescent="0.3">
      <c r="A45" t="s">
        <v>7</v>
      </c>
      <c r="B45" t="s">
        <v>29</v>
      </c>
      <c r="C45" t="s">
        <v>65</v>
      </c>
      <c r="D45" s="3">
        <v>79</v>
      </c>
    </row>
    <row r="46" spans="1:4" hidden="1" outlineLevel="2" x14ac:dyDescent="0.3">
      <c r="A46" t="s">
        <v>7</v>
      </c>
      <c r="B46" t="s">
        <v>29</v>
      </c>
      <c r="C46" t="s">
        <v>37</v>
      </c>
      <c r="D46" s="3">
        <v>41</v>
      </c>
    </row>
    <row r="47" spans="1:4" hidden="1" outlineLevel="2" x14ac:dyDescent="0.3">
      <c r="A47" t="s">
        <v>7</v>
      </c>
      <c r="B47" t="s">
        <v>29</v>
      </c>
      <c r="C47" t="s">
        <v>66</v>
      </c>
      <c r="D47" s="3">
        <v>288</v>
      </c>
    </row>
    <row r="48" spans="1:4" outlineLevel="1" collapsed="1" x14ac:dyDescent="0.3">
      <c r="A48" s="4" t="s">
        <v>15</v>
      </c>
      <c r="B48" t="s">
        <v>29</v>
      </c>
      <c r="D48" s="3">
        <f>SUBTOTAL(9,D45:D47)</f>
        <v>408</v>
      </c>
    </row>
    <row r="49" spans="1:4" hidden="1" outlineLevel="2" x14ac:dyDescent="0.3">
      <c r="A49" t="s">
        <v>9</v>
      </c>
      <c r="B49" t="s">
        <v>29</v>
      </c>
      <c r="C49" t="s">
        <v>74</v>
      </c>
      <c r="D49" s="3">
        <v>375</v>
      </c>
    </row>
    <row r="50" spans="1:4" hidden="1" outlineLevel="2" x14ac:dyDescent="0.3">
      <c r="A50" t="s">
        <v>9</v>
      </c>
      <c r="B50" t="s">
        <v>29</v>
      </c>
      <c r="C50" t="s">
        <v>75</v>
      </c>
      <c r="D50" s="3">
        <v>35</v>
      </c>
    </row>
    <row r="51" spans="1:4" hidden="1" outlineLevel="2" x14ac:dyDescent="0.3">
      <c r="A51" t="s">
        <v>9</v>
      </c>
      <c r="B51" t="s">
        <v>29</v>
      </c>
      <c r="C51" t="s">
        <v>39</v>
      </c>
      <c r="D51" s="3">
        <v>41</v>
      </c>
    </row>
    <row r="52" spans="1:4" hidden="1" outlineLevel="2" x14ac:dyDescent="0.3">
      <c r="A52" t="s">
        <v>9</v>
      </c>
      <c r="B52" t="s">
        <v>29</v>
      </c>
      <c r="C52" t="s">
        <v>78</v>
      </c>
      <c r="D52" s="3">
        <v>51</v>
      </c>
    </row>
    <row r="53" spans="1:4" hidden="1" outlineLevel="2" x14ac:dyDescent="0.3">
      <c r="A53" t="s">
        <v>9</v>
      </c>
      <c r="B53" t="s">
        <v>29</v>
      </c>
      <c r="C53" t="s">
        <v>82</v>
      </c>
      <c r="D53" s="3">
        <v>35</v>
      </c>
    </row>
    <row r="54" spans="1:4" outlineLevel="1" collapsed="1" x14ac:dyDescent="0.3">
      <c r="A54" s="4" t="s">
        <v>32</v>
      </c>
      <c r="B54" t="s">
        <v>29</v>
      </c>
      <c r="D54" s="3">
        <f>SUBTOTAL(9,D49:D53)</f>
        <v>537</v>
      </c>
    </row>
    <row r="55" spans="1:4" hidden="1" outlineLevel="2" x14ac:dyDescent="0.3">
      <c r="A55" t="s">
        <v>7</v>
      </c>
      <c r="B55" t="s">
        <v>27</v>
      </c>
      <c r="C55" t="s">
        <v>45</v>
      </c>
      <c r="D55" s="3">
        <v>228</v>
      </c>
    </row>
    <row r="56" spans="1:4" hidden="1" outlineLevel="2" x14ac:dyDescent="0.3">
      <c r="A56" t="s">
        <v>7</v>
      </c>
      <c r="B56" t="s">
        <v>27</v>
      </c>
      <c r="C56" t="s">
        <v>67</v>
      </c>
      <c r="D56" s="3">
        <v>225</v>
      </c>
    </row>
    <row r="57" spans="1:4" hidden="1" outlineLevel="2" x14ac:dyDescent="0.3">
      <c r="A57" t="s">
        <v>7</v>
      </c>
      <c r="B57" t="s">
        <v>27</v>
      </c>
      <c r="C57" t="s">
        <v>70</v>
      </c>
      <c r="D57" s="3">
        <v>28</v>
      </c>
    </row>
    <row r="58" spans="1:4" outlineLevel="1" collapsed="1" x14ac:dyDescent="0.3">
      <c r="A58" s="4" t="s">
        <v>15</v>
      </c>
      <c r="B58" t="s">
        <v>27</v>
      </c>
      <c r="D58" s="3">
        <f>SUBTOTAL(9,D55:D57)</f>
        <v>481</v>
      </c>
    </row>
    <row r="59" spans="1:4" hidden="1" outlineLevel="2" x14ac:dyDescent="0.3">
      <c r="A59" t="s">
        <v>9</v>
      </c>
      <c r="B59" t="s">
        <v>27</v>
      </c>
      <c r="C59" t="s">
        <v>77</v>
      </c>
      <c r="D59" s="3">
        <v>78</v>
      </c>
    </row>
    <row r="60" spans="1:4" hidden="1" outlineLevel="2" x14ac:dyDescent="0.3">
      <c r="A60" t="s">
        <v>9</v>
      </c>
      <c r="B60" t="s">
        <v>27</v>
      </c>
      <c r="C60" t="s">
        <v>85</v>
      </c>
      <c r="D60" s="3">
        <v>54</v>
      </c>
    </row>
    <row r="61" spans="1:4" outlineLevel="1" collapsed="1" x14ac:dyDescent="0.3">
      <c r="A61" s="4" t="s">
        <v>32</v>
      </c>
      <c r="B61" t="s">
        <v>27</v>
      </c>
      <c r="D61" s="3">
        <f>SUBTOTAL(9,D59:D60)</f>
        <v>132</v>
      </c>
    </row>
    <row r="62" spans="1:4" x14ac:dyDescent="0.3">
      <c r="A62" s="4" t="s">
        <v>17</v>
      </c>
      <c r="D62" s="3">
        <f>SUBTOTAL(9,D2:D60)</f>
        <v>10621</v>
      </c>
    </row>
  </sheetData>
  <sortState xmlns:xlrd2="http://schemas.microsoft.com/office/spreadsheetml/2017/richdata2" ref="A2:D60">
    <sortCondition ref="B2:B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8</vt:i4>
      </vt:variant>
      <vt:variant>
        <vt:lpstr>טווחים בעלי שם</vt:lpstr>
      </vt:variant>
      <vt:variant>
        <vt:i4>1</vt:i4>
      </vt:variant>
    </vt:vector>
  </HeadingPairs>
  <TitlesOfParts>
    <vt:vector size="9" baseType="lpstr">
      <vt:lpstr>חאזם</vt:lpstr>
      <vt:lpstr>דודו</vt:lpstr>
      <vt:lpstr>חיים</vt:lpstr>
      <vt:lpstr>סטאס</vt:lpstr>
      <vt:lpstr>סה"כ</vt:lpstr>
      <vt:lpstr>מכירות</vt:lpstr>
      <vt:lpstr>פתוחות</vt:lpstr>
      <vt:lpstr>גיליון2</vt:lpstr>
      <vt:lpstr>'סה"כ'!WPrint_TitlesW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Buhbut</dc:creator>
  <cp:lastModifiedBy>Hana Buhbut</cp:lastModifiedBy>
  <cp:lastPrinted>2026-08-02T06:06:53Z</cp:lastPrinted>
  <dcterms:created xsi:type="dcterms:W3CDTF">2024-01-22T07:30:26Z</dcterms:created>
  <dcterms:modified xsi:type="dcterms:W3CDTF">2026-08-16T06:47:57Z</dcterms:modified>
</cp:coreProperties>
</file>