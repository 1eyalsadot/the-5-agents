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1156658meditex-my.sharepoint.com/personal/eyals_uriel_co_il/Documents/שולחן העבודה/קמעונאות ישראל/"/>
    </mc:Choice>
  </mc:AlternateContent>
  <xr:revisionPtr revIDLastSave="206" documentId="8_{EC294FFC-097C-4794-9E81-F3B3E60190E7}" xr6:coauthVersionLast="47" xr6:coauthVersionMax="47" xr10:uidLastSave="{68456417-653B-4B79-A455-772DA888407B}"/>
  <bookViews>
    <workbookView xWindow="-105" yWindow="0" windowWidth="14610" windowHeight="15585" xr2:uid="{8648A87E-45D1-4355-A476-C3FB3EBA8708}"/>
  </bookViews>
  <sheets>
    <sheet name="מחירון" sheetId="2" r:id="rId1"/>
    <sheet name="מידע " sheetId="1" r:id="rId2"/>
  </sheets>
  <definedNames>
    <definedName name="_xlnm._FilterDatabase" localSheetId="0" hidden="1">מחירון!$A$1:$M$25</definedName>
    <definedName name="_xlnm._FilterDatabase" localSheetId="1" hidden="1">'מידע '!$A$1:$I$30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9" i="2" l="1"/>
  <c r="G28" i="2"/>
  <c r="G27" i="2"/>
  <c r="F29" i="2"/>
  <c r="F28" i="2"/>
  <c r="F27" i="2"/>
  <c r="G12" i="2" l="1"/>
  <c r="I12" i="2" s="1"/>
  <c r="G11" i="2"/>
  <c r="I11" i="2" s="1"/>
  <c r="G9" i="2"/>
  <c r="I9" i="2" s="1"/>
  <c r="G10" i="2"/>
  <c r="I10" i="2" s="1"/>
  <c r="F26" i="2"/>
  <c r="G26" i="2" s="1"/>
  <c r="L12" i="2" l="1"/>
  <c r="J12" i="2"/>
  <c r="K12" i="2" s="1"/>
  <c r="J11" i="2"/>
  <c r="K11" i="2" s="1"/>
  <c r="L11" i="2"/>
  <c r="J9" i="2"/>
  <c r="K9" i="2" s="1"/>
  <c r="L9" i="2"/>
  <c r="L10" i="2"/>
  <c r="J10" i="2"/>
  <c r="K10" i="2" s="1"/>
  <c r="G25" i="2"/>
  <c r="I25" i="2" s="1"/>
  <c r="J25" i="2" s="1"/>
  <c r="K25" i="2" s="1"/>
  <c r="G24" i="2"/>
  <c r="I24" i="2" s="1"/>
  <c r="J24" i="2" s="1"/>
  <c r="K24" i="2" s="1"/>
  <c r="G23" i="2"/>
  <c r="I23" i="2" s="1"/>
  <c r="J23" i="2" s="1"/>
  <c r="K23" i="2" s="1"/>
  <c r="G22" i="2"/>
  <c r="I22" i="2" s="1"/>
  <c r="J22" i="2" s="1"/>
  <c r="K22" i="2" s="1"/>
  <c r="G21" i="2"/>
  <c r="I21" i="2" s="1"/>
  <c r="J21" i="2" s="1"/>
  <c r="K21" i="2" s="1"/>
  <c r="G20" i="2"/>
  <c r="I20" i="2" s="1"/>
  <c r="J20" i="2" s="1"/>
  <c r="K20" i="2" s="1"/>
  <c r="G13" i="2"/>
  <c r="I13" i="2" s="1"/>
  <c r="J13" i="2" s="1"/>
  <c r="K13" i="2" s="1"/>
  <c r="G19" i="2"/>
  <c r="I19" i="2" s="1"/>
  <c r="J19" i="2" s="1"/>
  <c r="K19" i="2" s="1"/>
  <c r="G18" i="2"/>
  <c r="I18" i="2" s="1"/>
  <c r="J18" i="2" s="1"/>
  <c r="K18" i="2" s="1"/>
  <c r="G17" i="2"/>
  <c r="I17" i="2" s="1"/>
  <c r="J17" i="2" s="1"/>
  <c r="K17" i="2" s="1"/>
  <c r="G16" i="2"/>
  <c r="I16" i="2" s="1"/>
  <c r="J16" i="2" s="1"/>
  <c r="K16" i="2" s="1"/>
  <c r="G15" i="2"/>
  <c r="I15" i="2" s="1"/>
  <c r="J15" i="2" s="1"/>
  <c r="K15" i="2" s="1"/>
  <c r="G14" i="2"/>
  <c r="I14" i="2" s="1"/>
  <c r="J14" i="2" s="1"/>
  <c r="K14" i="2" s="1"/>
  <c r="G8" i="2"/>
  <c r="I8" i="2" s="1"/>
  <c r="J8" i="2" s="1"/>
  <c r="K8" i="2" s="1"/>
  <c r="G7" i="2"/>
  <c r="I7" i="2" s="1"/>
  <c r="J7" i="2" s="1"/>
  <c r="K7" i="2" s="1"/>
  <c r="G6" i="2"/>
  <c r="I6" i="2" s="1"/>
  <c r="J6" i="2" s="1"/>
  <c r="K6" i="2" s="1"/>
  <c r="G5" i="2"/>
  <c r="I5" i="2" s="1"/>
  <c r="J5" i="2" s="1"/>
  <c r="K5" i="2" s="1"/>
  <c r="G4" i="2"/>
  <c r="I4" i="2" s="1"/>
  <c r="J4" i="2" s="1"/>
  <c r="K4" i="2" s="1"/>
  <c r="G3" i="2"/>
  <c r="I3" i="2" s="1"/>
  <c r="J3" i="2" s="1"/>
  <c r="K3" i="2" s="1"/>
  <c r="G2" i="2"/>
  <c r="I2" i="2" s="1"/>
  <c r="J2" i="2" s="1"/>
  <c r="K2" i="2" s="1"/>
  <c r="L13" i="2" l="1"/>
  <c r="L14" i="2"/>
  <c r="L20" i="2"/>
  <c r="L22" i="2"/>
  <c r="L23" i="2"/>
  <c r="L2" i="2"/>
  <c r="L7" i="2"/>
  <c r="L21" i="2"/>
  <c r="L8" i="2"/>
  <c r="L25" i="2"/>
  <c r="L15" i="2"/>
  <c r="L5" i="2"/>
  <c r="L16" i="2"/>
  <c r="L17" i="2"/>
  <c r="L18" i="2"/>
  <c r="L3" i="2"/>
  <c r="L24" i="2"/>
  <c r="L4" i="2"/>
  <c r="L6" i="2"/>
  <c r="L19" i="2"/>
</calcChain>
</file>

<file path=xl/sharedStrings.xml><?xml version="1.0" encoding="utf-8"?>
<sst xmlns="http://schemas.openxmlformats.org/spreadsheetml/2006/main" count="201" uniqueCount="81">
  <si>
    <t>פריט אב</t>
  </si>
  <si>
    <t>סך עלות</t>
  </si>
  <si>
    <t xml:space="preserve">מחיר צרכן </t>
  </si>
  <si>
    <t xml:space="preserve">צרכן ללא מע"מ </t>
  </si>
  <si>
    <t xml:space="preserve">ירפא </t>
  </si>
  <si>
    <t xml:space="preserve">MU </t>
  </si>
  <si>
    <t>כף רגל : מדרסים</t>
  </si>
  <si>
    <t>95C</t>
  </si>
  <si>
    <t>35B</t>
  </si>
  <si>
    <t>35C</t>
  </si>
  <si>
    <t>35G</t>
  </si>
  <si>
    <t>45B</t>
  </si>
  <si>
    <t>45C</t>
  </si>
  <si>
    <t>45E</t>
  </si>
  <si>
    <t>45EC</t>
  </si>
  <si>
    <t>45G</t>
  </si>
  <si>
    <t>806CB</t>
  </si>
  <si>
    <t>807CB</t>
  </si>
  <si>
    <t>808KT</t>
  </si>
  <si>
    <t>91B</t>
  </si>
  <si>
    <t>95B</t>
  </si>
  <si>
    <t>95G</t>
  </si>
  <si>
    <t>AC07</t>
  </si>
  <si>
    <t>SC25</t>
  </si>
  <si>
    <t>SC35</t>
  </si>
  <si>
    <t>SC39</t>
  </si>
  <si>
    <t>SC422</t>
  </si>
  <si>
    <t>SC95</t>
  </si>
  <si>
    <t>T25B</t>
  </si>
  <si>
    <t>T40B 0</t>
  </si>
  <si>
    <t>C</t>
  </si>
  <si>
    <t>S</t>
  </si>
  <si>
    <t>מגיני קרסול</t>
  </si>
  <si>
    <t xml:space="preserve"> מגיני ברך</t>
  </si>
  <si>
    <t>מגיני מרפק</t>
  </si>
  <si>
    <t>מגיני ברך</t>
  </si>
  <si>
    <t>טייפים</t>
  </si>
  <si>
    <t>טניס אלבו</t>
  </si>
  <si>
    <t xml:space="preserve">מגיני מרפק </t>
  </si>
  <si>
    <t xml:space="preserve">רצועת גב תחתון </t>
  </si>
  <si>
    <t xml:space="preserve">ספורט </t>
  </si>
  <si>
    <t>רצועות לפיקה</t>
  </si>
  <si>
    <t>שורש כף יד</t>
  </si>
  <si>
    <t xml:space="preserve">אורתופדיה </t>
  </si>
  <si>
    <t>קיניזיו טייפ</t>
  </si>
  <si>
    <t xml:space="preserve">תחבושת נצמדת </t>
  </si>
  <si>
    <t xml:space="preserve">תחום </t>
  </si>
  <si>
    <t xml:space="preserve">מוצר </t>
  </si>
  <si>
    <t>מגן קרסול הלוחץ בצורה היקפית סביב הקרסול, עם עקב פתוח להשגת נוחות ואיוורור מירבי. מתאים לקרסול ימין ושמאל. מומלץ לדלקות בגידי הקרסול ומניעת נקעים חוזרים.</t>
  </si>
  <si>
    <t>שרוול (גרב) אלסטי נושם לברך, קל ללבישה ולהסרה, קל משקל, נושם, נעים ורך למגע. מספק הגנה קלה לברך.</t>
  </si>
  <si>
    <t>שרוול אלסטי נושם ללא תפרים, קל ללבישה ומספק דחיסה אחידה סביב המרפק.</t>
  </si>
  <si>
    <t>מדרסי ג'ל MS</t>
  </si>
  <si>
    <t>מדרסי ג'ל CO</t>
  </si>
  <si>
    <t>מדרסי ג'ל WO</t>
  </si>
  <si>
    <t>מדרסי ג'ל אנטי-בקטריאליים במבנה אנטומי ייחודי המיועדים לגברים ונשים המחפשים נוחות ברמה הגבוהה ביותר בנעלי היומיום לנוחות אולטימטיבית והקלה בכאבי כפות רגליים.</t>
  </si>
  <si>
    <t>אפיק ג'ל לעבודה – מדרסי ג'ל אנטי-בקטריאליים במבנה אנטומי ייחודי, המיועדים לעובדים ולבעלי פעילות פיזית אינטנסיבית לאורך היום.נועדו להקל על אי נוחות בברכיים ובגב התחתון – אידיאליים לאנשי שטח, לוחמים, צוותי רפואה וכל מי שעומד או זז הרבה במהלך היום.המדרסים מונעים זיעה וריחות לא נעימים, מעניקים תחושת אווריריות ומשלבים ניחוח ציטרוס מרענן.</t>
  </si>
  <si>
    <t>אפיק ג'ל מולטי-ספורט הם מדרסי ג'ל אנטי-בקטריאליים במבנה אנטומי ייחודי, המספקים בלימת זעזועים, פיזור לחצים ונוחות מקסימלית לפעילות יומיומית ולספורטאים. המדרסים מונעים זיעה וריחות לא נעימים, שומרים על תחושת רעננות ואווריריות, ומשולבים בניחוח ציטרוס ארומטי מרענן.</t>
  </si>
  <si>
    <t>תחבושת אלסטית נצמדת לעצמה, המיועדת לקיבוע מפרקים, חיזוק חבישות, הקלה על נפיחות בידיים או ברגליים והפחתת כאבים.התחבושת ברוחב 7,5 ס"מ ובאורך של כ-4,5 מטר, נדבקת לעצמה היטב, אך לא נדבקת לעור או לשיער ואינה משאירה שאריות דבק. בזכות האלסטיות שלה מתאפשרת שליטה על מידת הלחץ והתאמה טובה</t>
  </si>
  <si>
    <t>תחבושת אלסטית נצמדת לעצמה, המיועדת לקיבוע מפרקים, חיזוק חבישות, הקלה על נפיחות בידיים או ברגליים והפחתת כאבים. התחבושת ברוחב 3 ס"מ ובאורך של כ-250 ס"מ, 2 תחבושות באריזה. נדבקת לעצמה היטב, אך לא נדבקת לעור או לשיער ואינה משאירה שאריות דבק. בזכות האלסטיות שלה מתאפשרת שליטה על מידת הלחץ והתאמה טובה</t>
  </si>
  <si>
    <t xml:space="preserve">טייפ קינזיולוגי מקצועי (קינזיו טייפ) אידיאלי לספורט, להפחתת כאבים, לתמיכה בשרירים ובמפרקים.
</t>
  </si>
  <si>
    <t>חבק מרפק שנועד להפחית עומס ותסמיני כאב הנגרמים מדלקת בגידי המרפק. החבק מפעיל לחץ מדויק באמצעות כרית סיליקון, המפזרת את הכוח על שטח רחב ומפחיתה את העומס מאזור הדלקת. לחץ זה ניתן לכיוונון בהתאם לנוחות המשתמש. בנוסף, הכרית מבצעת עיסוי מקומי שמסייע בהפחתת נפיחות ושיפור זרימת הדם. השימוש ברצועה מתאים לשימוש בכל שעות הערות, ומיועד לאפשר תנועה ללא כאב, ובכך לזרז את תהליך ההחלמה. החבק מתאים לפעילויות יומיומיות וספורטיביות שונות, ומשמש גם למניעת עומס יתר.</t>
  </si>
  <si>
    <t>חגורת גב עשויה מניאופרן בשילוב בד נושם לפעילות ספורטיבית ולשרירים תפוסים בגב, כנפיים בצדדים להידוק נוסף, לתמיכה מושלמת. החגורה מצוידת ב- 4 מוטות תמיכה נוספות לגב התחתון ומקלה על מתח בעמוד השדרה על ידי שליטה בכיפופי הבטן.</t>
  </si>
  <si>
    <t>שרוול הלחץ מורכב משלוש שכבות באמצעות טכנולוגית חיתוך תלת-מימדי: רשת אלסטית, רצועת לחץ בהזרקת סיליקון ובד רשת נושם. השכבה התחתונה מספקת נוחות לאורך כל היום. הרכב המוצר מספק הגנה מפני השמש ברמה של UPF 50+. קל ללבישה ולהתאמה.</t>
  </si>
  <si>
    <t>שרוול לחץ בעיצוב ספורטיבי המורכב משלוש שכבות לחץ באמצעות טכנולוגית חיתוך תלת-מימדי: רשת אלסטית, רצועת לחץ מסיליקון ובד נושם. שכבת הרשת האלסטית, התחתונה, מספקת נוחות לאורך כל היום. הרכב המוצר מספק הגנה מפני השמש ברמה של UPF 50+. קל משקל ומתאים לספורטאים.</t>
  </si>
  <si>
    <t>השרוול מורכב משלוש שכבות לחץ באמצעות טכנולוגית חיתוך תלת-מימדי: רשת אלסטית, רצועת לחץ מסיליקון ובד נושם. השכבה הרשת האלסטית, התחתונה, מספקת נוחות לאורך כל היום. הרכב המוצר מספק הגנה מפני השמש ברמה של UPF 50+. קל משקל ומתאים לספורטאים. מכיל זוג שרוולים.</t>
  </si>
  <si>
    <t>שרוול הלחץ מורכב משלוש שכבות באמצעות טכנולוגית חיתוך תלת-מימדי: רשת אלסטית, רצועת לחץ בהזרקת סיליקון ובד רשת נושם. השכבה התחתונה מספקת נוחות לאורך כל היום. הרכב המוצר מספק הגנה מפני השמש ברמה של UPF 50+. קל ללבישה ולהתאמה. אידאלי לספורטאים ולמניעת פציעות.</t>
  </si>
  <si>
    <t>השרוול לחץ המורכב משלוש שכבות באמצעות טכנולוגית חיתוך תלת-ממדי: רשת אלסטית, רצועת לחץ בהזרקת סיליקון ובד רשת נושם. השכבה התחתונה מספקת נוחות לאורך כל היום. הרכב המוצר מספק הגנה מפני השמש ברמה של UPF 50+. קל ללבישה ולהתאמה. אידיאלי לספורטאים ולמניעת פציעות.</t>
  </si>
  <si>
    <t>תומך זה עשוי מניאופרן THERMAL עבה, עם בטנת מגבת 100% כותנה, המסייעת בשמירה על חום הגוף, מה שמקדם ריפוי מהיר יותר והקלה בכאב. החבק תומך ומסייע בהורדת עבודת השרירים בשורש כף היד ועל ידי כך מוריד את העומס של מפרק כף היד ומספק תמיכה תוך מתן אפשרות לתפקוד יומיומי רגיל.</t>
  </si>
  <si>
    <t>רצועת רטייה לפיקת הברך המיועדת לטיפול בכאבים בגיד הפיקה כחלק מטיפול שמרני באמצעות לחיצה על הגיד מתחת לפיקת הברך. בקדמת הרצועה ממוקמת כרית הסיליקון מעל גיד הפיקה. הכרית בעלת בליטות כדוריות אשר ביחד עם התנועה גורמת לעיסוי נקודתי ומסייעת בזרימת הדם ברצועה. רצועת הסגירה האחורית בעלת ריפוד שתפקידו לשמור על כלי הדם העוברים בחלק האחורי של הברך.</t>
  </si>
  <si>
    <t xml:space="preserve">תיאור </t>
  </si>
  <si>
    <t>GM</t>
  </si>
  <si>
    <t>%GM</t>
  </si>
  <si>
    <t>MU1</t>
  </si>
  <si>
    <t>SC34+</t>
  </si>
  <si>
    <t>FC333</t>
  </si>
  <si>
    <t>FC342</t>
  </si>
  <si>
    <t>FC334</t>
  </si>
  <si>
    <t xml:space="preserve">כף רגל : קוסמטיקה </t>
  </si>
  <si>
    <t>תרסיס דיאודורנט אנטי-בקטריאלי לנעל</t>
  </si>
  <si>
    <t>נוזל לציפורן חודרנית </t>
  </si>
  <si>
    <t>תרסיס דאודורנט לכף הרגל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</si>
</sst>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4">
    <font>
      <sz val="11"/>
      <color theme="1"/>
      <name val="Arial"/>
      <family val="2"/>
      <charset val="177"/>
      <scheme val="minor"/>
    </font>
    <font>
      <sz val="11"/>
      <color theme="1"/>
      <name val="Arial"/>
      <family val="2"/>
      <charset val="177"/>
      <scheme val="minor"/>
    </font>
    <font>
      <b/>
      <sz val="12"/>
      <name val="Arial"/>
      <family val="2"/>
    </font>
    <font>
      <sz val="12"/>
      <color rgb="FF002855"/>
      <name val="Rubik"/>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2" fillId="2" borderId="0" xfId="0" applyFont="1" applyFill="1" applyAlignment="1">
      <alignment horizontal="center" vertical="center"/>
    </xf>
    <xf numFmtId="0" fontId="0" fillId="0" borderId="0" xfId="0" applyAlignment="1">
      <alignment horizontal="center"/>
    </xf>
    <xf numFmtId="44" fontId="0" fillId="0" borderId="0" xfId="2" applyFont="1" applyFill="1"/>
    <xf numFmtId="44" fontId="0" fillId="0" borderId="0" xfId="2" applyFont="1" applyFill="1" applyAlignment="1">
      <alignment horizontal="center"/>
    </xf>
    <xf numFmtId="43" fontId="0" fillId="0" borderId="0" xfId="1" applyFont="1" applyFill="1"/>
    <xf numFmtId="0" fontId="3" fillId="0" borderId="0" xfId="0" applyFont="1" applyAlignment="1">
      <alignment horizontal="right" vertical="center" wrapText="1"/>
    </xf>
    <xf numFmtId="0" fontId="3" fillId="0" borderId="0" xfId="0" applyFont="1" applyAlignment="1">
      <alignment wrapText="1"/>
    </xf>
    <xf numFmtId="0" fontId="3" fillId="0" borderId="0" xfId="0" applyFont="1" applyAlignment="1">
      <alignment vertical="center" wrapText="1"/>
    </xf>
    <xf numFmtId="44" fontId="0" fillId="0" borderId="0" xfId="0" applyNumberFormat="1"/>
    <xf numFmtId="9" fontId="2" fillId="2" borderId="0" xfId="0" applyNumberFormat="1" applyFont="1" applyFill="1" applyAlignment="1">
      <alignment vertical="center"/>
    </xf>
    <xf numFmtId="9" fontId="0" fillId="0" borderId="0" xfId="3" applyFont="1" applyFill="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B877-F8FC-4571-AFE3-CFA143444AAC}">
  <dimension ref="A1:N29"/>
  <sheetViews>
    <sheetView rightToLeft="1" tabSelected="1" workbookViewId="0">
      <selection activeCell="B34" sqref="B34"/>
    </sheetView>
  </sheetViews>
  <sheetFormatPr defaultRowHeight="14.25"/>
  <cols>
    <col min="1" max="1" width="21.25" customWidth="1"/>
    <col min="2" max="2" width="24.375" bestFit="1" customWidth="1"/>
    <col min="3" max="3" width="24.375" customWidth="1"/>
    <col min="4" max="4" width="11.875" bestFit="1" customWidth="1"/>
    <col min="5" max="5" width="13.625" bestFit="1" customWidth="1"/>
    <col min="6" max="6" width="18" bestFit="1" customWidth="1"/>
    <col min="7" max="7" width="9.375" bestFit="1" customWidth="1"/>
    <col min="8" max="8" width="8.75" bestFit="1" customWidth="1"/>
    <col min="9" max="12" width="8.75" customWidth="1"/>
    <col min="13" max="13" width="11.25" style="2" customWidth="1"/>
    <col min="14" max="14" width="9" style="2"/>
  </cols>
  <sheetData>
    <row r="1" spans="1:14" ht="15.75">
      <c r="A1" s="1" t="s">
        <v>0</v>
      </c>
      <c r="B1" s="1" t="s">
        <v>46</v>
      </c>
      <c r="C1" s="1" t="s">
        <v>47</v>
      </c>
      <c r="D1" s="1" t="s">
        <v>1</v>
      </c>
      <c r="E1" s="1" t="s">
        <v>2</v>
      </c>
      <c r="F1" s="1" t="s">
        <v>3</v>
      </c>
      <c r="G1" s="1" t="s">
        <v>4</v>
      </c>
      <c r="H1" s="1" t="s">
        <v>5</v>
      </c>
      <c r="I1" s="10">
        <v>0.4</v>
      </c>
      <c r="J1" s="1" t="s">
        <v>70</v>
      </c>
      <c r="K1" s="1" t="s">
        <v>71</v>
      </c>
      <c r="L1" s="1" t="s">
        <v>72</v>
      </c>
      <c r="M1" s="1" t="s">
        <v>31</v>
      </c>
      <c r="N1" s="1" t="s">
        <v>30</v>
      </c>
    </row>
    <row r="2" spans="1:14">
      <c r="A2" s="2">
        <v>35</v>
      </c>
      <c r="B2" t="s">
        <v>43</v>
      </c>
      <c r="C2" t="s">
        <v>32</v>
      </c>
      <c r="D2" s="3">
        <v>6.6482388428658288</v>
      </c>
      <c r="E2" s="3">
        <v>65.900000000000006</v>
      </c>
      <c r="F2" s="3">
        <v>55.847457627118651</v>
      </c>
      <c r="G2" s="9">
        <f t="shared" ref="G2:G29" si="0">F2/1.356</f>
        <v>41.185440727963602</v>
      </c>
      <c r="H2" s="5">
        <v>6.1949399986072047</v>
      </c>
      <c r="I2" s="5">
        <f>G2*(100%-$I$1)</f>
        <v>24.711264436778162</v>
      </c>
      <c r="J2" s="5">
        <f>F2-I2</f>
        <v>31.136193190340489</v>
      </c>
      <c r="K2" s="11">
        <f>J2/F2</f>
        <v>0.5575221238938054</v>
      </c>
      <c r="L2" s="5">
        <f>I2/D2</f>
        <v>3.7169639991643231</v>
      </c>
      <c r="N2" s="2">
        <v>1</v>
      </c>
    </row>
    <row r="3" spans="1:14">
      <c r="A3" s="2" t="s">
        <v>8</v>
      </c>
      <c r="B3" t="s">
        <v>43</v>
      </c>
      <c r="C3" t="s">
        <v>32</v>
      </c>
      <c r="D3" s="3">
        <v>6.8426827597826527</v>
      </c>
      <c r="E3" s="3">
        <v>65.900000000000006</v>
      </c>
      <c r="F3" s="3">
        <v>55.847457627118651</v>
      </c>
      <c r="G3" s="9">
        <f t="shared" si="0"/>
        <v>41.185440727963602</v>
      </c>
      <c r="H3" s="5">
        <v>6.0189025523772486</v>
      </c>
      <c r="I3" s="5">
        <f t="shared" ref="I3:I25" si="1">G3*(100%-$I$1)</f>
        <v>24.711264436778162</v>
      </c>
      <c r="J3" s="5">
        <f t="shared" ref="J3:J25" si="2">F3-I3</f>
        <v>31.136193190340489</v>
      </c>
      <c r="K3" s="11">
        <f t="shared" ref="K3:K25" si="3">J3/F3</f>
        <v>0.5575221238938054</v>
      </c>
      <c r="L3" s="5">
        <f t="shared" ref="L3:L25" si="4">I3/D3</f>
        <v>3.6113415314263491</v>
      </c>
      <c r="N3" s="2">
        <v>1</v>
      </c>
    </row>
    <row r="4" spans="1:14">
      <c r="A4" s="2" t="s">
        <v>9</v>
      </c>
      <c r="B4" t="s">
        <v>43</v>
      </c>
      <c r="C4" t="s">
        <v>32</v>
      </c>
      <c r="D4" s="3">
        <v>6.8426827597826501</v>
      </c>
      <c r="E4" s="3">
        <v>65.900000000000006</v>
      </c>
      <c r="F4" s="3">
        <v>55.847457627118651</v>
      </c>
      <c r="G4" s="9">
        <f t="shared" si="0"/>
        <v>41.185440727963602</v>
      </c>
      <c r="H4" s="5">
        <v>6.0189025523772504</v>
      </c>
      <c r="I4" s="5">
        <f t="shared" si="1"/>
        <v>24.711264436778162</v>
      </c>
      <c r="J4" s="5">
        <f t="shared" si="2"/>
        <v>31.136193190340489</v>
      </c>
      <c r="K4" s="11">
        <f t="shared" si="3"/>
        <v>0.5575221238938054</v>
      </c>
      <c r="L4" s="5">
        <f t="shared" si="4"/>
        <v>3.6113415314263504</v>
      </c>
      <c r="N4" s="2">
        <v>1</v>
      </c>
    </row>
    <row r="5" spans="1:14">
      <c r="A5" s="2">
        <v>45</v>
      </c>
      <c r="B5" t="s">
        <v>43</v>
      </c>
      <c r="C5" t="s">
        <v>33</v>
      </c>
      <c r="D5" s="3">
        <v>6.764905193015923</v>
      </c>
      <c r="E5" s="3">
        <v>62.9</v>
      </c>
      <c r="F5" s="3">
        <v>53.305084745762713</v>
      </c>
      <c r="G5" s="9">
        <f t="shared" si="0"/>
        <v>39.310534473276334</v>
      </c>
      <c r="H5" s="5">
        <v>5.8109512774636469</v>
      </c>
      <c r="I5" s="5">
        <f t="shared" si="1"/>
        <v>23.586320683965798</v>
      </c>
      <c r="J5" s="5">
        <f t="shared" si="2"/>
        <v>29.718764061796914</v>
      </c>
      <c r="K5" s="11">
        <f t="shared" si="3"/>
        <v>0.5575221238938054</v>
      </c>
      <c r="L5" s="5">
        <f t="shared" si="4"/>
        <v>3.4865707664781875</v>
      </c>
      <c r="N5" s="2">
        <v>1</v>
      </c>
    </row>
    <row r="6" spans="1:14">
      <c r="A6" s="2" t="s">
        <v>11</v>
      </c>
      <c r="B6" t="s">
        <v>43</v>
      </c>
      <c r="C6" t="s">
        <v>35</v>
      </c>
      <c r="D6" s="3">
        <v>7.1901020207660684</v>
      </c>
      <c r="E6" s="3">
        <v>65.900000000000006</v>
      </c>
      <c r="F6" s="3">
        <v>55.847457627118651</v>
      </c>
      <c r="G6" s="9">
        <f t="shared" si="0"/>
        <v>41.185440727963602</v>
      </c>
      <c r="H6" s="5">
        <v>5.7280745960229789</v>
      </c>
      <c r="I6" s="5">
        <f t="shared" si="1"/>
        <v>24.711264436778162</v>
      </c>
      <c r="J6" s="5">
        <f t="shared" si="2"/>
        <v>31.136193190340489</v>
      </c>
      <c r="K6" s="11">
        <f t="shared" si="3"/>
        <v>0.5575221238938054</v>
      </c>
      <c r="L6" s="5">
        <f t="shared" si="4"/>
        <v>3.4368447576137875</v>
      </c>
      <c r="N6" s="2">
        <v>1</v>
      </c>
    </row>
    <row r="7" spans="1:14">
      <c r="A7" s="2" t="s">
        <v>14</v>
      </c>
      <c r="B7" t="s">
        <v>43</v>
      </c>
      <c r="C7" t="s">
        <v>35</v>
      </c>
      <c r="D7" s="3">
        <v>7.4426785550951697</v>
      </c>
      <c r="E7" s="3">
        <v>79.900000000000006</v>
      </c>
      <c r="F7" s="3">
        <v>67.711864406779668</v>
      </c>
      <c r="G7" s="9">
        <f t="shared" si="0"/>
        <v>49.935003249837507</v>
      </c>
      <c r="H7" s="5">
        <v>6.7092785050689301</v>
      </c>
      <c r="I7" s="5">
        <f t="shared" si="1"/>
        <v>29.961001949902503</v>
      </c>
      <c r="J7" s="5">
        <f t="shared" si="2"/>
        <v>37.750862456877165</v>
      </c>
      <c r="K7" s="11">
        <f t="shared" si="3"/>
        <v>0.5575221238938054</v>
      </c>
      <c r="L7" s="5">
        <f t="shared" si="4"/>
        <v>4.0255671030413582</v>
      </c>
      <c r="N7" s="2">
        <v>1</v>
      </c>
    </row>
    <row r="8" spans="1:14">
      <c r="A8" s="2">
        <v>95</v>
      </c>
      <c r="B8" t="s">
        <v>43</v>
      </c>
      <c r="C8" t="s">
        <v>34</v>
      </c>
      <c r="D8" s="3">
        <v>6.4926837093323702</v>
      </c>
      <c r="E8" s="3">
        <v>65.900000000000006</v>
      </c>
      <c r="F8" s="3">
        <v>55.847457627118651</v>
      </c>
      <c r="G8" s="9">
        <f t="shared" si="0"/>
        <v>41.185440727963602</v>
      </c>
      <c r="H8" s="5">
        <v>6.3433616316108239</v>
      </c>
      <c r="I8" s="5">
        <f t="shared" si="1"/>
        <v>24.711264436778162</v>
      </c>
      <c r="J8" s="5">
        <f t="shared" si="2"/>
        <v>31.136193190340489</v>
      </c>
      <c r="K8" s="11">
        <f t="shared" si="3"/>
        <v>0.5575221238938054</v>
      </c>
      <c r="L8" s="5">
        <f t="shared" si="4"/>
        <v>3.8060169789664946</v>
      </c>
      <c r="N8" s="2">
        <v>1</v>
      </c>
    </row>
    <row r="9" spans="1:14">
      <c r="A9" s="2" t="s">
        <v>20</v>
      </c>
      <c r="B9" t="s">
        <v>43</v>
      </c>
      <c r="C9" t="s">
        <v>38</v>
      </c>
      <c r="D9" s="3">
        <v>7.0345468872326098</v>
      </c>
      <c r="E9" s="3">
        <v>65.900000000000006</v>
      </c>
      <c r="F9" s="3">
        <v>55.847457627118651</v>
      </c>
      <c r="G9" s="9">
        <f t="shared" ref="G9" si="5">F9/1.356</f>
        <v>41.185440727963602</v>
      </c>
      <c r="H9" s="5">
        <v>5.8547396709677706</v>
      </c>
      <c r="I9" s="5">
        <f t="shared" ref="I9" si="6">G9*(100%-$I$1)</f>
        <v>24.711264436778162</v>
      </c>
      <c r="J9" s="5">
        <f t="shared" ref="J9" si="7">F9-I9</f>
        <v>31.136193190340489</v>
      </c>
      <c r="K9" s="11">
        <f t="shared" ref="K9" si="8">J9/F9</f>
        <v>0.5575221238938054</v>
      </c>
      <c r="L9" s="5">
        <f t="shared" ref="L9" si="9">I9/D9</f>
        <v>3.5128438025806621</v>
      </c>
      <c r="N9" s="2">
        <v>1</v>
      </c>
    </row>
    <row r="10" spans="1:14" ht="15" customHeight="1">
      <c r="A10" s="2" t="s">
        <v>7</v>
      </c>
      <c r="B10" t="s">
        <v>43</v>
      </c>
      <c r="C10" t="s">
        <v>34</v>
      </c>
      <c r="D10" s="3">
        <v>6.6871276262491897</v>
      </c>
      <c r="E10" s="3">
        <v>65.900000000000006</v>
      </c>
      <c r="F10" s="3">
        <v>55.847457627118651</v>
      </c>
      <c r="G10" s="9">
        <f t="shared" ref="G10" si="10">F10/1.356</f>
        <v>41.185440727963602</v>
      </c>
      <c r="H10" s="5">
        <v>6.1589135171126559</v>
      </c>
      <c r="I10" s="5">
        <f t="shared" ref="I10" si="11">G10*(100%-$I$1)</f>
        <v>24.711264436778162</v>
      </c>
      <c r="J10" s="5">
        <f t="shared" ref="J10" si="12">F10-I10</f>
        <v>31.136193190340489</v>
      </c>
      <c r="K10" s="11">
        <f t="shared" ref="K10" si="13">J10/F10</f>
        <v>0.5575221238938054</v>
      </c>
      <c r="L10" s="5">
        <f t="shared" ref="L10" si="14">I10/D10</f>
        <v>3.6953481102675938</v>
      </c>
      <c r="N10" s="2">
        <v>1</v>
      </c>
    </row>
    <row r="11" spans="1:14">
      <c r="A11" s="2" t="s">
        <v>28</v>
      </c>
      <c r="B11" t="s">
        <v>43</v>
      </c>
      <c r="C11" t="s">
        <v>42</v>
      </c>
      <c r="D11" s="3">
        <v>10.270833056626545</v>
      </c>
      <c r="E11" s="3">
        <v>99.9</v>
      </c>
      <c r="F11" s="3">
        <v>84.661016949152554</v>
      </c>
      <c r="G11" s="9">
        <f t="shared" ref="G11:G12" si="15">F11/1.356</f>
        <v>62.434378281085948</v>
      </c>
      <c r="H11" s="5">
        <v>6.0788037286619589</v>
      </c>
      <c r="I11" s="5">
        <f t="shared" ref="I11:I12" si="16">G11*(100%-$I$1)</f>
        <v>37.460626968651567</v>
      </c>
      <c r="J11" s="5">
        <f t="shared" ref="J11:J12" si="17">F11-I11</f>
        <v>47.200389980500987</v>
      </c>
      <c r="K11" s="11">
        <f t="shared" ref="K11:K12" si="18">J11/F11</f>
        <v>0.5575221238938054</v>
      </c>
      <c r="L11" s="5">
        <f t="shared" ref="L11:L12" si="19">I11/D11</f>
        <v>3.6472822371971754</v>
      </c>
      <c r="N11" s="2">
        <v>1</v>
      </c>
    </row>
    <row r="12" spans="1:14">
      <c r="A12" s="2" t="s">
        <v>29</v>
      </c>
      <c r="B12" t="s">
        <v>43</v>
      </c>
      <c r="C12" t="s">
        <v>41</v>
      </c>
      <c r="D12" s="3">
        <v>12.350167348456674</v>
      </c>
      <c r="E12" s="3">
        <v>181.89699999999999</v>
      </c>
      <c r="F12" s="3">
        <v>154.15</v>
      </c>
      <c r="G12" s="9">
        <f t="shared" si="15"/>
        <v>113.67994100294985</v>
      </c>
      <c r="H12" s="5">
        <v>9.2047287939912614</v>
      </c>
      <c r="I12" s="5">
        <f t="shared" si="16"/>
        <v>68.207964601769902</v>
      </c>
      <c r="J12" s="5">
        <f t="shared" si="17"/>
        <v>85.942035398230104</v>
      </c>
      <c r="K12" s="11">
        <f t="shared" si="18"/>
        <v>0.5575221238938054</v>
      </c>
      <c r="L12" s="5">
        <f t="shared" si="19"/>
        <v>5.522837276394756</v>
      </c>
      <c r="N12" s="2">
        <v>1</v>
      </c>
    </row>
    <row r="13" spans="1:14">
      <c r="A13" s="2" t="s">
        <v>19</v>
      </c>
      <c r="B13" t="s">
        <v>43</v>
      </c>
      <c r="C13" t="s">
        <v>37</v>
      </c>
      <c r="D13" s="3">
        <v>14.956680245765797</v>
      </c>
      <c r="E13" s="3">
        <v>179.9</v>
      </c>
      <c r="F13" s="3">
        <v>152.45762711864407</v>
      </c>
      <c r="G13" s="9">
        <f>F13/1.356</f>
        <v>112.43187840607969</v>
      </c>
      <c r="H13" s="5">
        <v>7.5171680184784924</v>
      </c>
      <c r="I13" s="5">
        <f>G13*(100%-$I$1)</f>
        <v>67.459127043647811</v>
      </c>
      <c r="J13" s="5">
        <f>F13-I13</f>
        <v>84.998500074996258</v>
      </c>
      <c r="K13" s="11">
        <f>J13/F13</f>
        <v>0.5575221238938054</v>
      </c>
      <c r="L13" s="5">
        <f>I13/D13</f>
        <v>4.5103008110870952</v>
      </c>
      <c r="N13" s="2">
        <v>1</v>
      </c>
    </row>
    <row r="14" spans="1:14">
      <c r="A14" s="2">
        <v>379</v>
      </c>
      <c r="B14" t="s">
        <v>6</v>
      </c>
      <c r="C14" t="s">
        <v>51</v>
      </c>
      <c r="D14" s="3">
        <v>21.430000000000003</v>
      </c>
      <c r="E14" s="3">
        <v>252.9</v>
      </c>
      <c r="F14" s="3">
        <v>214.32203389830511</v>
      </c>
      <c r="G14" s="9">
        <f t="shared" si="0"/>
        <v>158.0545972701365</v>
      </c>
      <c r="H14" s="5">
        <v>7.3753895133054819</v>
      </c>
      <c r="I14" s="5">
        <f t="shared" si="1"/>
        <v>94.83275836208189</v>
      </c>
      <c r="J14" s="5">
        <f t="shared" si="2"/>
        <v>119.48927553622322</v>
      </c>
      <c r="K14" s="11">
        <f t="shared" si="3"/>
        <v>0.5575221238938054</v>
      </c>
      <c r="L14" s="5">
        <f t="shared" si="4"/>
        <v>4.4252337079832884</v>
      </c>
      <c r="M14" s="2">
        <v>1</v>
      </c>
      <c r="N14" s="2">
        <v>1</v>
      </c>
    </row>
    <row r="15" spans="1:14">
      <c r="A15" s="2">
        <v>379</v>
      </c>
      <c r="B15" t="s">
        <v>6</v>
      </c>
      <c r="C15" t="s">
        <v>52</v>
      </c>
      <c r="D15" s="3">
        <v>21.430000000000003</v>
      </c>
      <c r="E15" s="3">
        <v>252.9</v>
      </c>
      <c r="F15" s="3">
        <v>214.32203389830511</v>
      </c>
      <c r="G15" s="9">
        <f t="shared" si="0"/>
        <v>158.0545972701365</v>
      </c>
      <c r="H15" s="5">
        <v>7.3753895133054819</v>
      </c>
      <c r="I15" s="5">
        <f t="shared" si="1"/>
        <v>94.83275836208189</v>
      </c>
      <c r="J15" s="5">
        <f t="shared" si="2"/>
        <v>119.48927553622322</v>
      </c>
      <c r="K15" s="11">
        <f t="shared" si="3"/>
        <v>0.5575221238938054</v>
      </c>
      <c r="L15" s="5">
        <f t="shared" si="4"/>
        <v>4.4252337079832884</v>
      </c>
      <c r="M15" s="2">
        <v>1</v>
      </c>
      <c r="N15" s="2">
        <v>1</v>
      </c>
    </row>
    <row r="16" spans="1:14">
      <c r="A16" s="2">
        <v>379</v>
      </c>
      <c r="B16" t="s">
        <v>6</v>
      </c>
      <c r="C16" t="s">
        <v>53</v>
      </c>
      <c r="D16" s="3">
        <v>21.430000000000003</v>
      </c>
      <c r="E16" s="3">
        <v>252.9</v>
      </c>
      <c r="F16" s="3">
        <v>214.32203389830511</v>
      </c>
      <c r="G16" s="9">
        <f t="shared" si="0"/>
        <v>158.0545972701365</v>
      </c>
      <c r="H16" s="5">
        <v>7.3753895133054819</v>
      </c>
      <c r="I16" s="5">
        <f t="shared" si="1"/>
        <v>94.83275836208189</v>
      </c>
      <c r="J16" s="5">
        <f t="shared" si="2"/>
        <v>119.48927553622322</v>
      </c>
      <c r="K16" s="11">
        <f t="shared" si="3"/>
        <v>0.5575221238938054</v>
      </c>
      <c r="L16" s="5">
        <f t="shared" si="4"/>
        <v>4.4252337079832884</v>
      </c>
      <c r="M16" s="2">
        <v>1</v>
      </c>
      <c r="N16" s="2">
        <v>1</v>
      </c>
    </row>
    <row r="17" spans="1:14">
      <c r="A17" s="2" t="s">
        <v>16</v>
      </c>
      <c r="B17" t="s">
        <v>36</v>
      </c>
      <c r="C17" t="s">
        <v>45</v>
      </c>
      <c r="D17" s="3">
        <v>2.7960000000000003</v>
      </c>
      <c r="E17" s="3">
        <v>26.9</v>
      </c>
      <c r="F17" s="3">
        <v>22.796610169491526</v>
      </c>
      <c r="G17" s="9">
        <f t="shared" si="0"/>
        <v>16.811659417029148</v>
      </c>
      <c r="H17" s="5">
        <v>6.0127537256899668</v>
      </c>
      <c r="I17" s="5">
        <f t="shared" si="1"/>
        <v>10.086995650217489</v>
      </c>
      <c r="J17" s="5">
        <f t="shared" si="2"/>
        <v>12.709614519274037</v>
      </c>
      <c r="K17" s="11">
        <f t="shared" si="3"/>
        <v>0.55752212389380529</v>
      </c>
      <c r="L17" s="5">
        <f t="shared" si="4"/>
        <v>3.6076522354139797</v>
      </c>
      <c r="M17" s="2">
        <v>1</v>
      </c>
      <c r="N17" s="2">
        <v>1</v>
      </c>
    </row>
    <row r="18" spans="1:14">
      <c r="A18" s="2" t="s">
        <v>17</v>
      </c>
      <c r="B18" t="s">
        <v>36</v>
      </c>
      <c r="C18" t="s">
        <v>45</v>
      </c>
      <c r="D18" s="3">
        <v>2.6160000000000001</v>
      </c>
      <c r="E18" s="3">
        <v>26.9</v>
      </c>
      <c r="F18" s="3">
        <v>22.796610169491526</v>
      </c>
      <c r="G18" s="9">
        <f t="shared" si="0"/>
        <v>16.811659417029148</v>
      </c>
      <c r="H18" s="5">
        <v>6.4264753123200107</v>
      </c>
      <c r="I18" s="5">
        <f t="shared" si="1"/>
        <v>10.086995650217489</v>
      </c>
      <c r="J18" s="5">
        <f t="shared" si="2"/>
        <v>12.709614519274037</v>
      </c>
      <c r="K18" s="11">
        <f t="shared" si="3"/>
        <v>0.55752212389380529</v>
      </c>
      <c r="L18" s="5">
        <f t="shared" si="4"/>
        <v>3.8558851873920061</v>
      </c>
      <c r="M18" s="2">
        <v>1</v>
      </c>
      <c r="N18" s="2">
        <v>1</v>
      </c>
    </row>
    <row r="19" spans="1:14">
      <c r="A19" s="2" t="s">
        <v>18</v>
      </c>
      <c r="B19" t="s">
        <v>36</v>
      </c>
      <c r="C19" t="s">
        <v>44</v>
      </c>
      <c r="D19" s="3">
        <v>7.2788050559768873</v>
      </c>
      <c r="E19" s="3">
        <v>100.90179999999999</v>
      </c>
      <c r="F19" s="3">
        <v>85.51</v>
      </c>
      <c r="G19" s="9">
        <f t="shared" si="0"/>
        <v>63.060471976401182</v>
      </c>
      <c r="H19" s="5">
        <v>8.6635747889167565</v>
      </c>
      <c r="I19" s="5">
        <f t="shared" si="1"/>
        <v>37.836283185840706</v>
      </c>
      <c r="J19" s="5">
        <f t="shared" si="2"/>
        <v>47.673716814159299</v>
      </c>
      <c r="K19" s="11">
        <f t="shared" si="3"/>
        <v>0.5575221238938054</v>
      </c>
      <c r="L19" s="5">
        <f t="shared" si="4"/>
        <v>5.1981448733500537</v>
      </c>
      <c r="M19" s="2">
        <v>1</v>
      </c>
      <c r="N19" s="2">
        <v>1</v>
      </c>
    </row>
    <row r="20" spans="1:14">
      <c r="A20" s="2" t="s">
        <v>22</v>
      </c>
      <c r="B20" t="s">
        <v>43</v>
      </c>
      <c r="C20" t="s">
        <v>39</v>
      </c>
      <c r="D20" s="3">
        <v>26.797775285088612</v>
      </c>
      <c r="E20" s="3">
        <v>199.90379999999999</v>
      </c>
      <c r="F20" s="3">
        <v>169.41</v>
      </c>
      <c r="G20" s="9">
        <f t="shared" si="0"/>
        <v>124.93362831858406</v>
      </c>
      <c r="H20" s="5">
        <v>4.6620895574156966</v>
      </c>
      <c r="I20" s="5">
        <f t="shared" si="1"/>
        <v>74.960176991150433</v>
      </c>
      <c r="J20" s="5">
        <f t="shared" si="2"/>
        <v>94.449823008849563</v>
      </c>
      <c r="K20" s="11">
        <f t="shared" si="3"/>
        <v>0.5575221238938054</v>
      </c>
      <c r="L20" s="5">
        <f t="shared" si="4"/>
        <v>2.7972537344494177</v>
      </c>
      <c r="N20" s="2">
        <v>1</v>
      </c>
    </row>
    <row r="21" spans="1:14">
      <c r="A21" s="2" t="s">
        <v>23</v>
      </c>
      <c r="B21" t="s">
        <v>43</v>
      </c>
      <c r="C21" t="s">
        <v>40</v>
      </c>
      <c r="D21" s="3">
        <v>20.577939211725464</v>
      </c>
      <c r="E21" s="3">
        <v>199.9</v>
      </c>
      <c r="F21" s="3">
        <v>169.40677966101697</v>
      </c>
      <c r="G21" s="9">
        <f t="shared" si="0"/>
        <v>124.93125343732814</v>
      </c>
      <c r="H21" s="5">
        <v>6.0711255948380574</v>
      </c>
      <c r="I21" s="5">
        <f t="shared" si="1"/>
        <v>74.958752062396883</v>
      </c>
      <c r="J21" s="5">
        <f t="shared" si="2"/>
        <v>94.448027598620087</v>
      </c>
      <c r="K21" s="11">
        <f t="shared" si="3"/>
        <v>0.5575221238938054</v>
      </c>
      <c r="L21" s="5">
        <f t="shared" si="4"/>
        <v>3.6426753569028341</v>
      </c>
      <c r="M21" s="2">
        <v>1</v>
      </c>
      <c r="N21" s="2">
        <v>1</v>
      </c>
    </row>
    <row r="22" spans="1:14">
      <c r="A22" s="2" t="s">
        <v>24</v>
      </c>
      <c r="B22" t="s">
        <v>43</v>
      </c>
      <c r="C22" t="s">
        <v>40</v>
      </c>
      <c r="D22" s="3">
        <v>24.972424014656838</v>
      </c>
      <c r="E22" s="3">
        <v>199.9</v>
      </c>
      <c r="F22" s="3">
        <v>169.40677966101697</v>
      </c>
      <c r="G22" s="9">
        <f t="shared" si="0"/>
        <v>124.93125343732814</v>
      </c>
      <c r="H22" s="5">
        <v>5.0027683882030587</v>
      </c>
      <c r="I22" s="5">
        <f t="shared" si="1"/>
        <v>74.958752062396883</v>
      </c>
      <c r="J22" s="5">
        <f t="shared" si="2"/>
        <v>94.448027598620087</v>
      </c>
      <c r="K22" s="11">
        <f t="shared" si="3"/>
        <v>0.5575221238938054</v>
      </c>
      <c r="L22" s="5">
        <f t="shared" si="4"/>
        <v>3.0016610329218349</v>
      </c>
      <c r="M22" s="2">
        <v>1</v>
      </c>
      <c r="N22" s="2">
        <v>1</v>
      </c>
    </row>
    <row r="23" spans="1:14">
      <c r="A23" s="2" t="s">
        <v>25</v>
      </c>
      <c r="B23" t="s">
        <v>43</v>
      </c>
      <c r="C23" t="s">
        <v>40</v>
      </c>
      <c r="D23" s="3">
        <v>42.588911338688725</v>
      </c>
      <c r="E23" s="3">
        <v>349.9</v>
      </c>
      <c r="F23" s="3">
        <v>296.52542372881356</v>
      </c>
      <c r="G23" s="9">
        <f t="shared" si="0"/>
        <v>218.67656617169141</v>
      </c>
      <c r="H23" s="5">
        <v>5.1345892463102407</v>
      </c>
      <c r="I23" s="5">
        <f t="shared" si="1"/>
        <v>131.20593970301485</v>
      </c>
      <c r="J23" s="5">
        <f t="shared" si="2"/>
        <v>165.31948402579872</v>
      </c>
      <c r="K23" s="11">
        <f t="shared" si="3"/>
        <v>0.55752212389380529</v>
      </c>
      <c r="L23" s="5">
        <f t="shared" si="4"/>
        <v>3.0807535477861445</v>
      </c>
      <c r="M23" s="2">
        <v>1</v>
      </c>
      <c r="N23" s="2">
        <v>1</v>
      </c>
    </row>
    <row r="24" spans="1:14">
      <c r="A24" s="2" t="s">
        <v>26</v>
      </c>
      <c r="B24" t="s">
        <v>43</v>
      </c>
      <c r="C24" t="s">
        <v>40</v>
      </c>
      <c r="D24" s="3">
        <v>36.074280358904502</v>
      </c>
      <c r="E24" s="3">
        <v>299.89999999999998</v>
      </c>
      <c r="F24" s="3">
        <v>254.15254237288136</v>
      </c>
      <c r="G24" s="9">
        <f t="shared" si="0"/>
        <v>187.42812859357031</v>
      </c>
      <c r="H24" s="5">
        <v>5.1956165647336583</v>
      </c>
      <c r="I24" s="5">
        <f t="shared" si="1"/>
        <v>112.45687715614218</v>
      </c>
      <c r="J24" s="5">
        <f t="shared" si="2"/>
        <v>141.69566521673917</v>
      </c>
      <c r="K24" s="11">
        <f t="shared" si="3"/>
        <v>0.5575221238938054</v>
      </c>
      <c r="L24" s="5">
        <f t="shared" si="4"/>
        <v>3.1173699388401954</v>
      </c>
      <c r="M24" s="2">
        <v>1</v>
      </c>
      <c r="N24" s="2">
        <v>1</v>
      </c>
    </row>
    <row r="25" spans="1:14">
      <c r="A25" s="2" t="s">
        <v>27</v>
      </c>
      <c r="B25" t="s">
        <v>43</v>
      </c>
      <c r="C25" t="s">
        <v>40</v>
      </c>
      <c r="D25" s="3">
        <v>23.742260800801741</v>
      </c>
      <c r="E25" s="3">
        <v>199.9</v>
      </c>
      <c r="F25" s="3">
        <v>169.40677966101697</v>
      </c>
      <c r="G25" s="9">
        <f t="shared" si="0"/>
        <v>124.93125343732814</v>
      </c>
      <c r="H25" s="5">
        <v>5.2619779761289367</v>
      </c>
      <c r="I25" s="5">
        <f t="shared" si="1"/>
        <v>74.958752062396883</v>
      </c>
      <c r="J25" s="5">
        <f t="shared" si="2"/>
        <v>94.448027598620087</v>
      </c>
      <c r="K25" s="11">
        <f t="shared" si="3"/>
        <v>0.5575221238938054</v>
      </c>
      <c r="L25" s="5">
        <f t="shared" si="4"/>
        <v>3.1571867856773621</v>
      </c>
      <c r="M25" s="2">
        <v>1</v>
      </c>
      <c r="N25" s="2">
        <v>1</v>
      </c>
    </row>
    <row r="26" spans="1:14">
      <c r="A26" s="2" t="s">
        <v>73</v>
      </c>
      <c r="B26" t="s">
        <v>43</v>
      </c>
      <c r="C26" t="s">
        <v>40</v>
      </c>
      <c r="D26" s="3">
        <v>33.299999999999997</v>
      </c>
      <c r="E26" s="3">
        <v>299.89999999999998</v>
      </c>
      <c r="F26" s="3">
        <f t="shared" ref="F26:F29" si="20">E26/1.18</f>
        <v>254.15254237288136</v>
      </c>
      <c r="G26" s="3">
        <f t="shared" si="0"/>
        <v>187.42812859357031</v>
      </c>
    </row>
    <row r="27" spans="1:14">
      <c r="A27" s="2" t="s">
        <v>74</v>
      </c>
      <c r="B27" t="s">
        <v>77</v>
      </c>
      <c r="C27" t="s">
        <v>78</v>
      </c>
      <c r="D27" s="3">
        <v>5.3</v>
      </c>
      <c r="E27" s="3">
        <v>45.9</v>
      </c>
      <c r="F27" s="3">
        <f t="shared" si="20"/>
        <v>38.898305084745765</v>
      </c>
      <c r="G27" s="3">
        <f t="shared" si="0"/>
        <v>28.686065696715165</v>
      </c>
    </row>
    <row r="28" spans="1:14">
      <c r="A28" s="2" t="s">
        <v>76</v>
      </c>
      <c r="B28" t="s">
        <v>77</v>
      </c>
      <c r="C28" t="s">
        <v>80</v>
      </c>
      <c r="D28" s="3">
        <v>5.7</v>
      </c>
      <c r="E28" s="3">
        <v>49.9</v>
      </c>
      <c r="F28" s="3">
        <f t="shared" si="20"/>
        <v>42.288135593220339</v>
      </c>
      <c r="G28" s="3">
        <f t="shared" si="0"/>
        <v>31.185940702964849</v>
      </c>
    </row>
    <row r="29" spans="1:14">
      <c r="A29" s="2" t="s">
        <v>75</v>
      </c>
      <c r="B29" t="s">
        <v>77</v>
      </c>
      <c r="C29" t="s">
        <v>79</v>
      </c>
      <c r="D29" s="3">
        <v>8.6</v>
      </c>
      <c r="E29" s="3">
        <v>77.900000000000006</v>
      </c>
      <c r="F29" s="3">
        <f t="shared" si="20"/>
        <v>66.016949152542381</v>
      </c>
      <c r="G29" s="3">
        <f t="shared" si="0"/>
        <v>48.685065746712667</v>
      </c>
    </row>
  </sheetData>
  <autoFilter ref="A1:M25" xr:uid="{39F034CD-2F16-4AE3-B3E1-EFC471EBCD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34CD-2F16-4AE3-B3E1-EFC471EBCD99}">
  <dimension ref="A1:K32"/>
  <sheetViews>
    <sheetView rightToLeft="1" topLeftCell="A26" zoomScale="85" zoomScaleNormal="85" workbookViewId="0">
      <selection activeCell="H12" sqref="H12"/>
    </sheetView>
  </sheetViews>
  <sheetFormatPr defaultRowHeight="14.25"/>
  <cols>
    <col min="1" max="1" width="21.25" customWidth="1"/>
    <col min="2" max="2" width="24.375" bestFit="1" customWidth="1"/>
    <col min="3" max="3" width="24.375" customWidth="1"/>
    <col min="4" max="4" width="11.875" bestFit="1" customWidth="1"/>
    <col min="5" max="5" width="13.625" bestFit="1" customWidth="1"/>
    <col min="6" max="6" width="18" bestFit="1" customWidth="1"/>
    <col min="7" max="7" width="9.375" bestFit="1" customWidth="1"/>
    <col min="8" max="8" width="8.75" bestFit="1" customWidth="1"/>
    <col min="9" max="9" width="11.25" style="2" customWidth="1"/>
    <col min="10" max="10" width="9" style="2"/>
    <col min="11" max="11" width="34" customWidth="1"/>
  </cols>
  <sheetData>
    <row r="1" spans="1:11" ht="15.75">
      <c r="A1" s="1" t="s">
        <v>0</v>
      </c>
      <c r="B1" s="1" t="s">
        <v>46</v>
      </c>
      <c r="C1" s="1" t="s">
        <v>47</v>
      </c>
      <c r="D1" s="1" t="s">
        <v>1</v>
      </c>
      <c r="E1" s="1" t="s">
        <v>2</v>
      </c>
      <c r="F1" s="1" t="s">
        <v>3</v>
      </c>
      <c r="G1" s="1" t="s">
        <v>4</v>
      </c>
      <c r="H1" s="1" t="s">
        <v>5</v>
      </c>
      <c r="I1" s="1" t="s">
        <v>31</v>
      </c>
      <c r="J1" s="1" t="s">
        <v>30</v>
      </c>
      <c r="K1" s="1" t="s">
        <v>69</v>
      </c>
    </row>
    <row r="2" spans="1:11" ht="75">
      <c r="A2" s="2">
        <v>35</v>
      </c>
      <c r="B2" t="s">
        <v>43</v>
      </c>
      <c r="C2" t="s">
        <v>32</v>
      </c>
      <c r="D2" s="3">
        <v>6.6482388428658288</v>
      </c>
      <c r="E2" s="3">
        <v>65.900000000000006</v>
      </c>
      <c r="F2" s="3">
        <v>55.847457627118651</v>
      </c>
      <c r="G2" s="4">
        <v>41.185440727963602</v>
      </c>
      <c r="H2" s="5">
        <v>6.1949399986072047</v>
      </c>
      <c r="J2" s="2">
        <v>1</v>
      </c>
      <c r="K2" s="7" t="s">
        <v>48</v>
      </c>
    </row>
    <row r="3" spans="1:11" ht="15">
      <c r="A3" s="2" t="s">
        <v>8</v>
      </c>
      <c r="B3" t="s">
        <v>43</v>
      </c>
      <c r="C3" t="s">
        <v>32</v>
      </c>
      <c r="D3" s="3">
        <v>6.8426827597826527</v>
      </c>
      <c r="E3" s="3">
        <v>65.900000000000006</v>
      </c>
      <c r="F3" s="3">
        <v>55.847457627118651</v>
      </c>
      <c r="G3" s="4">
        <v>41.185440727963602</v>
      </c>
      <c r="H3" s="5">
        <v>6.0189025523772486</v>
      </c>
      <c r="J3" s="2">
        <v>1</v>
      </c>
      <c r="K3" s="7"/>
    </row>
    <row r="4" spans="1:11" ht="15">
      <c r="A4" s="2" t="s">
        <v>9</v>
      </c>
      <c r="B4" t="s">
        <v>43</v>
      </c>
      <c r="C4" t="s">
        <v>32</v>
      </c>
      <c r="D4" s="3">
        <v>6.8426827597826501</v>
      </c>
      <c r="E4" s="3">
        <v>65.900000000000006</v>
      </c>
      <c r="F4" s="3">
        <v>55.847457627118651</v>
      </c>
      <c r="G4" s="4">
        <v>41.185440727963602</v>
      </c>
      <c r="H4" s="5">
        <v>6.0189025523772504</v>
      </c>
      <c r="J4" s="2">
        <v>1</v>
      </c>
      <c r="K4" s="7"/>
    </row>
    <row r="5" spans="1:11" ht="15">
      <c r="A5" s="2" t="s">
        <v>10</v>
      </c>
      <c r="B5" t="s">
        <v>43</v>
      </c>
      <c r="C5" t="s">
        <v>32</v>
      </c>
      <c r="D5" s="3">
        <v>7.345657154299527</v>
      </c>
      <c r="E5" s="3">
        <v>65.900000000000006</v>
      </c>
      <c r="F5" s="3">
        <v>55.847457627118651</v>
      </c>
      <c r="G5" s="4">
        <v>41.185440727963602</v>
      </c>
      <c r="H5" s="5">
        <v>5.6067741609553785</v>
      </c>
      <c r="J5" s="2">
        <v>1</v>
      </c>
      <c r="K5" s="7"/>
    </row>
    <row r="6" spans="1:11" ht="45">
      <c r="A6" s="2">
        <v>45</v>
      </c>
      <c r="B6" t="s">
        <v>43</v>
      </c>
      <c r="C6" t="s">
        <v>33</v>
      </c>
      <c r="D6" s="3">
        <v>6.764905193015923</v>
      </c>
      <c r="E6" s="3">
        <v>62.9</v>
      </c>
      <c r="F6" s="3">
        <v>53.305084745762713</v>
      </c>
      <c r="G6" s="4">
        <v>39.310534473276334</v>
      </c>
      <c r="H6" s="5">
        <v>5.8109512774636469</v>
      </c>
      <c r="J6" s="2">
        <v>1</v>
      </c>
      <c r="K6" s="6" t="s">
        <v>49</v>
      </c>
    </row>
    <row r="7" spans="1:11" ht="15">
      <c r="A7" s="2" t="s">
        <v>11</v>
      </c>
      <c r="B7" t="s">
        <v>43</v>
      </c>
      <c r="C7" t="s">
        <v>35</v>
      </c>
      <c r="D7" s="3">
        <v>7.1901020207660684</v>
      </c>
      <c r="E7" s="3">
        <v>65.900000000000006</v>
      </c>
      <c r="F7" s="3">
        <v>55.847457627118651</v>
      </c>
      <c r="G7" s="4">
        <v>41.185440727963602</v>
      </c>
      <c r="H7" s="5">
        <v>5.7280745960229789</v>
      </c>
      <c r="J7" s="2">
        <v>1</v>
      </c>
      <c r="K7" s="6"/>
    </row>
    <row r="8" spans="1:11" ht="15">
      <c r="A8" s="2" t="s">
        <v>12</v>
      </c>
      <c r="B8" t="s">
        <v>43</v>
      </c>
      <c r="C8" t="s">
        <v>35</v>
      </c>
      <c r="D8" s="3">
        <v>6.8426827597826501</v>
      </c>
      <c r="E8" s="3">
        <v>65.900000000000006</v>
      </c>
      <c r="F8" s="3">
        <v>55.847457627118651</v>
      </c>
      <c r="G8" s="4">
        <v>41.185440727963602</v>
      </c>
      <c r="H8" s="5">
        <v>6.0189025523772504</v>
      </c>
      <c r="J8" s="2">
        <v>1</v>
      </c>
      <c r="K8" s="6"/>
    </row>
    <row r="9" spans="1:11" ht="15">
      <c r="A9" s="2" t="s">
        <v>13</v>
      </c>
      <c r="B9" t="s">
        <v>43</v>
      </c>
      <c r="C9" t="s">
        <v>35</v>
      </c>
      <c r="D9" s="3">
        <v>7.2093458547949796</v>
      </c>
      <c r="E9" s="3">
        <v>79.900000000000006</v>
      </c>
      <c r="F9" s="3">
        <v>67.711864406779668</v>
      </c>
      <c r="G9" s="4">
        <v>49.935003249837507</v>
      </c>
      <c r="H9" s="5">
        <v>6.9264263714890904</v>
      </c>
      <c r="J9" s="2">
        <v>1</v>
      </c>
      <c r="K9" s="6"/>
    </row>
    <row r="10" spans="1:11" ht="15">
      <c r="A10" s="2" t="s">
        <v>14</v>
      </c>
      <c r="B10" t="s">
        <v>43</v>
      </c>
      <c r="C10" t="s">
        <v>35</v>
      </c>
      <c r="D10" s="3">
        <v>7.4426785550951697</v>
      </c>
      <c r="E10" s="3">
        <v>79.900000000000006</v>
      </c>
      <c r="F10" s="3">
        <v>67.711864406779668</v>
      </c>
      <c r="G10" s="4">
        <v>49.935003249837507</v>
      </c>
      <c r="H10" s="5">
        <v>6.7092785050689301</v>
      </c>
      <c r="J10" s="2">
        <v>1</v>
      </c>
      <c r="K10" s="6"/>
    </row>
    <row r="11" spans="1:11" ht="15">
      <c r="A11" s="2" t="s">
        <v>15</v>
      </c>
      <c r="B11" t="s">
        <v>43</v>
      </c>
      <c r="C11" t="s">
        <v>35</v>
      </c>
      <c r="D11" s="3">
        <v>7.4234347210662568</v>
      </c>
      <c r="E11" s="3">
        <v>65.900000000000006</v>
      </c>
      <c r="F11" s="3">
        <v>55.847457627118651</v>
      </c>
      <c r="G11" s="4">
        <v>41.185440727963602</v>
      </c>
      <c r="H11" s="5">
        <v>5.5480302953412348</v>
      </c>
      <c r="J11" s="2">
        <v>1</v>
      </c>
      <c r="K11" s="6"/>
    </row>
    <row r="12" spans="1:11" ht="30">
      <c r="A12" s="2">
        <v>95</v>
      </c>
      <c r="B12" t="s">
        <v>43</v>
      </c>
      <c r="C12" t="s">
        <v>34</v>
      </c>
      <c r="D12" s="3">
        <v>6.4926837093323702</v>
      </c>
      <c r="E12" s="3">
        <v>65.900000000000006</v>
      </c>
      <c r="F12" s="3">
        <v>55.847457627118651</v>
      </c>
      <c r="G12" s="4">
        <v>41.185440727963602</v>
      </c>
      <c r="H12" s="5">
        <v>6.3433616316108239</v>
      </c>
      <c r="J12" s="2">
        <v>1</v>
      </c>
      <c r="K12" s="6" t="s">
        <v>50</v>
      </c>
    </row>
    <row r="13" spans="1:11" ht="15">
      <c r="A13" s="2" t="s">
        <v>7</v>
      </c>
      <c r="B13" t="s">
        <v>43</v>
      </c>
      <c r="C13" t="s">
        <v>34</v>
      </c>
      <c r="D13" s="3">
        <v>6.6871276262491897</v>
      </c>
      <c r="E13" s="3">
        <v>65.900000000000006</v>
      </c>
      <c r="F13" s="3">
        <v>55.847457627118651</v>
      </c>
      <c r="G13" s="4">
        <v>41.185440727963602</v>
      </c>
      <c r="H13" s="5">
        <v>6.1589135171126559</v>
      </c>
      <c r="J13" s="2">
        <v>1</v>
      </c>
      <c r="K13" s="6"/>
    </row>
    <row r="14" spans="1:11" ht="15">
      <c r="A14" s="2" t="s">
        <v>20</v>
      </c>
      <c r="B14" t="s">
        <v>43</v>
      </c>
      <c r="C14" t="s">
        <v>38</v>
      </c>
      <c r="D14" s="3">
        <v>7.0345468872326098</v>
      </c>
      <c r="E14" s="3">
        <v>65.900000000000006</v>
      </c>
      <c r="F14" s="3">
        <v>55.847457627118651</v>
      </c>
      <c r="G14" s="4">
        <v>41.185440727963602</v>
      </c>
      <c r="H14" s="5">
        <v>5.8547396709677706</v>
      </c>
      <c r="J14" s="2">
        <v>1</v>
      </c>
      <c r="K14" s="6"/>
    </row>
    <row r="15" spans="1:11" ht="15">
      <c r="A15" s="2" t="s">
        <v>21</v>
      </c>
      <c r="B15" t="s">
        <v>43</v>
      </c>
      <c r="C15" t="s">
        <v>38</v>
      </c>
      <c r="D15" s="3">
        <v>7.2289908041494328</v>
      </c>
      <c r="E15" s="3">
        <v>63.896999999999998</v>
      </c>
      <c r="F15" s="3">
        <v>54.15</v>
      </c>
      <c r="G15" s="4">
        <v>39.93362831858407</v>
      </c>
      <c r="H15" s="5">
        <v>5.5240944967950725</v>
      </c>
      <c r="J15" s="2">
        <v>1</v>
      </c>
      <c r="K15" s="6"/>
    </row>
    <row r="16" spans="1:11" ht="120">
      <c r="A16" s="2">
        <v>379</v>
      </c>
      <c r="B16" t="s">
        <v>6</v>
      </c>
      <c r="C16" t="s">
        <v>51</v>
      </c>
      <c r="D16" s="3">
        <v>21.430000000000003</v>
      </c>
      <c r="E16" s="3">
        <v>252.9</v>
      </c>
      <c r="F16" s="3">
        <v>214.32203389830511</v>
      </c>
      <c r="G16" s="4">
        <v>158.0545972701365</v>
      </c>
      <c r="H16" s="5">
        <v>7.3753895133054819</v>
      </c>
      <c r="I16" s="2">
        <v>1</v>
      </c>
      <c r="J16" s="2">
        <v>1</v>
      </c>
      <c r="K16" s="8" t="s">
        <v>56</v>
      </c>
    </row>
    <row r="17" spans="1:11" ht="75">
      <c r="A17" s="2">
        <v>379</v>
      </c>
      <c r="B17" t="s">
        <v>6</v>
      </c>
      <c r="C17" t="s">
        <v>52</v>
      </c>
      <c r="D17" s="3">
        <v>21.430000000000003</v>
      </c>
      <c r="E17" s="3">
        <v>252.9</v>
      </c>
      <c r="F17" s="3">
        <v>214.32203389830511</v>
      </c>
      <c r="G17" s="4">
        <v>158.0545972701365</v>
      </c>
      <c r="H17" s="5">
        <v>7.3753895133054819</v>
      </c>
      <c r="I17" s="2">
        <v>1</v>
      </c>
      <c r="J17" s="2">
        <v>1</v>
      </c>
      <c r="K17" s="6" t="s">
        <v>54</v>
      </c>
    </row>
    <row r="18" spans="1:11" ht="150">
      <c r="A18" s="2">
        <v>379</v>
      </c>
      <c r="B18" t="s">
        <v>6</v>
      </c>
      <c r="C18" t="s">
        <v>53</v>
      </c>
      <c r="D18" s="3">
        <v>21.430000000000003</v>
      </c>
      <c r="E18" s="3">
        <v>252.9</v>
      </c>
      <c r="F18" s="3">
        <v>214.32203389830511</v>
      </c>
      <c r="G18" s="4">
        <v>158.0545972701365</v>
      </c>
      <c r="H18" s="5">
        <v>7.3753895133054819</v>
      </c>
      <c r="I18" s="2">
        <v>1</v>
      </c>
      <c r="J18" s="2">
        <v>1</v>
      </c>
      <c r="K18" s="8" t="s">
        <v>55</v>
      </c>
    </row>
    <row r="19" spans="1:11" ht="135">
      <c r="A19" s="2" t="s">
        <v>16</v>
      </c>
      <c r="B19" t="s">
        <v>36</v>
      </c>
      <c r="C19" t="s">
        <v>45</v>
      </c>
      <c r="D19" s="3">
        <v>2.7960000000000003</v>
      </c>
      <c r="E19" s="3">
        <v>26.9</v>
      </c>
      <c r="F19" s="3">
        <v>22.796610169491526</v>
      </c>
      <c r="G19" s="4">
        <v>16.811659417029148</v>
      </c>
      <c r="H19" s="5">
        <v>6.0127537256899668</v>
      </c>
      <c r="I19" s="2">
        <v>1</v>
      </c>
      <c r="J19" s="2">
        <v>1</v>
      </c>
      <c r="K19" s="8" t="s">
        <v>57</v>
      </c>
    </row>
    <row r="20" spans="1:11" ht="150">
      <c r="A20" s="2" t="s">
        <v>17</v>
      </c>
      <c r="B20" t="s">
        <v>36</v>
      </c>
      <c r="C20" t="s">
        <v>45</v>
      </c>
      <c r="D20" s="3">
        <v>2.6160000000000001</v>
      </c>
      <c r="E20" s="3">
        <v>26.9</v>
      </c>
      <c r="F20" s="3">
        <v>22.796610169491526</v>
      </c>
      <c r="G20" s="4">
        <v>16.811659417029148</v>
      </c>
      <c r="H20" s="5">
        <v>6.4264753123200107</v>
      </c>
      <c r="I20" s="2">
        <v>1</v>
      </c>
      <c r="J20" s="2">
        <v>1</v>
      </c>
      <c r="K20" s="8" t="s">
        <v>58</v>
      </c>
    </row>
    <row r="21" spans="1:11" ht="60">
      <c r="A21" s="2" t="s">
        <v>18</v>
      </c>
      <c r="B21" t="s">
        <v>36</v>
      </c>
      <c r="C21" t="s">
        <v>44</v>
      </c>
      <c r="D21" s="3">
        <v>7.2788050559768873</v>
      </c>
      <c r="E21" s="3">
        <v>100.90179999999999</v>
      </c>
      <c r="F21" s="3">
        <v>85.51</v>
      </c>
      <c r="G21" s="4">
        <v>63.060471976401182</v>
      </c>
      <c r="H21" s="5">
        <v>8.6635747889167565</v>
      </c>
      <c r="I21" s="2">
        <v>1</v>
      </c>
      <c r="J21" s="2">
        <v>1</v>
      </c>
      <c r="K21" s="8" t="s">
        <v>59</v>
      </c>
    </row>
    <row r="22" spans="1:11" ht="210">
      <c r="A22" s="2" t="s">
        <v>19</v>
      </c>
      <c r="B22" t="s">
        <v>43</v>
      </c>
      <c r="C22" t="s">
        <v>37</v>
      </c>
      <c r="D22" s="3">
        <v>14.956680245765797</v>
      </c>
      <c r="E22" s="3">
        <v>179.9</v>
      </c>
      <c r="F22" s="3">
        <v>152.45762711864407</v>
      </c>
      <c r="G22" s="4">
        <v>112.43187840607969</v>
      </c>
      <c r="H22" s="5">
        <v>7.5171680184784924</v>
      </c>
      <c r="J22" s="2">
        <v>1</v>
      </c>
      <c r="K22" s="8" t="s">
        <v>60</v>
      </c>
    </row>
    <row r="23" spans="1:11" ht="105">
      <c r="A23" s="2" t="s">
        <v>22</v>
      </c>
      <c r="B23" t="s">
        <v>43</v>
      </c>
      <c r="C23" t="s">
        <v>39</v>
      </c>
      <c r="D23" s="3">
        <v>26.797775285088612</v>
      </c>
      <c r="E23" s="3">
        <v>199.90379999999999</v>
      </c>
      <c r="F23" s="3">
        <v>169.41</v>
      </c>
      <c r="G23" s="4">
        <v>124.93362831858406</v>
      </c>
      <c r="H23" s="5">
        <v>4.6620895574156966</v>
      </c>
      <c r="J23" s="2">
        <v>1</v>
      </c>
      <c r="K23" s="8" t="s">
        <v>61</v>
      </c>
    </row>
    <row r="24" spans="1:11" ht="105">
      <c r="A24" s="2" t="s">
        <v>23</v>
      </c>
      <c r="B24" t="s">
        <v>43</v>
      </c>
      <c r="C24" t="s">
        <v>40</v>
      </c>
      <c r="D24" s="3">
        <v>20.577939211725464</v>
      </c>
      <c r="E24" s="3">
        <v>199.9</v>
      </c>
      <c r="F24" s="3">
        <v>169.40677966101697</v>
      </c>
      <c r="G24" s="4">
        <v>124.93125343732814</v>
      </c>
      <c r="H24" s="5">
        <v>6.0711255948380574</v>
      </c>
      <c r="I24" s="2">
        <v>1</v>
      </c>
      <c r="J24" s="2">
        <v>1</v>
      </c>
      <c r="K24" s="7" t="s">
        <v>62</v>
      </c>
    </row>
    <row r="25" spans="1:11" ht="120">
      <c r="A25" s="2" t="s">
        <v>24</v>
      </c>
      <c r="B25" t="s">
        <v>43</v>
      </c>
      <c r="C25" t="s">
        <v>40</v>
      </c>
      <c r="D25" s="3">
        <v>24.972424014656838</v>
      </c>
      <c r="E25" s="3">
        <v>199.9</v>
      </c>
      <c r="F25" s="3">
        <v>169.40677966101697</v>
      </c>
      <c r="G25" s="4">
        <v>124.93125343732814</v>
      </c>
      <c r="H25" s="5">
        <v>5.0027683882030587</v>
      </c>
      <c r="I25" s="2">
        <v>1</v>
      </c>
      <c r="J25" s="2">
        <v>1</v>
      </c>
      <c r="K25" s="7" t="s">
        <v>63</v>
      </c>
    </row>
    <row r="26" spans="1:11" ht="120">
      <c r="A26" s="2" t="s">
        <v>25</v>
      </c>
      <c r="B26" t="s">
        <v>43</v>
      </c>
      <c r="C26" t="s">
        <v>40</v>
      </c>
      <c r="D26" s="3">
        <v>42.588911338688725</v>
      </c>
      <c r="E26" s="3">
        <v>349.9</v>
      </c>
      <c r="F26" s="3">
        <v>296.52542372881356</v>
      </c>
      <c r="G26" s="4">
        <v>218.67656617169141</v>
      </c>
      <c r="H26" s="5">
        <v>5.1345892463102407</v>
      </c>
      <c r="I26" s="2">
        <v>1</v>
      </c>
      <c r="J26" s="2">
        <v>1</v>
      </c>
      <c r="K26" s="6" t="s">
        <v>64</v>
      </c>
    </row>
    <row r="27" spans="1:11" ht="120">
      <c r="A27" s="2" t="s">
        <v>26</v>
      </c>
      <c r="B27" t="s">
        <v>43</v>
      </c>
      <c r="C27" t="s">
        <v>40</v>
      </c>
      <c r="D27" s="3">
        <v>36.074280358904502</v>
      </c>
      <c r="E27" s="3">
        <v>299.89999999999998</v>
      </c>
      <c r="F27" s="3">
        <v>254.15254237288136</v>
      </c>
      <c r="G27" s="4">
        <v>187.42812859357031</v>
      </c>
      <c r="H27" s="5">
        <v>5.1956165647336583</v>
      </c>
      <c r="I27" s="2">
        <v>1</v>
      </c>
      <c r="J27" s="2">
        <v>1</v>
      </c>
      <c r="K27" s="7" t="s">
        <v>65</v>
      </c>
    </row>
    <row r="28" spans="1:11" ht="120">
      <c r="A28" s="2" t="s">
        <v>27</v>
      </c>
      <c r="B28" t="s">
        <v>43</v>
      </c>
      <c r="C28" t="s">
        <v>40</v>
      </c>
      <c r="D28" s="3">
        <v>23.742260800801741</v>
      </c>
      <c r="E28" s="3">
        <v>199.9</v>
      </c>
      <c r="F28" s="3">
        <v>169.40677966101697</v>
      </c>
      <c r="G28" s="4">
        <v>124.93125343732814</v>
      </c>
      <c r="H28" s="5">
        <v>5.2619779761289367</v>
      </c>
      <c r="I28" s="2">
        <v>1</v>
      </c>
      <c r="J28" s="2">
        <v>1</v>
      </c>
      <c r="K28" s="7" t="s">
        <v>66</v>
      </c>
    </row>
    <row r="29" spans="1:11" ht="120">
      <c r="A29" s="2" t="s">
        <v>28</v>
      </c>
      <c r="B29" t="s">
        <v>43</v>
      </c>
      <c r="C29" t="s">
        <v>42</v>
      </c>
      <c r="D29" s="3">
        <v>10.270833056626545</v>
      </c>
      <c r="E29" s="3">
        <v>99.9</v>
      </c>
      <c r="F29" s="3">
        <v>84.661016949152554</v>
      </c>
      <c r="G29" s="4">
        <v>62.434378281085948</v>
      </c>
      <c r="H29" s="5">
        <v>6.0788037286619589</v>
      </c>
      <c r="J29" s="2">
        <v>1</v>
      </c>
      <c r="K29" s="7" t="s">
        <v>67</v>
      </c>
    </row>
    <row r="30" spans="1:11" ht="150">
      <c r="A30" s="2" t="s">
        <v>29</v>
      </c>
      <c r="B30" t="s">
        <v>43</v>
      </c>
      <c r="C30" t="s">
        <v>41</v>
      </c>
      <c r="D30" s="3">
        <v>12.350167348456674</v>
      </c>
      <c r="E30" s="3">
        <v>181.89699999999999</v>
      </c>
      <c r="F30" s="3">
        <v>154.15</v>
      </c>
      <c r="G30" s="4">
        <v>113.67994100294985</v>
      </c>
      <c r="H30" s="5">
        <v>9.2047287939912614</v>
      </c>
      <c r="J30" s="2">
        <v>1</v>
      </c>
      <c r="K30" s="6" t="s">
        <v>68</v>
      </c>
    </row>
    <row r="31" spans="1:11" ht="15">
      <c r="K31" s="6"/>
    </row>
    <row r="32" spans="1:11" ht="15">
      <c r="K32" s="6"/>
    </row>
  </sheetData>
  <autoFilter ref="A1:I30" xr:uid="{39F034CD-2F16-4AE3-B3E1-EFC471EBCD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מחירון</vt:lpstr>
      <vt:lpstr>מידע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Sadot</dc:creator>
  <cp:lastModifiedBy>Eyal Sadot</cp:lastModifiedBy>
  <dcterms:created xsi:type="dcterms:W3CDTF">2026-09-07T14:32:54Z</dcterms:created>
  <dcterms:modified xsi:type="dcterms:W3CDTF">2026-09-29T06:16:12Z</dcterms:modified>
</cp:coreProperties>
</file>