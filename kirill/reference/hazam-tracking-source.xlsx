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156658meditex-my.sharepoint.com/personal/eyals_uriel_co_il/Documents/שולחן העבודה/"/>
    </mc:Choice>
  </mc:AlternateContent>
  <xr:revisionPtr revIDLastSave="0" documentId="8_{BB7EF2F9-90C3-46AC-B49F-1BAF63A92CFE}" xr6:coauthVersionLast="47" xr6:coauthVersionMax="47" xr10:uidLastSave="{00000000-0000-0000-0000-000000000000}"/>
  <bookViews>
    <workbookView xWindow="-120" yWindow="-120" windowWidth="29040" windowHeight="15720" xr2:uid="{9F335D65-0017-48DD-83B8-DCBCB50B0D38}"/>
  </bookViews>
  <sheets>
    <sheet name="חאזם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1" i="1" l="1"/>
  <c r="G11" i="1"/>
  <c r="H11" i="1" s="1"/>
  <c r="D11" i="1"/>
  <c r="J11" i="1" s="1"/>
  <c r="I10" i="1"/>
  <c r="D10" i="1"/>
  <c r="J10" i="1" s="1"/>
  <c r="I9" i="1"/>
  <c r="E9" i="1"/>
  <c r="E12" i="1" s="1"/>
  <c r="D9" i="1"/>
  <c r="D8" i="1"/>
  <c r="J8" i="1" s="1"/>
  <c r="C8" i="1"/>
  <c r="I8" i="1" s="1"/>
  <c r="I12" i="1" s="1"/>
  <c r="J7" i="1"/>
  <c r="I7" i="1"/>
  <c r="G7" i="1"/>
  <c r="F7" i="1"/>
  <c r="D7" i="1"/>
  <c r="C6" i="1"/>
  <c r="J5" i="1"/>
  <c r="I5" i="1"/>
  <c r="D5" i="1"/>
  <c r="G5" i="1" s="1"/>
  <c r="H5" i="1" s="1"/>
  <c r="I4" i="1"/>
  <c r="E4" i="1"/>
  <c r="E6" i="1" s="1"/>
  <c r="D4" i="1"/>
  <c r="J4" i="1" s="1"/>
  <c r="I3" i="1"/>
  <c r="I6" i="1" s="1"/>
  <c r="E3" i="1"/>
  <c r="G3" i="1" s="1"/>
  <c r="D3" i="1"/>
  <c r="D6" i="1" s="1"/>
  <c r="G1" i="1"/>
  <c r="D13" i="1" l="1"/>
  <c r="H3" i="1"/>
  <c r="I13" i="1"/>
  <c r="G12" i="1"/>
  <c r="F6" i="1"/>
  <c r="E13" i="1"/>
  <c r="J3" i="1"/>
  <c r="J6" i="1" s="1"/>
  <c r="H7" i="1"/>
  <c r="F9" i="1"/>
  <c r="F11" i="1"/>
  <c r="G9" i="1"/>
  <c r="H9" i="1" s="1"/>
  <c r="F4" i="1"/>
  <c r="G4" i="1"/>
  <c r="H4" i="1" s="1"/>
  <c r="J9" i="1"/>
  <c r="J12" i="1" s="1"/>
  <c r="F8" i="1"/>
  <c r="C12" i="1"/>
  <c r="C13" i="1" s="1"/>
  <c r="G8" i="1"/>
  <c r="H8" i="1" s="1"/>
  <c r="F10" i="1"/>
  <c r="D12" i="1"/>
  <c r="F3" i="1"/>
  <c r="G10" i="1"/>
  <c r="H10" i="1" s="1"/>
  <c r="F5" i="1"/>
  <c r="F12" i="1" l="1"/>
  <c r="J13" i="1"/>
  <c r="G6" i="1"/>
  <c r="H12" i="1"/>
  <c r="F13" i="1"/>
  <c r="G13" i="1" l="1"/>
  <c r="H13" i="1" s="1"/>
  <c r="H6" i="1"/>
</calcChain>
</file>

<file path=xl/sharedStrings.xml><?xml version="1.0" encoding="utf-8"?>
<sst xmlns="http://schemas.openxmlformats.org/spreadsheetml/2006/main" count="22" uniqueCount="20">
  <si>
    <t>סוכן</t>
  </si>
  <si>
    <t>יעד</t>
  </si>
  <si>
    <t>מכירות</t>
  </si>
  <si>
    <t>פתוחות</t>
  </si>
  <si>
    <t>אחוז ביצוע</t>
  </si>
  <si>
    <t>אומדן</t>
  </si>
  <si>
    <t>אחוז אומדן</t>
  </si>
  <si>
    <t>יעד יומי</t>
  </si>
  <si>
    <t>הפרש יעד יומי</t>
  </si>
  <si>
    <t>חאזם</t>
  </si>
  <si>
    <t>בתי מרקחת פרטיים</t>
  </si>
  <si>
    <t>BE</t>
  </si>
  <si>
    <t>סופרפארם</t>
  </si>
  <si>
    <t>סה"כ</t>
  </si>
  <si>
    <t>מכוני אורטופדיה</t>
  </si>
  <si>
    <t>מכוני פיזוטרפיה</t>
  </si>
  <si>
    <t>מאוחדת</t>
  </si>
  <si>
    <t>חנויות פרטיות</t>
  </si>
  <si>
    <t>חנויות ספורט</t>
  </si>
  <si>
    <t>סה"כ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</si>
</sst>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₪&quot;\ #,##0;[Red]&quot;₪&quot;\ \-#,##0"/>
    <numFmt numFmtId="8" formatCode="&quot;₪&quot;\ #,##0.00;[Red]&quot;₪&quot;\ \-#,##0.00"/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/>
    <xf numFmtId="164" fontId="2" fillId="0" borderId="1" xfId="1" applyNumberFormat="1" applyFont="1" applyBorder="1"/>
    <xf numFmtId="9" fontId="2" fillId="0" borderId="1" xfId="2" applyFont="1" applyBorder="1"/>
    <xf numFmtId="0" fontId="2" fillId="0" borderId="0" xfId="0" applyFont="1"/>
    <xf numFmtId="8" fontId="0" fillId="0" borderId="0" xfId="0" applyNumberFormat="1"/>
    <xf numFmtId="0" fontId="3" fillId="0" borderId="1" xfId="0" applyFont="1" applyBorder="1" applyAlignment="1">
      <alignment horizontal="center" vertical="center"/>
    </xf>
    <xf numFmtId="164" fontId="2" fillId="0" borderId="1" xfId="1" applyNumberFormat="1" applyFont="1" applyBorder="1" applyAlignment="1"/>
    <xf numFmtId="9" fontId="2" fillId="0" borderId="1" xfId="2" applyFont="1" applyBorder="1" applyAlignment="1"/>
    <xf numFmtId="164" fontId="0" fillId="0" borderId="1" xfId="1" applyNumberFormat="1" applyFont="1" applyBorder="1" applyAlignment="1"/>
    <xf numFmtId="0" fontId="2" fillId="2" borderId="1" xfId="0" applyFont="1" applyFill="1" applyBorder="1"/>
    <xf numFmtId="164" fontId="2" fillId="2" borderId="1" xfId="1" applyNumberFormat="1" applyFont="1" applyFill="1" applyBorder="1" applyAlignment="1"/>
    <xf numFmtId="9" fontId="2" fillId="2" borderId="1" xfId="2" applyFont="1" applyFill="1" applyBorder="1" applyAlignment="1"/>
    <xf numFmtId="164" fontId="2" fillId="0" borderId="1" xfId="1" applyNumberFormat="1" applyFont="1" applyFill="1" applyBorder="1" applyAlignment="1"/>
    <xf numFmtId="0" fontId="2" fillId="3" borderId="1" xfId="0" applyFont="1" applyFill="1" applyBorder="1"/>
    <xf numFmtId="164" fontId="2" fillId="3" borderId="1" xfId="1" applyNumberFormat="1" applyFont="1" applyFill="1" applyBorder="1"/>
    <xf numFmtId="9" fontId="2" fillId="3" borderId="1" xfId="2" applyFont="1" applyFill="1" applyBorder="1"/>
    <xf numFmtId="164" fontId="2" fillId="0" borderId="0" xfId="1" applyNumberFormat="1" applyFont="1"/>
    <xf numFmtId="164" fontId="2" fillId="0" borderId="0" xfId="0" applyNumberFormat="1" applyFont="1"/>
    <xf numFmtId="6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1156658meditex-my.sharepoint.com/personal/eyals_uriel_co_il/Documents/&#1513;&#1493;&#1500;&#1495;&#1503;%20&#1492;&#1506;&#1489;&#1493;&#1491;&#1492;/&#1502;&#1499;&#1497;&#1512;&#1493;&#1514;%20&#1488;&#1493;&#1490;&#1493;&#1505;&#1496;%20-%2026.xlsx" TargetMode="External"/><Relationship Id="rId1" Type="http://schemas.openxmlformats.org/officeDocument/2006/relationships/externalLinkPath" Target="&#1502;&#1499;&#1497;&#1512;&#1493;&#1514;%20&#1488;&#1493;&#1490;&#1493;&#1505;&#1496;%20-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חאזם"/>
      <sheetName val="דודו"/>
      <sheetName val="חיים"/>
      <sheetName val="סטאס"/>
      <sheetName val="סה&quot;כ"/>
      <sheetName val="מכירות"/>
      <sheetName val="פתוחות"/>
      <sheetName val="גיליון2"/>
    </sheetNames>
    <sheetDataSet>
      <sheetData sheetId="0"/>
      <sheetData sheetId="1"/>
      <sheetData sheetId="2"/>
      <sheetData sheetId="3"/>
      <sheetData sheetId="4"/>
      <sheetData sheetId="5">
        <row r="2">
          <cell r="C2">
            <v>18737.099999999999</v>
          </cell>
        </row>
        <row r="3">
          <cell r="C3">
            <v>9809.2000000000007</v>
          </cell>
        </row>
        <row r="4">
          <cell r="C4">
            <v>50294</v>
          </cell>
        </row>
        <row r="5">
          <cell r="C5">
            <v>6626.4</v>
          </cell>
        </row>
        <row r="7">
          <cell r="C7">
            <v>19629</v>
          </cell>
        </row>
        <row r="8">
          <cell r="C8">
            <v>5352</v>
          </cell>
        </row>
        <row r="11">
          <cell r="C11">
            <v>1276</v>
          </cell>
        </row>
      </sheetData>
      <sheetData sheetId="6">
        <row r="2">
          <cell r="D2">
            <v>4595</v>
          </cell>
        </row>
        <row r="3">
          <cell r="D3">
            <v>646</v>
          </cell>
        </row>
        <row r="4">
          <cell r="D4">
            <v>302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818A2-E30B-4AD1-B74A-A2B22D9ABA3E}">
  <sheetPr>
    <pageSetUpPr fitToPage="1"/>
  </sheetPr>
  <dimension ref="A1:M16"/>
  <sheetViews>
    <sheetView rightToLeft="1" tabSelected="1" workbookViewId="0">
      <selection activeCell="F16" sqref="F16"/>
    </sheetView>
  </sheetViews>
  <sheetFormatPr defaultColWidth="9" defaultRowHeight="15.75" x14ac:dyDescent="0.25"/>
  <cols>
    <col min="1" max="1" width="9" style="4"/>
    <col min="2" max="2" width="18.625" style="4" customWidth="1"/>
    <col min="3" max="3" width="10.875" style="17" bestFit="1" customWidth="1"/>
    <col min="4" max="4" width="11.875" style="4" bestFit="1" customWidth="1"/>
    <col min="5" max="5" width="9.875" style="4" bestFit="1" customWidth="1"/>
    <col min="6" max="6" width="11.125" style="4" customWidth="1"/>
    <col min="7" max="7" width="10.875" style="4" bestFit="1" customWidth="1"/>
    <col min="8" max="8" width="9" style="4"/>
    <col min="9" max="9" width="11.875" style="4" hidden="1" customWidth="1"/>
    <col min="10" max="10" width="12.125" style="4" customWidth="1"/>
    <col min="13" max="13" width="10.875" style="4" bestFit="1" customWidth="1"/>
    <col min="14" max="16384" width="9" style="4"/>
  </cols>
  <sheetData>
    <row r="1" spans="1:13" x14ac:dyDescent="0.25">
      <c r="A1" s="1"/>
      <c r="B1" s="1"/>
      <c r="C1" s="2"/>
      <c r="D1" s="1"/>
      <c r="E1" s="1"/>
      <c r="F1" s="1"/>
      <c r="G1" s="3">
        <f>10/22</f>
        <v>0.45454545454545453</v>
      </c>
      <c r="H1" s="1">
        <v>12</v>
      </c>
      <c r="I1" s="1"/>
      <c r="J1" s="3"/>
    </row>
    <row r="2" spans="1:13" x14ac:dyDescent="0.25">
      <c r="A2" s="1" t="s">
        <v>0</v>
      </c>
      <c r="B2" s="1" t="s">
        <v>0</v>
      </c>
      <c r="C2" s="2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M2" s="5"/>
    </row>
    <row r="3" spans="1:13" ht="31.5" customHeight="1" x14ac:dyDescent="0.25">
      <c r="A3" s="6" t="s">
        <v>9</v>
      </c>
      <c r="B3" s="1" t="s">
        <v>10</v>
      </c>
      <c r="C3" s="7">
        <v>109000</v>
      </c>
      <c r="D3" s="7">
        <f>[1]מכירות!C2+[1]מכירות!C11</f>
        <v>20013.099999999999</v>
      </c>
      <c r="E3" s="7">
        <f>[1]פתוחות!D2</f>
        <v>4595</v>
      </c>
      <c r="F3" s="8">
        <f t="shared" ref="F3:F13" si="0">(E3+D3)/C3</f>
        <v>0.22576238532110091</v>
      </c>
      <c r="G3" s="7">
        <f>(E3+D3)/$G$1</f>
        <v>54137.82</v>
      </c>
      <c r="H3" s="8">
        <f t="shared" ref="H3:H13" si="1">G3/C3</f>
        <v>0.49667724770642202</v>
      </c>
      <c r="I3" s="7">
        <f>C3/22</f>
        <v>4954.545454545455</v>
      </c>
      <c r="J3" s="7">
        <f>(D3-E3)/$H$1</f>
        <v>1284.8416666666665</v>
      </c>
      <c r="M3" s="5"/>
    </row>
    <row r="4" spans="1:13" ht="31.5" customHeight="1" x14ac:dyDescent="0.25">
      <c r="A4" s="6"/>
      <c r="B4" s="1" t="s">
        <v>11</v>
      </c>
      <c r="C4" s="7">
        <v>25070</v>
      </c>
      <c r="D4" s="7">
        <f>[1]מכירות!C3</f>
        <v>9809.2000000000007</v>
      </c>
      <c r="E4" s="7">
        <f>[1]פתוחות!D3</f>
        <v>646</v>
      </c>
      <c r="F4" s="8">
        <f t="shared" si="0"/>
        <v>0.41704028719585162</v>
      </c>
      <c r="G4" s="7">
        <f>(E4+D4)/$G$1</f>
        <v>23001.440000000002</v>
      </c>
      <c r="H4" s="8">
        <f t="shared" si="1"/>
        <v>0.9174886318308737</v>
      </c>
      <c r="I4" s="7">
        <f>C4/22</f>
        <v>1139.5454545454545</v>
      </c>
      <c r="J4" s="7">
        <f t="shared" ref="J4:J11" si="2">(D4-E4)/$H$1</f>
        <v>763.6</v>
      </c>
      <c r="M4" s="5"/>
    </row>
    <row r="5" spans="1:13" ht="31.5" customHeight="1" x14ac:dyDescent="0.25">
      <c r="A5" s="6"/>
      <c r="B5" s="1" t="s">
        <v>12</v>
      </c>
      <c r="C5" s="9">
        <v>119900</v>
      </c>
      <c r="D5" s="7">
        <f>[1]מכירות!C4</f>
        <v>50294</v>
      </c>
      <c r="E5" s="7"/>
      <c r="F5" s="8">
        <f t="shared" si="0"/>
        <v>0.41946622185154298</v>
      </c>
      <c r="G5" s="7">
        <f>(E5+D5)/$G$1</f>
        <v>110646.8</v>
      </c>
      <c r="H5" s="8">
        <f t="shared" si="1"/>
        <v>0.92282568807339449</v>
      </c>
      <c r="I5" s="7">
        <f>C5/22</f>
        <v>5450</v>
      </c>
      <c r="J5" s="7">
        <f t="shared" si="2"/>
        <v>4191.166666666667</v>
      </c>
      <c r="M5" s="5"/>
    </row>
    <row r="6" spans="1:13" ht="31.5" customHeight="1" x14ac:dyDescent="0.25">
      <c r="A6" s="6"/>
      <c r="B6" s="10" t="s">
        <v>13</v>
      </c>
      <c r="C6" s="11">
        <f>SUM(C3:C5)</f>
        <v>253970</v>
      </c>
      <c r="D6" s="11">
        <f>SUM(D3:D5)</f>
        <v>80116.3</v>
      </c>
      <c r="E6" s="11">
        <f>SUM(E3:E5)</f>
        <v>5241</v>
      </c>
      <c r="F6" s="12">
        <f t="shared" si="0"/>
        <v>0.33609205811710047</v>
      </c>
      <c r="G6" s="11">
        <f>SUM(G3:G5)</f>
        <v>187786.06</v>
      </c>
      <c r="H6" s="12">
        <f t="shared" si="1"/>
        <v>0.73940252785762095</v>
      </c>
      <c r="I6" s="11">
        <f>SUM(I3:I5)</f>
        <v>11544.09090909091</v>
      </c>
      <c r="J6" s="11">
        <f>SUM(J3:J5)</f>
        <v>6239.6083333333336</v>
      </c>
    </row>
    <row r="7" spans="1:13" ht="31.5" customHeight="1" x14ac:dyDescent="0.25">
      <c r="A7" s="6"/>
      <c r="B7" s="1" t="s">
        <v>14</v>
      </c>
      <c r="C7" s="7">
        <v>47457</v>
      </c>
      <c r="D7" s="13">
        <f>[1]מכירות!C7</f>
        <v>19629</v>
      </c>
      <c r="E7" s="13"/>
      <c r="F7" s="8">
        <f t="shared" si="0"/>
        <v>0.41361653707566848</v>
      </c>
      <c r="G7" s="7">
        <f>(E7+D7)/$G$1</f>
        <v>43183.8</v>
      </c>
      <c r="H7" s="8">
        <f t="shared" si="1"/>
        <v>0.90995638156647074</v>
      </c>
      <c r="I7" s="13">
        <f>C7/22</f>
        <v>2157.1363636363635</v>
      </c>
      <c r="J7" s="7">
        <f t="shared" si="2"/>
        <v>1635.75</v>
      </c>
    </row>
    <row r="8" spans="1:13" ht="31.5" customHeight="1" x14ac:dyDescent="0.25">
      <c r="A8" s="6"/>
      <c r="B8" s="1" t="s">
        <v>15</v>
      </c>
      <c r="C8" s="7">
        <f>16734+302</f>
        <v>17036</v>
      </c>
      <c r="D8" s="13">
        <f>[1]מכירות!C8</f>
        <v>5352</v>
      </c>
      <c r="E8" s="13"/>
      <c r="F8" s="8">
        <f t="shared" si="0"/>
        <v>0.31415825311105894</v>
      </c>
      <c r="G8" s="7">
        <f>(E8+D8)/$G$1</f>
        <v>11774.4</v>
      </c>
      <c r="H8" s="8">
        <f t="shared" si="1"/>
        <v>0.69114815684432962</v>
      </c>
      <c r="I8" s="13">
        <f>C8/22</f>
        <v>774.36363636363637</v>
      </c>
      <c r="J8" s="7">
        <f t="shared" si="2"/>
        <v>446</v>
      </c>
    </row>
    <row r="9" spans="1:13" ht="31.5" customHeight="1" x14ac:dyDescent="0.25">
      <c r="A9" s="6"/>
      <c r="B9" s="1" t="s">
        <v>16</v>
      </c>
      <c r="C9" s="7">
        <v>21800</v>
      </c>
      <c r="D9" s="13">
        <f>[1]מכירות!C5</f>
        <v>6626.4</v>
      </c>
      <c r="E9" s="2">
        <f>[1]פתוחות!D4</f>
        <v>302</v>
      </c>
      <c r="F9" s="8">
        <f t="shared" si="0"/>
        <v>0.31781651376146786</v>
      </c>
      <c r="G9" s="7">
        <f>(E9+D9)/$G$1</f>
        <v>15242.48</v>
      </c>
      <c r="H9" s="8">
        <f t="shared" si="1"/>
        <v>0.69919633027522932</v>
      </c>
      <c r="I9" s="13">
        <f>C9/22</f>
        <v>990.90909090909088</v>
      </c>
      <c r="J9" s="7">
        <f t="shared" si="2"/>
        <v>527.0333333333333</v>
      </c>
      <c r="M9" s="5"/>
    </row>
    <row r="10" spans="1:13" ht="31.5" customHeight="1" x14ac:dyDescent="0.25">
      <c r="A10" s="6"/>
      <c r="B10" s="1" t="s">
        <v>17</v>
      </c>
      <c r="C10" s="7">
        <v>6250</v>
      </c>
      <c r="D10" s="13">
        <f>[1]מכירות!C9</f>
        <v>0</v>
      </c>
      <c r="E10" s="1"/>
      <c r="F10" s="8">
        <f t="shared" si="0"/>
        <v>0</v>
      </c>
      <c r="G10" s="7">
        <f>(E10+D10)/$G$1</f>
        <v>0</v>
      </c>
      <c r="H10" s="8">
        <f t="shared" si="1"/>
        <v>0</v>
      </c>
      <c r="I10" s="13">
        <f>C10/22</f>
        <v>284.09090909090907</v>
      </c>
      <c r="J10" s="7">
        <f t="shared" si="2"/>
        <v>0</v>
      </c>
      <c r="M10" s="5"/>
    </row>
    <row r="11" spans="1:13" ht="31.5" hidden="1" customHeight="1" x14ac:dyDescent="0.25">
      <c r="A11" s="6"/>
      <c r="B11" s="1" t="s">
        <v>18</v>
      </c>
      <c r="C11" s="7"/>
      <c r="D11" s="13">
        <f>[1]מכירות!C11</f>
        <v>1276</v>
      </c>
      <c r="E11" s="1"/>
      <c r="F11" s="8" t="e">
        <f t="shared" si="0"/>
        <v>#DIV/0!</v>
      </c>
      <c r="G11" s="7">
        <f>(E11+D11)/$G$1</f>
        <v>2807.2000000000003</v>
      </c>
      <c r="H11" s="8" t="e">
        <f t="shared" si="1"/>
        <v>#DIV/0!</v>
      </c>
      <c r="I11" s="13">
        <f t="shared" ref="I11" si="3">C11/20</f>
        <v>0</v>
      </c>
      <c r="J11" s="7">
        <f t="shared" si="2"/>
        <v>106.33333333333333</v>
      </c>
      <c r="M11" s="5"/>
    </row>
    <row r="12" spans="1:13" ht="31.5" customHeight="1" x14ac:dyDescent="0.25">
      <c r="A12" s="6"/>
      <c r="B12" s="10" t="s">
        <v>13</v>
      </c>
      <c r="C12" s="11">
        <f>SUM(C7:C11)</f>
        <v>92543</v>
      </c>
      <c r="D12" s="11">
        <f>SUM(D7:D11)</f>
        <v>32883.4</v>
      </c>
      <c r="E12" s="11">
        <f>SUM(E7:E11)</f>
        <v>302</v>
      </c>
      <c r="F12" s="12">
        <f t="shared" si="0"/>
        <v>0.35859438315161601</v>
      </c>
      <c r="G12" s="11">
        <f>SUM(G7:G11)</f>
        <v>73007.88</v>
      </c>
      <c r="H12" s="12">
        <f t="shared" si="1"/>
        <v>0.78890764293355531</v>
      </c>
      <c r="I12" s="11">
        <f>SUM(I7:I11)</f>
        <v>4206.5</v>
      </c>
      <c r="J12" s="11">
        <f>SUM(J7:J11)</f>
        <v>2715.1166666666668</v>
      </c>
      <c r="M12" s="5"/>
    </row>
    <row r="13" spans="1:13" ht="31.5" customHeight="1" x14ac:dyDescent="0.25">
      <c r="A13" s="14"/>
      <c r="B13" s="14" t="s">
        <v>19</v>
      </c>
      <c r="C13" s="15">
        <f>C6+C12</f>
        <v>346513</v>
      </c>
      <c r="D13" s="15">
        <f>D6+D12</f>
        <v>112999.70000000001</v>
      </c>
      <c r="E13" s="15">
        <f>E6+E12</f>
        <v>5543</v>
      </c>
      <c r="F13" s="16">
        <f t="shared" si="0"/>
        <v>0.34210173932868321</v>
      </c>
      <c r="G13" s="15">
        <f>G6+G12</f>
        <v>260793.94</v>
      </c>
      <c r="H13" s="16">
        <f t="shared" si="1"/>
        <v>0.752623826523103</v>
      </c>
      <c r="I13" s="15">
        <f>I6+I12</f>
        <v>15750.59090909091</v>
      </c>
      <c r="J13" s="15">
        <f>J6+J12</f>
        <v>8954.7250000000004</v>
      </c>
    </row>
    <row r="14" spans="1:13" x14ac:dyDescent="0.25">
      <c r="D14" s="17"/>
      <c r="G14" s="17"/>
      <c r="I14" s="17"/>
    </row>
    <row r="15" spans="1:13" ht="15" customHeight="1" x14ac:dyDescent="0.25">
      <c r="D15" s="18"/>
    </row>
    <row r="16" spans="1:13" x14ac:dyDescent="0.25">
      <c r="D16" s="19"/>
      <c r="I16" s="19"/>
    </row>
  </sheetData>
  <mergeCells count="1">
    <mergeCell ref="A3:A12"/>
  </mergeCells>
  <printOptions horizontalCentered="1" gridLines="1"/>
  <pageMargins left="0" right="0" top="0.74803149606299213" bottom="0.74803149606299213" header="0.31496062992125984" footer="0.31496062992125984"/>
  <pageSetup paperSize="9" orientation="landscape" r:id="rId1"/>
  <headerFooter>
    <oddHeader>&amp;L&amp;D&amp;Cיעד אוגוסט 2026 - 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חאזם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Eyal Sadot</dc:creator>
  <cp:lastModifiedBy>Eyal Sadot</cp:lastModifiedBy>
  <dcterms:created xsi:type="dcterms:W3CDTF">2026-08-16T08:02:36Z</dcterms:created>
  <dcterms:modified xsi:type="dcterms:W3CDTF">2026-08-16T08:02:52Z</dcterms:modified>
</cp:coreProperties>
</file>