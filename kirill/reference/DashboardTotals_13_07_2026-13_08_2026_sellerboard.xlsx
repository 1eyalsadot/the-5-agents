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"/>
    </mc:Choice>
  </mc:AlternateContent>
  <xr:revisionPtr revIDLastSave="3" documentId="8_{C399A899-ABB1-433B-9628-8199325418E7}" xr6:coauthVersionLast="47" xr6:coauthVersionMax="47" xr10:uidLastSave="{27BE8C46-FB9D-4A25-8622-5477F16B6976}"/>
  <bookViews>
    <workbookView xWindow="-120" yWindow="-120" windowWidth="29040" windowHeight="1572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C38" i="1"/>
  <c r="B36" i="1"/>
  <c r="B35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<sst xmlns="http://schemas.openxmlformats.org/spreadsheetml/2006/main" count="84" uniqueCount="84">
  <si>
    <t>Date</t>
  </si>
  <si>
    <t>SalesOrganic</t>
  </si>
  <si>
    <t>SalesPPC</t>
  </si>
  <si>
    <t>SalesSponsoredProducts</t>
  </si>
  <si>
    <t>SalesSponsoredDisplay</t>
  </si>
  <si>
    <t>UnitsOrganic</t>
  </si>
  <si>
    <t>UnitsPPC</t>
  </si>
  <si>
    <t>UnitsSponsoredProducts</t>
  </si>
  <si>
    <t>UnitsSponsoredDisplay</t>
  </si>
  <si>
    <t>Orders</t>
  </si>
  <si>
    <t>Refunds</t>
  </si>
  <si>
    <t>PromoValue</t>
  </si>
  <si>
    <t>SponsoredProducts</t>
  </si>
  <si>
    <t>SponsoredDisplay</t>
  </si>
  <si>
    <t>SponsoredBrands</t>
  </si>
  <si>
    <t>SponsoredBrandsVideo</t>
  </si>
  <si>
    <t>Google ads</t>
  </si>
  <si>
    <t>Facebook ads</t>
  </si>
  <si>
    <t>GiftWrap</t>
  </si>
  <si>
    <t>Shipping</t>
  </si>
  <si>
    <t>Refund Commission</t>
  </si>
  <si>
    <t>Refund Principal</t>
  </si>
  <si>
    <t>Refund Promotion</t>
  </si>
  <si>
    <t>Refund RefundCommission</t>
  </si>
  <si>
    <t>Refund RestockingDeductionPrincipal</t>
  </si>
  <si>
    <t>Value of returned items</t>
  </si>
  <si>
    <t>Commission</t>
  </si>
  <si>
    <t>COMPENSATED_CLAWBACK</t>
  </si>
  <si>
    <t>CustomerReturnHRRUnitFee</t>
  </si>
  <si>
    <t>FBALongTermStorageFee</t>
  </si>
  <si>
    <t>FBAPerUnitFulfillmentFee</t>
  </si>
  <si>
    <t>FBARemovalFee</t>
  </si>
  <si>
    <t>FBAStorageFee</t>
  </si>
  <si>
    <t>FREE_REPLACEMENT_REFUND_ITEMS</t>
  </si>
  <si>
    <t>LiquidationsBrokerageFee</t>
  </si>
  <si>
    <t>LiquidationsRevenue</t>
  </si>
  <si>
    <t>RecommerceAfterMarketplaceAdjustmentItem</t>
  </si>
  <si>
    <t>REVERSAL_REIMBURSEMENT</t>
  </si>
  <si>
    <t>Subscription</t>
  </si>
  <si>
    <t>WAREHOUSE_DAMAGE</t>
  </si>
  <si>
    <t>WAREHOUSE_LOST</t>
  </si>
  <si>
    <t>EstimatedPayout</t>
  </si>
  <si>
    <t>ProductCost Sales</t>
  </si>
  <si>
    <t>ProductCost Unsellable Refunds</t>
  </si>
  <si>
    <t>ProductCost Non-Amazon</t>
  </si>
  <si>
    <t>ProductCost MissingFromInbound</t>
  </si>
  <si>
    <t>GrossProfit</t>
  </si>
  <si>
    <t>NetProfit</t>
  </si>
  <si>
    <t>Margin</t>
  </si>
  <si>
    <t>Real ACOS</t>
  </si>
  <si>
    <t>Sessions</t>
  </si>
  <si>
    <t>Unit Session Percentage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</si>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</sst>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8"/>
      <name val="Arial"/>
      <family val="2"/>
    </font>
    <font>
      <sz val="11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left"/>
    </xf>
    <xf numFmtId="4" fontId="3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/>
    </xf>
    <xf numFmtId="1" fontId="2" fillId="2" borderId="0" xfId="0" applyNumberFormat="1" applyFont="1" applyFill="1" applyAlignment="1">
      <alignment horizontal="right"/>
    </xf>
    <xf numFmtId="0" fontId="0" fillId="2" borderId="0" xfId="0" applyFill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A51"/>
  <sheetViews>
    <sheetView tabSelected="1" topLeftCell="I1" zoomScale="85" zoomScaleNormal="85" workbookViewId="0">
      <pane ySplit="1" topLeftCell="A4" activePane="bottomLeft" state="frozen"/>
      <selection pane="bottomLeft" activeCell="W23" sqref="W23"/>
    </sheetView>
  </sheetViews>
  <sheetFormatPr defaultColWidth="10.5" defaultRowHeight="11.45" customHeight="1" x14ac:dyDescent="0.2"/>
  <cols>
    <col min="1" max="1" width="13.33203125" style="1" bestFit="1" customWidth="1"/>
    <col min="2" max="2" width="16.1640625" style="1" bestFit="1" customWidth="1"/>
    <col min="3" max="3" width="12.5" style="1" bestFit="1" customWidth="1"/>
    <col min="4" max="4" width="29.6640625" style="1" bestFit="1" customWidth="1"/>
    <col min="5" max="5" width="27.83203125" style="1" bestFit="1" customWidth="1"/>
    <col min="6" max="6" width="15.5" style="1" customWidth="1"/>
    <col min="7" max="7" width="11.83203125" style="1" customWidth="1"/>
    <col min="8" max="8" width="29" style="1" customWidth="1"/>
    <col min="9" max="9" width="27.1640625" style="1" customWidth="1"/>
    <col min="10" max="10" width="8.83203125" style="1" customWidth="1"/>
    <col min="11" max="11" width="10.33203125" style="1" customWidth="1"/>
    <col min="12" max="12" width="14.6640625" style="1" bestFit="1" customWidth="1"/>
    <col min="13" max="13" width="23.33203125" style="1" bestFit="1" customWidth="1"/>
    <col min="14" max="14" width="21.33203125" style="1" bestFit="1" customWidth="1"/>
    <col min="15" max="15" width="21.1640625" style="1" bestFit="1" customWidth="1"/>
    <col min="16" max="16" width="27.5" style="1" bestFit="1" customWidth="1"/>
    <col min="17" max="17" width="13.6640625" style="1" bestFit="1" customWidth="1"/>
    <col min="18" max="18" width="16.6640625" style="1" bestFit="1" customWidth="1"/>
    <col min="19" max="19" width="10.83203125" style="1" bestFit="1" customWidth="1"/>
    <col min="20" max="20" width="10.5" style="1" customWidth="1"/>
    <col min="21" max="21" width="24.5" style="1" bestFit="1" customWidth="1"/>
    <col min="22" max="22" width="19.5" style="1" bestFit="1" customWidth="1"/>
    <col min="23" max="23" width="21.5" style="1" bestFit="1" customWidth="1"/>
    <col min="24" max="24" width="32.6640625" style="1" bestFit="1" customWidth="1"/>
    <col min="25" max="25" width="43.83203125" style="1" bestFit="1" customWidth="1"/>
    <col min="26" max="26" width="27" style="1" bestFit="1" customWidth="1"/>
    <col min="27" max="27" width="15.6640625" style="1" bestFit="1" customWidth="1"/>
    <col min="28" max="28" width="36.1640625" style="1" bestFit="1" customWidth="1"/>
    <col min="29" max="29" width="34.33203125" style="1" bestFit="1" customWidth="1"/>
    <col min="30" max="30" width="30.5" style="1" bestFit="1" customWidth="1"/>
    <col min="31" max="52" width="10.5" style="1" customWidth="1"/>
  </cols>
  <sheetData>
    <row r="1" spans="1:52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 ht="15" customHeight="1" x14ac:dyDescent="0.2">
      <c r="A2" s="2" t="s">
        <v>52</v>
      </c>
      <c r="B2" s="3">
        <v>1710.79</v>
      </c>
      <c r="C2" s="4">
        <v>813.59</v>
      </c>
      <c r="D2" s="4">
        <v>813.59</v>
      </c>
      <c r="F2" s="5">
        <v>55</v>
      </c>
      <c r="G2" s="5">
        <v>34</v>
      </c>
      <c r="H2" s="5">
        <v>34</v>
      </c>
      <c r="J2" s="5">
        <v>87</v>
      </c>
      <c r="K2" s="5">
        <v>8</v>
      </c>
      <c r="L2" s="4">
        <v>-170.85</v>
      </c>
      <c r="M2" s="4">
        <v>-668.52</v>
      </c>
      <c r="O2" s="4">
        <v>-7.82</v>
      </c>
      <c r="U2" s="4">
        <v>51.36</v>
      </c>
      <c r="V2" s="4">
        <v>-342.3</v>
      </c>
      <c r="X2" s="4">
        <v>-10.28</v>
      </c>
      <c r="Z2" s="4">
        <v>82.94</v>
      </c>
      <c r="AA2" s="4">
        <v>-352.64</v>
      </c>
      <c r="AB2" s="4">
        <v>-13.29</v>
      </c>
      <c r="AE2" s="4">
        <v>-390.29</v>
      </c>
      <c r="AF2" s="4">
        <v>-0.84</v>
      </c>
      <c r="AI2" s="4">
        <v>-1.34</v>
      </c>
      <c r="AJ2" s="4">
        <v>7.25</v>
      </c>
      <c r="AP2" s="4">
        <v>624.82000000000005</v>
      </c>
      <c r="AQ2" s="4">
        <v>-464.85</v>
      </c>
      <c r="AT2" s="4">
        <v>2.41</v>
      </c>
      <c r="AU2" s="4">
        <v>245.32</v>
      </c>
      <c r="AV2" s="4">
        <v>245.32</v>
      </c>
      <c r="AW2" s="4">
        <v>9.7200000000000006</v>
      </c>
      <c r="AX2" s="4">
        <v>26.79</v>
      </c>
      <c r="AY2" s="5">
        <v>666</v>
      </c>
      <c r="AZ2" s="4">
        <v>13.36</v>
      </c>
    </row>
    <row r="3" spans="1:52" ht="15" customHeight="1" x14ac:dyDescent="0.2">
      <c r="A3" s="2" t="s">
        <v>53</v>
      </c>
      <c r="B3" s="3">
        <v>1867.86</v>
      </c>
      <c r="C3" s="3">
        <v>1075.33</v>
      </c>
      <c r="D3" s="3">
        <v>1075.33</v>
      </c>
      <c r="F3" s="5">
        <v>55</v>
      </c>
      <c r="G3" s="5">
        <v>44</v>
      </c>
      <c r="H3" s="5">
        <v>44</v>
      </c>
      <c r="J3" s="5">
        <v>99</v>
      </c>
      <c r="K3" s="5">
        <v>3</v>
      </c>
      <c r="L3" s="4">
        <v>-209.3</v>
      </c>
      <c r="M3" s="4">
        <v>-632.82000000000005</v>
      </c>
      <c r="O3" s="4">
        <v>-13.53</v>
      </c>
      <c r="U3" s="4">
        <v>19.2</v>
      </c>
      <c r="V3" s="4">
        <v>-127.95</v>
      </c>
      <c r="X3" s="4">
        <v>-3.84</v>
      </c>
      <c r="Z3" s="4">
        <v>24.03</v>
      </c>
      <c r="AA3" s="4">
        <v>-410.43</v>
      </c>
      <c r="AB3" s="4">
        <v>-11.41</v>
      </c>
      <c r="AE3" s="4">
        <v>-441.45</v>
      </c>
      <c r="AF3" s="4">
        <v>-1.68</v>
      </c>
      <c r="AI3" s="4">
        <v>-1.07</v>
      </c>
      <c r="AJ3" s="4">
        <v>5.48</v>
      </c>
      <c r="AP3" s="3">
        <v>1114.3900000000001</v>
      </c>
      <c r="AQ3" s="4">
        <v>-595.91</v>
      </c>
      <c r="AT3" s="4">
        <v>2.41</v>
      </c>
      <c r="AU3" s="4">
        <v>544.91999999999996</v>
      </c>
      <c r="AV3" s="4">
        <v>544.91999999999996</v>
      </c>
      <c r="AW3" s="4">
        <v>18.510000000000002</v>
      </c>
      <c r="AX3" s="4">
        <v>21.96</v>
      </c>
      <c r="AY3" s="5">
        <v>697</v>
      </c>
      <c r="AZ3" s="4">
        <v>14.35</v>
      </c>
    </row>
    <row r="4" spans="1:52" ht="15" customHeight="1" x14ac:dyDescent="0.2">
      <c r="A4" s="2" t="s">
        <v>54</v>
      </c>
      <c r="B4" s="3">
        <v>1781.61</v>
      </c>
      <c r="C4" s="3">
        <v>1206.77</v>
      </c>
      <c r="D4" s="3">
        <v>1206.77</v>
      </c>
      <c r="F4" s="5">
        <v>59</v>
      </c>
      <c r="G4" s="5">
        <v>47</v>
      </c>
      <c r="H4" s="5">
        <v>47</v>
      </c>
      <c r="J4" s="5">
        <v>102</v>
      </c>
      <c r="K4" s="5">
        <v>6</v>
      </c>
      <c r="L4" s="4">
        <v>-186.85</v>
      </c>
      <c r="M4" s="4">
        <v>-630.66999999999996</v>
      </c>
      <c r="O4" s="4">
        <v>-11.98</v>
      </c>
      <c r="U4" s="4">
        <v>41.43</v>
      </c>
      <c r="V4" s="4">
        <v>-279.12</v>
      </c>
      <c r="W4" s="4">
        <v>3</v>
      </c>
      <c r="X4" s="4">
        <v>-8.2899999999999991</v>
      </c>
      <c r="Z4" s="4">
        <v>39.520000000000003</v>
      </c>
      <c r="AA4" s="4">
        <v>-419.91</v>
      </c>
      <c r="AB4" s="4">
        <v>-43.15</v>
      </c>
      <c r="AD4" s="4">
        <v>-239.69</v>
      </c>
      <c r="AE4" s="4">
        <v>-459.3</v>
      </c>
      <c r="AP4" s="4">
        <v>753.85</v>
      </c>
      <c r="AQ4" s="4">
        <v>-556.95000000000005</v>
      </c>
      <c r="AT4" s="4">
        <v>15.88</v>
      </c>
      <c r="AU4" s="4">
        <v>252.3</v>
      </c>
      <c r="AV4" s="4">
        <v>252.3</v>
      </c>
      <c r="AW4" s="4">
        <v>8.44</v>
      </c>
      <c r="AX4" s="4">
        <v>21.5</v>
      </c>
      <c r="AY4" s="5">
        <v>631</v>
      </c>
      <c r="AZ4" s="4">
        <v>16.8</v>
      </c>
    </row>
    <row r="5" spans="1:52" ht="15" customHeight="1" x14ac:dyDescent="0.2">
      <c r="A5" s="2" t="s">
        <v>55</v>
      </c>
      <c r="B5" s="3">
        <v>2065.87</v>
      </c>
      <c r="C5" s="3">
        <v>1191.31</v>
      </c>
      <c r="D5" s="3">
        <v>1191.31</v>
      </c>
      <c r="F5" s="5">
        <v>57</v>
      </c>
      <c r="G5" s="5">
        <v>46</v>
      </c>
      <c r="H5" s="5">
        <v>46</v>
      </c>
      <c r="J5" s="5">
        <v>101</v>
      </c>
      <c r="K5" s="5">
        <v>2</v>
      </c>
      <c r="L5" s="4">
        <v>-162.9</v>
      </c>
      <c r="M5" s="4">
        <v>-673.25</v>
      </c>
      <c r="O5" s="4">
        <v>-21.95</v>
      </c>
      <c r="U5" s="4">
        <v>14.58</v>
      </c>
      <c r="V5" s="4">
        <v>-97.18</v>
      </c>
      <c r="X5" s="4">
        <v>-2.92</v>
      </c>
      <c r="Z5" s="4">
        <v>63.38</v>
      </c>
      <c r="AA5" s="4">
        <v>-464.48</v>
      </c>
      <c r="AE5" s="4">
        <v>-466.21</v>
      </c>
      <c r="AI5" s="4">
        <v>-1.4</v>
      </c>
      <c r="AJ5" s="4">
        <v>5.96</v>
      </c>
      <c r="AK5" s="4">
        <v>-0.8</v>
      </c>
      <c r="AL5" s="4">
        <v>84.22</v>
      </c>
      <c r="AP5" s="3">
        <v>1470.85</v>
      </c>
      <c r="AQ5" s="4">
        <v>-637.65</v>
      </c>
      <c r="AU5" s="4">
        <v>896.58</v>
      </c>
      <c r="AV5" s="4">
        <v>896.58</v>
      </c>
      <c r="AW5" s="4">
        <v>27.53</v>
      </c>
      <c r="AX5" s="4">
        <v>21.34</v>
      </c>
      <c r="AY5" s="5">
        <v>706</v>
      </c>
      <c r="AZ5" s="4">
        <v>14.59</v>
      </c>
    </row>
    <row r="6" spans="1:52" ht="15" customHeight="1" x14ac:dyDescent="0.2">
      <c r="A6" s="2" t="s">
        <v>56</v>
      </c>
      <c r="B6" s="3">
        <v>1567.99</v>
      </c>
      <c r="C6" s="4">
        <v>853.53</v>
      </c>
      <c r="D6" s="4">
        <v>853.53</v>
      </c>
      <c r="F6" s="5">
        <v>47</v>
      </c>
      <c r="G6" s="5">
        <v>36</v>
      </c>
      <c r="H6" s="5">
        <v>36</v>
      </c>
      <c r="J6" s="5">
        <v>82</v>
      </c>
      <c r="K6" s="5">
        <v>5</v>
      </c>
      <c r="L6" s="4">
        <v>-139.6</v>
      </c>
      <c r="M6" s="4">
        <v>-630.01</v>
      </c>
      <c r="O6" s="4">
        <v>-13.45</v>
      </c>
      <c r="U6" s="4">
        <v>33.78</v>
      </c>
      <c r="V6" s="4">
        <v>-225.13</v>
      </c>
      <c r="X6" s="4">
        <v>-6.76</v>
      </c>
      <c r="Z6" s="4">
        <v>20.440000000000001</v>
      </c>
      <c r="AA6" s="4">
        <v>-341.88</v>
      </c>
      <c r="AE6" s="4">
        <v>-362.01</v>
      </c>
      <c r="AK6" s="4">
        <v>-0.8</v>
      </c>
      <c r="AP6" s="4">
        <v>735.66</v>
      </c>
      <c r="AQ6" s="4">
        <v>-469.07</v>
      </c>
      <c r="AU6" s="4">
        <v>287.02999999999997</v>
      </c>
      <c r="AV6" s="4">
        <v>287.02999999999997</v>
      </c>
      <c r="AW6" s="4">
        <v>11.85</v>
      </c>
      <c r="AX6" s="4">
        <v>26.57</v>
      </c>
      <c r="AY6" s="5">
        <v>645</v>
      </c>
      <c r="AZ6" s="4">
        <v>12.87</v>
      </c>
    </row>
    <row r="7" spans="1:52" ht="15" customHeight="1" x14ac:dyDescent="0.2">
      <c r="A7" s="2" t="s">
        <v>57</v>
      </c>
      <c r="B7" s="3">
        <v>1671.56</v>
      </c>
      <c r="C7" s="4">
        <v>931.54</v>
      </c>
      <c r="D7" s="4">
        <v>931.54</v>
      </c>
      <c r="F7" s="5">
        <v>48</v>
      </c>
      <c r="G7" s="5">
        <v>37</v>
      </c>
      <c r="H7" s="5">
        <v>37</v>
      </c>
      <c r="J7" s="5">
        <v>84</v>
      </c>
      <c r="K7" s="5">
        <v>5</v>
      </c>
      <c r="L7" s="4">
        <v>-174.35</v>
      </c>
      <c r="M7" s="4">
        <v>-619.30999999999995</v>
      </c>
      <c r="O7" s="4">
        <v>-16.14</v>
      </c>
      <c r="U7" s="4">
        <v>38.340000000000003</v>
      </c>
      <c r="V7" s="4">
        <v>-260.95</v>
      </c>
      <c r="W7" s="4">
        <v>5.4</v>
      </c>
      <c r="X7" s="4">
        <v>-7.67</v>
      </c>
      <c r="Z7" s="4">
        <v>30.06</v>
      </c>
      <c r="AA7" s="4">
        <v>-364.6</v>
      </c>
      <c r="AB7" s="4">
        <v>-28.62</v>
      </c>
      <c r="AE7" s="4">
        <v>-380.66</v>
      </c>
      <c r="AO7" s="4">
        <v>10.050000000000001</v>
      </c>
      <c r="AP7" s="4">
        <v>804.59</v>
      </c>
      <c r="AQ7" s="4">
        <v>-497.61</v>
      </c>
      <c r="AT7" s="4">
        <v>-7.57</v>
      </c>
      <c r="AU7" s="4">
        <v>329.47</v>
      </c>
      <c r="AV7" s="4">
        <v>329.47</v>
      </c>
      <c r="AW7" s="4">
        <v>12.66</v>
      </c>
      <c r="AX7" s="4">
        <v>24.41</v>
      </c>
      <c r="AY7" s="5">
        <v>604</v>
      </c>
      <c r="AZ7" s="4">
        <v>14.24</v>
      </c>
    </row>
    <row r="8" spans="1:52" ht="15" customHeight="1" x14ac:dyDescent="0.2">
      <c r="A8" s="2" t="s">
        <v>58</v>
      </c>
      <c r="B8" s="3">
        <v>1711.42</v>
      </c>
      <c r="C8" s="4">
        <v>919.73</v>
      </c>
      <c r="D8" s="4">
        <v>919.73</v>
      </c>
      <c r="F8" s="5">
        <v>51</v>
      </c>
      <c r="G8" s="5">
        <v>45</v>
      </c>
      <c r="H8" s="5">
        <v>45</v>
      </c>
      <c r="J8" s="5">
        <v>86</v>
      </c>
      <c r="K8" s="5">
        <v>7</v>
      </c>
      <c r="L8" s="4">
        <v>-165.7</v>
      </c>
      <c r="M8" s="4">
        <v>-658.82</v>
      </c>
      <c r="O8" s="4">
        <v>-17.399999999999999</v>
      </c>
      <c r="U8" s="4">
        <v>51.9</v>
      </c>
      <c r="V8" s="4">
        <v>-345.91</v>
      </c>
      <c r="X8" s="4">
        <v>-10.38</v>
      </c>
      <c r="Z8" s="4">
        <v>30.06</v>
      </c>
      <c r="AA8" s="4">
        <v>-370.17</v>
      </c>
      <c r="AB8" s="4">
        <v>-13.29</v>
      </c>
      <c r="AE8" s="4">
        <v>-416.78</v>
      </c>
      <c r="AH8" s="4">
        <v>15.66</v>
      </c>
      <c r="AI8" s="4">
        <v>-1.03</v>
      </c>
      <c r="AJ8" s="4">
        <v>4.8600000000000003</v>
      </c>
      <c r="AL8" s="4">
        <v>30.33</v>
      </c>
      <c r="AP8" s="4">
        <v>734.42</v>
      </c>
      <c r="AQ8" s="4">
        <v>-498.96</v>
      </c>
      <c r="AT8" s="4">
        <v>2.41</v>
      </c>
      <c r="AU8" s="4">
        <v>267.93</v>
      </c>
      <c r="AV8" s="4">
        <v>267.93</v>
      </c>
      <c r="AW8" s="4">
        <v>10.18</v>
      </c>
      <c r="AX8" s="4">
        <v>25.7</v>
      </c>
      <c r="AY8" s="5">
        <v>717</v>
      </c>
      <c r="AZ8" s="4">
        <v>13.53</v>
      </c>
    </row>
    <row r="9" spans="1:52" ht="15" customHeight="1" x14ac:dyDescent="0.2">
      <c r="A9" s="2" t="s">
        <v>59</v>
      </c>
      <c r="B9" s="3">
        <v>1609.09</v>
      </c>
      <c r="C9" s="3">
        <v>1146.76</v>
      </c>
      <c r="D9" s="3">
        <v>1146.76</v>
      </c>
      <c r="F9" s="5">
        <v>45</v>
      </c>
      <c r="G9" s="5">
        <v>46</v>
      </c>
      <c r="H9" s="5">
        <v>46</v>
      </c>
      <c r="J9" s="5">
        <v>91</v>
      </c>
      <c r="K9" s="5">
        <v>3</v>
      </c>
      <c r="L9" s="4">
        <v>-185.05</v>
      </c>
      <c r="M9" s="4">
        <v>-700.04</v>
      </c>
      <c r="O9" s="4">
        <v>-11.58</v>
      </c>
      <c r="U9" s="4">
        <v>18.53</v>
      </c>
      <c r="V9" s="4">
        <v>-123.48</v>
      </c>
      <c r="X9" s="4">
        <v>-3.71</v>
      </c>
      <c r="Z9" s="4">
        <v>56.5</v>
      </c>
      <c r="AA9" s="4">
        <v>-385.93</v>
      </c>
      <c r="AE9" s="4">
        <v>-407.27</v>
      </c>
      <c r="AJ9" s="4">
        <v>0.26</v>
      </c>
      <c r="AL9" s="4">
        <v>11.41</v>
      </c>
      <c r="AO9" s="4">
        <v>100.6</v>
      </c>
      <c r="AP9" s="3">
        <v>1069.5899999999999</v>
      </c>
      <c r="AQ9" s="4">
        <v>-545.91999999999996</v>
      </c>
      <c r="AT9" s="4">
        <v>-90</v>
      </c>
      <c r="AU9" s="4">
        <v>490.17</v>
      </c>
      <c r="AV9" s="4">
        <v>490.17</v>
      </c>
      <c r="AW9" s="4">
        <v>17.79</v>
      </c>
      <c r="AX9" s="4">
        <v>25.82</v>
      </c>
      <c r="AY9" s="5">
        <v>705</v>
      </c>
      <c r="AZ9" s="4">
        <v>12.91</v>
      </c>
    </row>
    <row r="10" spans="1:52" ht="15" customHeight="1" x14ac:dyDescent="0.2">
      <c r="A10" s="2" t="s">
        <v>60</v>
      </c>
      <c r="B10" s="3">
        <v>1525.31</v>
      </c>
      <c r="C10" s="3">
        <v>1080.3800000000001</v>
      </c>
      <c r="D10" s="3">
        <v>1080.3800000000001</v>
      </c>
      <c r="F10" s="5">
        <v>53</v>
      </c>
      <c r="G10" s="5">
        <v>43</v>
      </c>
      <c r="H10" s="5">
        <v>43</v>
      </c>
      <c r="J10" s="5">
        <v>87</v>
      </c>
      <c r="K10" s="5">
        <v>9</v>
      </c>
      <c r="L10" s="4">
        <v>-174.25</v>
      </c>
      <c r="M10" s="4">
        <v>-709.68</v>
      </c>
      <c r="O10" s="4">
        <v>-14.55</v>
      </c>
      <c r="U10" s="4">
        <v>50.91</v>
      </c>
      <c r="V10" s="4">
        <v>-353.65</v>
      </c>
      <c r="W10" s="4">
        <v>14.4</v>
      </c>
      <c r="X10" s="4">
        <v>-10.18</v>
      </c>
      <c r="Z10" s="4">
        <v>52.01</v>
      </c>
      <c r="AA10" s="4">
        <v>-364.99</v>
      </c>
      <c r="AE10" s="4">
        <v>-408.37</v>
      </c>
      <c r="AI10" s="4">
        <v>-1.05</v>
      </c>
      <c r="AJ10" s="4">
        <v>5.32</v>
      </c>
      <c r="AP10" s="4">
        <v>639.6</v>
      </c>
      <c r="AQ10" s="4">
        <v>-487.04</v>
      </c>
      <c r="AU10" s="4">
        <v>204.57</v>
      </c>
      <c r="AV10" s="4">
        <v>204.57</v>
      </c>
      <c r="AW10" s="4">
        <v>7.85</v>
      </c>
      <c r="AX10" s="4">
        <v>27.79</v>
      </c>
      <c r="AY10" s="5">
        <v>735</v>
      </c>
      <c r="AZ10" s="4">
        <v>13.06</v>
      </c>
    </row>
    <row r="11" spans="1:52" ht="15" customHeight="1" x14ac:dyDescent="0.2">
      <c r="A11" s="2" t="s">
        <v>61</v>
      </c>
      <c r="B11" s="3">
        <v>2185.15</v>
      </c>
      <c r="C11" s="3">
        <v>1009.59</v>
      </c>
      <c r="D11" s="3">
        <v>1009.59</v>
      </c>
      <c r="F11" s="5">
        <v>66</v>
      </c>
      <c r="G11" s="5">
        <v>38</v>
      </c>
      <c r="H11" s="5">
        <v>38</v>
      </c>
      <c r="J11" s="5">
        <v>102</v>
      </c>
      <c r="K11" s="5">
        <v>9</v>
      </c>
      <c r="L11" s="4">
        <v>-196.85</v>
      </c>
      <c r="M11" s="4">
        <v>-594.99</v>
      </c>
      <c r="O11" s="4">
        <v>-16.09</v>
      </c>
      <c r="U11" s="4">
        <v>58.77</v>
      </c>
      <c r="V11" s="4">
        <v>-400.07</v>
      </c>
      <c r="W11" s="4">
        <v>8.4</v>
      </c>
      <c r="X11" s="4">
        <v>-11.76</v>
      </c>
      <c r="Z11" s="4">
        <v>47.5</v>
      </c>
      <c r="AA11" s="4">
        <v>-447.93</v>
      </c>
      <c r="AE11" s="4">
        <v>-471.3</v>
      </c>
      <c r="AI11" s="4">
        <v>-1.02</v>
      </c>
      <c r="AJ11" s="4">
        <v>5.13</v>
      </c>
      <c r="AL11" s="4">
        <v>32.630000000000003</v>
      </c>
      <c r="AN11" s="4">
        <v>8.2899999999999991</v>
      </c>
      <c r="AP11" s="3">
        <v>1167.95</v>
      </c>
      <c r="AQ11" s="4">
        <v>-665.44</v>
      </c>
      <c r="AT11" s="4">
        <v>-4.16</v>
      </c>
      <c r="AU11" s="4">
        <v>545.85</v>
      </c>
      <c r="AV11" s="4">
        <v>545.85</v>
      </c>
      <c r="AW11" s="4">
        <v>17.09</v>
      </c>
      <c r="AX11" s="4">
        <v>19.13</v>
      </c>
      <c r="AY11" s="5">
        <v>660</v>
      </c>
      <c r="AZ11" s="4">
        <v>15.91</v>
      </c>
    </row>
    <row r="12" spans="1:52" ht="15" customHeight="1" x14ac:dyDescent="0.2">
      <c r="A12" s="2" t="s">
        <v>62</v>
      </c>
      <c r="B12" s="3">
        <v>2473.86</v>
      </c>
      <c r="C12" s="4">
        <v>793.12</v>
      </c>
      <c r="D12" s="4">
        <v>793.12</v>
      </c>
      <c r="F12" s="5">
        <v>65</v>
      </c>
      <c r="G12" s="5">
        <v>33</v>
      </c>
      <c r="H12" s="5">
        <v>33</v>
      </c>
      <c r="J12" s="5">
        <v>92</v>
      </c>
      <c r="K12" s="5">
        <v>5</v>
      </c>
      <c r="L12" s="4">
        <v>-163.75</v>
      </c>
      <c r="M12" s="4">
        <v>-599.66999999999996</v>
      </c>
      <c r="O12" s="4">
        <v>-8.57</v>
      </c>
      <c r="U12" s="4">
        <v>29.04</v>
      </c>
      <c r="V12" s="4">
        <v>-201.91</v>
      </c>
      <c r="W12" s="4">
        <v>8.4</v>
      </c>
      <c r="X12" s="4">
        <v>-5.81</v>
      </c>
      <c r="Z12" s="4">
        <v>75.989999999999995</v>
      </c>
      <c r="AA12" s="4">
        <v>-464.38</v>
      </c>
      <c r="AB12" s="4">
        <v>-90.26</v>
      </c>
      <c r="AE12" s="4">
        <v>-451.71</v>
      </c>
      <c r="AI12" s="4">
        <v>-0.52</v>
      </c>
      <c r="AJ12" s="4">
        <v>1.8</v>
      </c>
      <c r="AL12" s="4">
        <v>42.1</v>
      </c>
      <c r="AP12" s="3">
        <v>1361.74</v>
      </c>
      <c r="AQ12" s="4">
        <v>-697.38</v>
      </c>
      <c r="AT12" s="4">
        <v>32.47</v>
      </c>
      <c r="AU12" s="4">
        <v>772.82</v>
      </c>
      <c r="AV12" s="4">
        <v>772.82</v>
      </c>
      <c r="AW12" s="4">
        <v>23.66</v>
      </c>
      <c r="AX12" s="4">
        <v>18.62</v>
      </c>
      <c r="AY12" s="5">
        <v>664</v>
      </c>
      <c r="AZ12" s="4">
        <v>14.91</v>
      </c>
    </row>
    <row r="13" spans="1:52" ht="15" customHeight="1" x14ac:dyDescent="0.2">
      <c r="A13" s="2" t="s">
        <v>63</v>
      </c>
      <c r="B13" s="3">
        <v>1691.99</v>
      </c>
      <c r="C13" s="4">
        <v>699.74</v>
      </c>
      <c r="D13" s="4">
        <v>699.74</v>
      </c>
      <c r="F13" s="5">
        <v>49</v>
      </c>
      <c r="G13" s="5">
        <v>29</v>
      </c>
      <c r="H13" s="5">
        <v>29</v>
      </c>
      <c r="J13" s="5">
        <v>78</v>
      </c>
      <c r="K13" s="5">
        <v>5</v>
      </c>
      <c r="L13" s="4">
        <v>-164.9</v>
      </c>
      <c r="M13" s="4">
        <v>-526.32000000000005</v>
      </c>
      <c r="O13" s="4">
        <v>-14.63</v>
      </c>
      <c r="U13" s="4">
        <v>35.04</v>
      </c>
      <c r="V13" s="4">
        <v>-241.93</v>
      </c>
      <c r="W13" s="4">
        <v>8.4</v>
      </c>
      <c r="X13" s="4">
        <v>-7.01</v>
      </c>
      <c r="Z13" s="4">
        <v>17.440000000000001</v>
      </c>
      <c r="AA13" s="4">
        <v>-334.29</v>
      </c>
      <c r="AE13" s="4">
        <v>-347.75</v>
      </c>
      <c r="AI13" s="4">
        <v>-1.82</v>
      </c>
      <c r="AJ13" s="4">
        <v>8.85</v>
      </c>
      <c r="AP13" s="4">
        <v>805.37</v>
      </c>
      <c r="AQ13" s="4">
        <v>-500.97</v>
      </c>
      <c r="AU13" s="4">
        <v>321.83999999999997</v>
      </c>
      <c r="AV13" s="4">
        <v>321.83999999999997</v>
      </c>
      <c r="AW13" s="4">
        <v>13.46</v>
      </c>
      <c r="AX13" s="4">
        <v>22.62</v>
      </c>
      <c r="AY13" s="5">
        <v>858</v>
      </c>
      <c r="AZ13" s="4">
        <v>9.09</v>
      </c>
    </row>
    <row r="14" spans="1:52" ht="15" customHeight="1" x14ac:dyDescent="0.2">
      <c r="A14" s="2" t="s">
        <v>64</v>
      </c>
      <c r="B14" s="3">
        <v>1667.69</v>
      </c>
      <c r="C14" s="4">
        <v>921.88</v>
      </c>
      <c r="D14" s="4">
        <v>921.88</v>
      </c>
      <c r="F14" s="5">
        <v>56</v>
      </c>
      <c r="G14" s="5">
        <v>40</v>
      </c>
      <c r="H14" s="5">
        <v>40</v>
      </c>
      <c r="J14" s="5">
        <v>96</v>
      </c>
      <c r="K14" s="5">
        <v>4</v>
      </c>
      <c r="L14" s="4">
        <v>-162.6</v>
      </c>
      <c r="M14" s="4">
        <v>-472.12</v>
      </c>
      <c r="O14" s="4">
        <v>-13.47</v>
      </c>
      <c r="U14" s="4">
        <v>26.4</v>
      </c>
      <c r="V14" s="4">
        <v>-175.94</v>
      </c>
      <c r="X14" s="4">
        <v>-5.28</v>
      </c>
      <c r="Z14" s="4">
        <v>4.82</v>
      </c>
      <c r="AA14" s="4">
        <v>-364.41</v>
      </c>
      <c r="AE14" s="4">
        <v>-407.65</v>
      </c>
      <c r="AI14" s="4">
        <v>-0.57999999999999996</v>
      </c>
      <c r="AJ14" s="4">
        <v>2.2200000000000002</v>
      </c>
      <c r="AN14" s="4">
        <v>2.5099999999999998</v>
      </c>
      <c r="AP14" s="3">
        <v>1018.65</v>
      </c>
      <c r="AQ14" s="4">
        <v>-488</v>
      </c>
      <c r="AT14" s="4">
        <v>-1.41</v>
      </c>
      <c r="AU14" s="4">
        <v>534.05999999999995</v>
      </c>
      <c r="AV14" s="4">
        <v>534.05999999999995</v>
      </c>
      <c r="AW14" s="4">
        <v>20.62</v>
      </c>
      <c r="AX14" s="4">
        <v>18.75</v>
      </c>
      <c r="AY14" s="5">
        <v>686</v>
      </c>
      <c r="AZ14" s="4">
        <v>13.99</v>
      </c>
    </row>
    <row r="15" spans="1:52" ht="15" customHeight="1" x14ac:dyDescent="0.2">
      <c r="A15" s="2" t="s">
        <v>65</v>
      </c>
      <c r="B15" s="3">
        <v>1977.31</v>
      </c>
      <c r="C15" s="3">
        <v>1073.4000000000001</v>
      </c>
      <c r="D15" s="3">
        <v>1073.4000000000001</v>
      </c>
      <c r="F15" s="5">
        <v>58</v>
      </c>
      <c r="G15" s="5">
        <v>39</v>
      </c>
      <c r="H15" s="5">
        <v>39</v>
      </c>
      <c r="J15" s="5">
        <v>96</v>
      </c>
      <c r="K15" s="5">
        <v>7</v>
      </c>
      <c r="L15" s="4">
        <v>-199.6</v>
      </c>
      <c r="M15" s="4">
        <v>-473.22</v>
      </c>
      <c r="O15" s="4">
        <v>-17.66</v>
      </c>
      <c r="U15" s="4">
        <v>44.02</v>
      </c>
      <c r="V15" s="4">
        <v>-309.89</v>
      </c>
      <c r="W15" s="4">
        <v>16.5</v>
      </c>
      <c r="X15" s="4">
        <v>-8.81</v>
      </c>
      <c r="Z15" s="4">
        <v>15.03</v>
      </c>
      <c r="AA15" s="4">
        <v>-427.98</v>
      </c>
      <c r="AE15" s="4">
        <v>-439.77</v>
      </c>
      <c r="AH15" s="4">
        <v>39.86</v>
      </c>
      <c r="AP15" s="3">
        <v>1274.1600000000001</v>
      </c>
      <c r="AQ15" s="4">
        <v>-623.79</v>
      </c>
      <c r="AU15" s="4">
        <v>665.4</v>
      </c>
      <c r="AV15" s="4">
        <v>665.4</v>
      </c>
      <c r="AW15" s="4">
        <v>21.81</v>
      </c>
      <c r="AX15" s="4">
        <v>16.09</v>
      </c>
      <c r="AY15" s="5">
        <v>744</v>
      </c>
      <c r="AZ15" s="4">
        <v>13.17</v>
      </c>
    </row>
    <row r="16" spans="1:52" ht="15" customHeight="1" x14ac:dyDescent="0.2">
      <c r="A16" s="2" t="s">
        <v>66</v>
      </c>
      <c r="B16" s="3">
        <v>1657.87</v>
      </c>
      <c r="C16" s="4">
        <v>978.43</v>
      </c>
      <c r="D16" s="4">
        <v>978.43</v>
      </c>
      <c r="F16" s="5">
        <v>52</v>
      </c>
      <c r="G16" s="5">
        <v>42</v>
      </c>
      <c r="H16" s="5">
        <v>42</v>
      </c>
      <c r="J16" s="5">
        <v>93</v>
      </c>
      <c r="K16" s="5">
        <v>7</v>
      </c>
      <c r="L16" s="4">
        <v>-149.69999999999999</v>
      </c>
      <c r="M16" s="4">
        <v>-565.58000000000004</v>
      </c>
      <c r="O16" s="4">
        <v>-8.6</v>
      </c>
      <c r="U16" s="4">
        <v>27.7</v>
      </c>
      <c r="V16" s="4">
        <v>-193.36</v>
      </c>
      <c r="W16" s="4">
        <v>8.85</v>
      </c>
      <c r="X16" s="4">
        <v>-5.54</v>
      </c>
      <c r="Z16" s="4">
        <v>54.94</v>
      </c>
      <c r="AA16" s="4">
        <v>-373.32</v>
      </c>
      <c r="AE16" s="4">
        <v>-406.46</v>
      </c>
      <c r="AL16" s="4">
        <v>49.14</v>
      </c>
      <c r="AP16" s="3">
        <v>1019.43</v>
      </c>
      <c r="AQ16" s="4">
        <v>-509.94</v>
      </c>
      <c r="AU16" s="4">
        <v>564.42999999999995</v>
      </c>
      <c r="AV16" s="4">
        <v>564.42999999999995</v>
      </c>
      <c r="AW16" s="4">
        <v>21.41</v>
      </c>
      <c r="AX16" s="4">
        <v>21.78</v>
      </c>
      <c r="AY16" s="5">
        <v>676</v>
      </c>
      <c r="AZ16" s="4">
        <v>13.91</v>
      </c>
    </row>
    <row r="17" spans="1:52" ht="15" customHeight="1" x14ac:dyDescent="0.2">
      <c r="A17" s="2" t="s">
        <v>67</v>
      </c>
      <c r="B17" s="3">
        <v>2147.81</v>
      </c>
      <c r="C17" s="4">
        <v>916.28</v>
      </c>
      <c r="D17" s="4">
        <v>916.28</v>
      </c>
      <c r="F17" s="5">
        <v>62</v>
      </c>
      <c r="G17" s="5">
        <v>30</v>
      </c>
      <c r="H17" s="5">
        <v>30</v>
      </c>
      <c r="J17" s="5">
        <v>90</v>
      </c>
      <c r="K17" s="5">
        <v>5</v>
      </c>
      <c r="L17" s="4">
        <v>-200.6</v>
      </c>
      <c r="M17" s="4">
        <v>-572.75</v>
      </c>
      <c r="O17" s="4">
        <v>-8.68</v>
      </c>
      <c r="U17" s="4">
        <v>29.79</v>
      </c>
      <c r="V17" s="4">
        <v>-206.91</v>
      </c>
      <c r="W17" s="4">
        <v>8.4</v>
      </c>
      <c r="X17" s="4">
        <v>-5.96</v>
      </c>
      <c r="Z17" s="4">
        <v>17.440000000000001</v>
      </c>
      <c r="AA17" s="4">
        <v>-429.8</v>
      </c>
      <c r="AE17" s="4">
        <v>-417.41</v>
      </c>
      <c r="AH17" s="4">
        <v>33.479999999999997</v>
      </c>
      <c r="AI17" s="4">
        <v>-2.77</v>
      </c>
      <c r="AJ17" s="4">
        <v>13.11</v>
      </c>
      <c r="AL17" s="4">
        <v>13.11</v>
      </c>
      <c r="AP17" s="3">
        <v>1317.1</v>
      </c>
      <c r="AQ17" s="4">
        <v>-679.17</v>
      </c>
      <c r="AU17" s="4">
        <v>655.37</v>
      </c>
      <c r="AV17" s="4">
        <v>655.37</v>
      </c>
      <c r="AW17" s="4">
        <v>21.39</v>
      </c>
      <c r="AX17" s="4">
        <v>18.98</v>
      </c>
      <c r="AY17" s="5">
        <v>766</v>
      </c>
      <c r="AZ17" s="4">
        <v>12.01</v>
      </c>
    </row>
    <row r="18" spans="1:52" ht="15" customHeight="1" x14ac:dyDescent="0.2">
      <c r="A18" s="2" t="s">
        <v>68</v>
      </c>
      <c r="B18" s="3">
        <v>1268.1600000000001</v>
      </c>
      <c r="C18" s="4">
        <v>960.32</v>
      </c>
      <c r="D18" s="4">
        <v>960.32</v>
      </c>
      <c r="F18" s="5">
        <v>40</v>
      </c>
      <c r="G18" s="5">
        <v>30</v>
      </c>
      <c r="H18" s="5">
        <v>30</v>
      </c>
      <c r="J18" s="5">
        <v>69</v>
      </c>
      <c r="K18" s="5">
        <v>4</v>
      </c>
      <c r="L18" s="4">
        <v>-118.7</v>
      </c>
      <c r="M18" s="4">
        <v>-470.8</v>
      </c>
      <c r="O18" s="4">
        <v>-10.87</v>
      </c>
      <c r="U18" s="4">
        <v>15.75</v>
      </c>
      <c r="V18" s="4">
        <v>-113.9</v>
      </c>
      <c r="W18" s="4">
        <v>9</v>
      </c>
      <c r="X18" s="4">
        <v>-3.15</v>
      </c>
      <c r="Z18" s="4">
        <v>80.819999999999993</v>
      </c>
      <c r="AA18" s="4">
        <v>-316.67</v>
      </c>
      <c r="AB18" s="4">
        <v>-36.75</v>
      </c>
      <c r="AE18" s="4">
        <v>-319.91000000000003</v>
      </c>
      <c r="AL18" s="4">
        <v>11.41</v>
      </c>
      <c r="AP18" s="4">
        <v>873.89</v>
      </c>
      <c r="AQ18" s="4">
        <v>-476.23</v>
      </c>
      <c r="AT18" s="4">
        <v>1.75</v>
      </c>
      <c r="AU18" s="4">
        <v>480.23</v>
      </c>
      <c r="AV18" s="4">
        <v>480.23</v>
      </c>
      <c r="AW18" s="4">
        <v>21.55</v>
      </c>
      <c r="AX18" s="4">
        <v>21.61</v>
      </c>
      <c r="AY18" s="5">
        <v>673</v>
      </c>
      <c r="AZ18" s="4">
        <v>10.4</v>
      </c>
    </row>
    <row r="19" spans="1:52" ht="15" customHeight="1" x14ac:dyDescent="0.2">
      <c r="A19" s="2" t="s">
        <v>69</v>
      </c>
      <c r="B19" s="3">
        <v>1603.42</v>
      </c>
      <c r="C19" s="4">
        <v>933.04</v>
      </c>
      <c r="D19" s="4">
        <v>933.04</v>
      </c>
      <c r="F19" s="5">
        <v>52</v>
      </c>
      <c r="G19" s="5">
        <v>36</v>
      </c>
      <c r="H19" s="5">
        <v>36</v>
      </c>
      <c r="J19" s="5">
        <v>84</v>
      </c>
      <c r="K19" s="5">
        <v>5</v>
      </c>
      <c r="L19" s="4">
        <v>-165</v>
      </c>
      <c r="M19" s="4">
        <v>-505.79</v>
      </c>
      <c r="O19" s="4">
        <v>-5.38</v>
      </c>
      <c r="U19" s="4">
        <v>23.49</v>
      </c>
      <c r="V19" s="4">
        <v>-167.89</v>
      </c>
      <c r="W19" s="4">
        <v>11.4</v>
      </c>
      <c r="X19" s="4">
        <v>-4.7</v>
      </c>
      <c r="Z19" s="4">
        <v>69.12</v>
      </c>
      <c r="AA19" s="4">
        <v>-354.63</v>
      </c>
      <c r="AB19" s="4">
        <v>-33.479999999999997</v>
      </c>
      <c r="AE19" s="4">
        <v>-381.97</v>
      </c>
      <c r="AI19" s="4">
        <v>-0.69</v>
      </c>
      <c r="AJ19" s="4">
        <v>2.95</v>
      </c>
      <c r="AO19" s="4">
        <v>10.56</v>
      </c>
      <c r="AP19" s="4">
        <v>965.33</v>
      </c>
      <c r="AQ19" s="4">
        <v>-515.82000000000005</v>
      </c>
      <c r="AU19" s="4">
        <v>518.63</v>
      </c>
      <c r="AV19" s="4">
        <v>518.63</v>
      </c>
      <c r="AW19" s="4">
        <v>20.45</v>
      </c>
      <c r="AX19" s="4">
        <v>20.149999999999999</v>
      </c>
      <c r="AY19" s="5">
        <v>704</v>
      </c>
      <c r="AZ19" s="4">
        <v>12.5</v>
      </c>
    </row>
    <row r="20" spans="1:52" ht="15" customHeight="1" x14ac:dyDescent="0.2">
      <c r="A20" s="2" t="s">
        <v>70</v>
      </c>
      <c r="B20" s="3">
        <v>1545.76</v>
      </c>
      <c r="C20" s="4">
        <v>688.4</v>
      </c>
      <c r="D20" s="4">
        <v>688.4</v>
      </c>
      <c r="F20" s="5">
        <v>52</v>
      </c>
      <c r="G20" s="5">
        <v>24</v>
      </c>
      <c r="H20" s="5">
        <v>24</v>
      </c>
      <c r="J20" s="5">
        <v>76</v>
      </c>
      <c r="K20" s="5">
        <v>5</v>
      </c>
      <c r="L20" s="4">
        <v>-155.75</v>
      </c>
      <c r="M20" s="4">
        <v>-522.41999999999996</v>
      </c>
      <c r="O20" s="4">
        <v>-14.5</v>
      </c>
      <c r="U20" s="4">
        <v>36.72</v>
      </c>
      <c r="V20" s="4">
        <v>-260.95</v>
      </c>
      <c r="W20" s="4">
        <v>16.2</v>
      </c>
      <c r="X20" s="4">
        <v>-7.35</v>
      </c>
      <c r="Z20" s="4">
        <v>76.69</v>
      </c>
      <c r="AA20" s="4">
        <v>-312.02999999999997</v>
      </c>
      <c r="AB20" s="4">
        <v>-49.39</v>
      </c>
      <c r="AE20" s="4">
        <v>-333.83</v>
      </c>
      <c r="AI20" s="4">
        <v>-3.69</v>
      </c>
      <c r="AJ20" s="4">
        <v>15.93</v>
      </c>
      <c r="AL20" s="4">
        <v>50.16</v>
      </c>
      <c r="AP20" s="4">
        <v>693.26</v>
      </c>
      <c r="AQ20" s="4">
        <v>-445.09</v>
      </c>
      <c r="AT20" s="4">
        <v>22.34</v>
      </c>
      <c r="AU20" s="4">
        <v>347.2</v>
      </c>
      <c r="AV20" s="4">
        <v>347.2</v>
      </c>
      <c r="AW20" s="4">
        <v>15.54</v>
      </c>
      <c r="AX20" s="4">
        <v>24.03</v>
      </c>
      <c r="AY20" s="5">
        <v>676</v>
      </c>
      <c r="AZ20" s="4">
        <v>11.39</v>
      </c>
    </row>
    <row r="21" spans="1:52" ht="15" customHeight="1" x14ac:dyDescent="0.2">
      <c r="A21" s="2" t="s">
        <v>71</v>
      </c>
      <c r="B21" s="3">
        <v>1259.08</v>
      </c>
      <c r="C21" s="4">
        <v>813.09</v>
      </c>
      <c r="D21" s="4">
        <v>813.09</v>
      </c>
      <c r="F21" s="5">
        <v>40</v>
      </c>
      <c r="G21" s="5">
        <v>35</v>
      </c>
      <c r="H21" s="5">
        <v>35</v>
      </c>
      <c r="J21" s="5">
        <v>75</v>
      </c>
      <c r="K21" s="5">
        <v>11</v>
      </c>
      <c r="L21" s="4">
        <v>-149</v>
      </c>
      <c r="M21" s="4">
        <v>-499.06</v>
      </c>
      <c r="O21" s="4">
        <v>-19.21</v>
      </c>
      <c r="U21" s="4">
        <v>70.34</v>
      </c>
      <c r="V21" s="4">
        <v>-481.87</v>
      </c>
      <c r="W21" s="4">
        <v>8.4</v>
      </c>
      <c r="X21" s="4">
        <v>-14.07</v>
      </c>
      <c r="Z21" s="4">
        <v>27.29</v>
      </c>
      <c r="AA21" s="4">
        <v>-288.76</v>
      </c>
      <c r="AE21" s="4">
        <v>-323.60000000000002</v>
      </c>
      <c r="AF21" s="4">
        <v>-1.68</v>
      </c>
      <c r="AI21" s="4">
        <v>-0.79</v>
      </c>
      <c r="AJ21" s="4">
        <v>3.24</v>
      </c>
      <c r="AL21" s="4">
        <v>11.41</v>
      </c>
      <c r="AP21" s="4">
        <v>387.52</v>
      </c>
      <c r="AQ21" s="4">
        <v>-387.45</v>
      </c>
      <c r="AU21" s="4">
        <v>27.36</v>
      </c>
      <c r="AV21" s="4">
        <v>27.36</v>
      </c>
      <c r="AW21" s="4">
        <v>1.32</v>
      </c>
      <c r="AX21" s="4">
        <v>25.01</v>
      </c>
      <c r="AY21" s="5">
        <v>606</v>
      </c>
      <c r="AZ21" s="4">
        <v>12.38</v>
      </c>
    </row>
    <row r="22" spans="1:52" ht="15" customHeight="1" x14ac:dyDescent="0.2">
      <c r="A22" s="2" t="s">
        <v>72</v>
      </c>
      <c r="B22" s="3">
        <v>1687.34</v>
      </c>
      <c r="C22" s="4">
        <v>935.04</v>
      </c>
      <c r="D22" s="4">
        <v>935.04</v>
      </c>
      <c r="F22" s="5">
        <v>53</v>
      </c>
      <c r="G22" s="5">
        <v>37</v>
      </c>
      <c r="H22" s="5">
        <v>37</v>
      </c>
      <c r="J22" s="5">
        <v>89</v>
      </c>
      <c r="K22" s="5">
        <v>2</v>
      </c>
      <c r="L22" s="4">
        <v>-173.5</v>
      </c>
      <c r="M22" s="4">
        <v>-577.21</v>
      </c>
      <c r="O22" s="4">
        <v>-20.59</v>
      </c>
      <c r="U22" s="4">
        <v>15.39</v>
      </c>
      <c r="V22" s="4">
        <v>-107.98</v>
      </c>
      <c r="W22" s="4">
        <v>5.4</v>
      </c>
      <c r="X22" s="4">
        <v>-3.08</v>
      </c>
      <c r="Z22" s="4">
        <v>56.5</v>
      </c>
      <c r="AA22" s="4">
        <v>-366.95</v>
      </c>
      <c r="AE22" s="4">
        <v>-395.03</v>
      </c>
      <c r="AI22" s="4">
        <v>-1.45</v>
      </c>
      <c r="AJ22" s="4">
        <v>7.66</v>
      </c>
      <c r="AL22" s="4">
        <v>79.09</v>
      </c>
      <c r="AP22" s="3">
        <v>1084.1300000000001</v>
      </c>
      <c r="AQ22" s="4">
        <v>-525.19000000000005</v>
      </c>
      <c r="AU22" s="4">
        <v>615.44000000000005</v>
      </c>
      <c r="AV22" s="4">
        <v>615.44000000000005</v>
      </c>
      <c r="AW22" s="4">
        <v>23.47</v>
      </c>
      <c r="AX22" s="4">
        <v>22.8</v>
      </c>
      <c r="AY22" s="5">
        <v>649</v>
      </c>
      <c r="AZ22" s="4">
        <v>14.02</v>
      </c>
    </row>
    <row r="23" spans="1:52" ht="15" customHeight="1" x14ac:dyDescent="0.2">
      <c r="A23" s="2" t="s">
        <v>73</v>
      </c>
      <c r="B23" s="3">
        <v>1542.06</v>
      </c>
      <c r="C23" s="4">
        <v>869.34</v>
      </c>
      <c r="D23" s="4">
        <v>869.34</v>
      </c>
      <c r="F23" s="5">
        <v>46</v>
      </c>
      <c r="G23" s="5">
        <v>28</v>
      </c>
      <c r="H23" s="5">
        <v>28</v>
      </c>
      <c r="J23" s="5">
        <v>73</v>
      </c>
      <c r="K23" s="5">
        <v>9</v>
      </c>
      <c r="L23" s="4">
        <v>-162.6</v>
      </c>
      <c r="M23" s="4">
        <v>-510.5</v>
      </c>
      <c r="O23" s="4">
        <v>-9.2200000000000006</v>
      </c>
      <c r="U23" s="4">
        <v>55.77</v>
      </c>
      <c r="V23" s="4">
        <v>-380.07</v>
      </c>
      <c r="W23" s="4">
        <v>8.4</v>
      </c>
      <c r="X23" s="4">
        <v>-11.16</v>
      </c>
      <c r="Z23" s="4">
        <v>115.91</v>
      </c>
      <c r="AA23" s="4">
        <v>-337.55</v>
      </c>
      <c r="AE23" s="4">
        <v>-336.12</v>
      </c>
      <c r="AH23" s="4">
        <v>41.71</v>
      </c>
      <c r="AL23" s="4">
        <v>42.1</v>
      </c>
      <c r="AP23" s="4">
        <v>812.16</v>
      </c>
      <c r="AQ23" s="4">
        <v>-538.38</v>
      </c>
      <c r="AU23" s="4">
        <v>389.69</v>
      </c>
      <c r="AV23" s="4">
        <v>389.69</v>
      </c>
      <c r="AW23" s="4">
        <v>16.16</v>
      </c>
      <c r="AX23" s="4">
        <v>21.55</v>
      </c>
      <c r="AY23" s="5">
        <v>723</v>
      </c>
      <c r="AZ23" s="4">
        <v>10.51</v>
      </c>
    </row>
    <row r="24" spans="1:52" ht="15" customHeight="1" x14ac:dyDescent="0.2">
      <c r="A24" s="2" t="s">
        <v>74</v>
      </c>
      <c r="B24" s="3">
        <v>1622.51</v>
      </c>
      <c r="C24" s="4">
        <v>837.11</v>
      </c>
      <c r="D24" s="4">
        <v>837.11</v>
      </c>
      <c r="F24" s="5">
        <v>50</v>
      </c>
      <c r="G24" s="5">
        <v>33</v>
      </c>
      <c r="H24" s="5">
        <v>33</v>
      </c>
      <c r="J24" s="5">
        <v>80</v>
      </c>
      <c r="K24" s="5">
        <v>4</v>
      </c>
      <c r="L24" s="4">
        <v>-150.19999999999999</v>
      </c>
      <c r="M24" s="4">
        <v>-591.04999999999995</v>
      </c>
      <c r="O24" s="4">
        <v>-21.36</v>
      </c>
      <c r="U24" s="4">
        <v>26.34</v>
      </c>
      <c r="V24" s="4">
        <v>-183.94</v>
      </c>
      <c r="W24" s="4">
        <v>8.4</v>
      </c>
      <c r="X24" s="4">
        <v>-5.27</v>
      </c>
      <c r="Z24" s="4">
        <v>17.440000000000001</v>
      </c>
      <c r="AA24" s="4">
        <v>-346.7</v>
      </c>
      <c r="AB24" s="4">
        <v>-39.65</v>
      </c>
      <c r="AE24" s="4">
        <v>-367.79</v>
      </c>
      <c r="AI24" s="4">
        <v>-2.23</v>
      </c>
      <c r="AJ24" s="4">
        <v>9.93</v>
      </c>
      <c r="AL24" s="4">
        <v>42.1</v>
      </c>
      <c r="AP24" s="4">
        <v>838.2</v>
      </c>
      <c r="AQ24" s="4">
        <v>-489.53</v>
      </c>
      <c r="AT24" s="4">
        <v>15.03</v>
      </c>
      <c r="AU24" s="4">
        <v>381.14</v>
      </c>
      <c r="AV24" s="4">
        <v>381.14</v>
      </c>
      <c r="AW24" s="4">
        <v>15.5</v>
      </c>
      <c r="AX24" s="4">
        <v>24.9</v>
      </c>
      <c r="AY24" s="6">
        <v>1009</v>
      </c>
      <c r="AZ24" s="4">
        <v>8.42</v>
      </c>
    </row>
    <row r="25" spans="1:52" ht="15" customHeight="1" x14ac:dyDescent="0.2">
      <c r="A25" s="2" t="s">
        <v>75</v>
      </c>
      <c r="B25" s="3">
        <v>1549.98</v>
      </c>
      <c r="C25" s="3">
        <v>1076.93</v>
      </c>
      <c r="D25" s="3">
        <v>1076.93</v>
      </c>
      <c r="F25" s="5">
        <v>46</v>
      </c>
      <c r="G25" s="5">
        <v>42</v>
      </c>
      <c r="H25" s="5">
        <v>42</v>
      </c>
      <c r="J25" s="5">
        <v>88</v>
      </c>
      <c r="K25" s="5">
        <v>5</v>
      </c>
      <c r="L25" s="4">
        <v>-184.4</v>
      </c>
      <c r="M25" s="4">
        <v>-550.27</v>
      </c>
      <c r="O25" s="4">
        <v>-11.74</v>
      </c>
      <c r="U25" s="4">
        <v>37.93</v>
      </c>
      <c r="V25" s="4">
        <v>-260.95</v>
      </c>
      <c r="W25" s="4">
        <v>8.1</v>
      </c>
      <c r="X25" s="4">
        <v>-7.59</v>
      </c>
      <c r="Y25" s="4">
        <v>10.8</v>
      </c>
      <c r="Z25" s="4">
        <v>64.069999999999993</v>
      </c>
      <c r="AA25" s="4">
        <v>-366.69</v>
      </c>
      <c r="AE25" s="4">
        <v>-387</v>
      </c>
      <c r="AP25" s="4">
        <v>915.1</v>
      </c>
      <c r="AQ25" s="4">
        <v>-540.30999999999995</v>
      </c>
      <c r="AU25" s="4">
        <v>438.86</v>
      </c>
      <c r="AV25" s="4">
        <v>438.86</v>
      </c>
      <c r="AW25" s="4">
        <v>16.71</v>
      </c>
      <c r="AX25" s="4">
        <v>21.39</v>
      </c>
      <c r="AY25" s="5">
        <v>808</v>
      </c>
      <c r="AZ25" s="4">
        <v>10.89</v>
      </c>
    </row>
    <row r="26" spans="1:52" ht="15" customHeight="1" x14ac:dyDescent="0.2">
      <c r="A26" s="2" t="s">
        <v>76</v>
      </c>
      <c r="B26" s="3">
        <v>2046.41</v>
      </c>
      <c r="C26" s="4">
        <v>854.08</v>
      </c>
      <c r="D26" s="4">
        <v>854.08</v>
      </c>
      <c r="F26" s="5">
        <v>56</v>
      </c>
      <c r="G26" s="5">
        <v>34</v>
      </c>
      <c r="H26" s="5">
        <v>34</v>
      </c>
      <c r="J26" s="5">
        <v>89</v>
      </c>
      <c r="K26" s="5">
        <v>5</v>
      </c>
      <c r="L26" s="4">
        <v>-167.8</v>
      </c>
      <c r="M26" s="4">
        <v>-463.54</v>
      </c>
      <c r="O26" s="4">
        <v>-6.58</v>
      </c>
      <c r="U26" s="4">
        <v>32.25</v>
      </c>
      <c r="V26" s="4">
        <v>-217.93</v>
      </c>
      <c r="W26" s="4">
        <v>3</v>
      </c>
      <c r="X26" s="4">
        <v>-6.45</v>
      </c>
      <c r="Z26" s="4">
        <v>33.18</v>
      </c>
      <c r="AA26" s="4">
        <v>-410.21</v>
      </c>
      <c r="AE26" s="4">
        <v>-412.67</v>
      </c>
      <c r="AP26" s="3">
        <v>1250.56</v>
      </c>
      <c r="AQ26" s="4">
        <v>-624.23</v>
      </c>
      <c r="AU26" s="4">
        <v>659.51</v>
      </c>
      <c r="AV26" s="4">
        <v>659.51</v>
      </c>
      <c r="AW26" s="4">
        <v>22.74</v>
      </c>
      <c r="AX26" s="4">
        <v>16.21</v>
      </c>
      <c r="AY26" s="5">
        <v>812</v>
      </c>
      <c r="AZ26" s="4">
        <v>11.08</v>
      </c>
    </row>
    <row r="27" spans="1:52" ht="15" customHeight="1" x14ac:dyDescent="0.2">
      <c r="A27" s="2" t="s">
        <v>77</v>
      </c>
      <c r="B27" s="3">
        <v>1851.63</v>
      </c>
      <c r="C27" s="4">
        <v>969.19</v>
      </c>
      <c r="D27" s="4">
        <v>969.19</v>
      </c>
      <c r="F27" s="5">
        <v>59</v>
      </c>
      <c r="G27" s="5">
        <v>33</v>
      </c>
      <c r="H27" s="5">
        <v>33</v>
      </c>
      <c r="J27" s="5">
        <v>91</v>
      </c>
      <c r="K27" s="5">
        <v>7</v>
      </c>
      <c r="L27" s="4">
        <v>-16.2</v>
      </c>
      <c r="M27" s="4">
        <v>-417.83</v>
      </c>
      <c r="O27" s="4">
        <v>-13.06</v>
      </c>
      <c r="U27" s="4">
        <v>46.83</v>
      </c>
      <c r="V27" s="4">
        <v>-336.91</v>
      </c>
      <c r="W27" s="4">
        <v>24.8</v>
      </c>
      <c r="X27" s="4">
        <v>-9.3699999999999992</v>
      </c>
      <c r="Z27" s="4">
        <v>38.17</v>
      </c>
      <c r="AA27" s="4">
        <v>-421.01</v>
      </c>
      <c r="AC27" s="4">
        <v>-132.63</v>
      </c>
      <c r="AE27" s="4">
        <v>-413.33</v>
      </c>
      <c r="AP27" s="3">
        <v>1132.1099999999999</v>
      </c>
      <c r="AQ27" s="4">
        <v>-571.66</v>
      </c>
      <c r="AU27" s="4">
        <v>598.62</v>
      </c>
      <c r="AV27" s="4">
        <v>598.62</v>
      </c>
      <c r="AW27" s="4">
        <v>21.22</v>
      </c>
      <c r="AX27" s="4">
        <v>15.28</v>
      </c>
      <c r="AY27" s="5">
        <v>870</v>
      </c>
      <c r="AZ27" s="4">
        <v>10.69</v>
      </c>
    </row>
    <row r="28" spans="1:52" ht="15" customHeight="1" x14ac:dyDescent="0.2">
      <c r="A28" s="2" t="s">
        <v>78</v>
      </c>
      <c r="B28" s="3">
        <v>1690.6</v>
      </c>
      <c r="C28" s="4">
        <v>472.36</v>
      </c>
      <c r="D28" s="4">
        <v>472.36</v>
      </c>
      <c r="F28" s="5">
        <v>47</v>
      </c>
      <c r="G28" s="5">
        <v>22</v>
      </c>
      <c r="H28" s="5">
        <v>22</v>
      </c>
      <c r="J28" s="5">
        <v>69</v>
      </c>
      <c r="K28" s="5">
        <v>9</v>
      </c>
      <c r="L28" s="4">
        <v>-44.4</v>
      </c>
      <c r="M28" s="4">
        <v>-407.61</v>
      </c>
      <c r="O28" s="4">
        <v>-16.93</v>
      </c>
      <c r="U28" s="4">
        <v>46.44</v>
      </c>
      <c r="V28" s="4">
        <v>-333.83</v>
      </c>
      <c r="W28" s="4">
        <v>24.4</v>
      </c>
      <c r="X28" s="4">
        <v>-9.2899999999999991</v>
      </c>
      <c r="Y28" s="4">
        <v>2.7</v>
      </c>
      <c r="Z28" s="4">
        <v>69.12</v>
      </c>
      <c r="AA28" s="4">
        <v>-317.32</v>
      </c>
      <c r="AE28" s="4">
        <v>-315.02999999999997</v>
      </c>
      <c r="AI28" s="4">
        <v>-1.34</v>
      </c>
      <c r="AJ28" s="4">
        <v>7.25</v>
      </c>
      <c r="AL28" s="4">
        <v>119.73</v>
      </c>
      <c r="AP28" s="4">
        <v>917.73</v>
      </c>
      <c r="AQ28" s="4">
        <v>-438.15</v>
      </c>
      <c r="AU28" s="4">
        <v>548.70000000000005</v>
      </c>
      <c r="AV28" s="4">
        <v>548.70000000000005</v>
      </c>
      <c r="AW28" s="4">
        <v>25.37</v>
      </c>
      <c r="AX28" s="4">
        <v>19.63</v>
      </c>
      <c r="AY28" s="5">
        <v>653</v>
      </c>
      <c r="AZ28" s="4">
        <v>10.57</v>
      </c>
    </row>
    <row r="29" spans="1:52" ht="15" customHeight="1" x14ac:dyDescent="0.2">
      <c r="A29" s="2" t="s">
        <v>79</v>
      </c>
      <c r="B29" s="3">
        <v>1591.39</v>
      </c>
      <c r="C29" s="4">
        <v>583.21</v>
      </c>
      <c r="D29" s="4">
        <v>583.21</v>
      </c>
      <c r="F29" s="5">
        <v>50</v>
      </c>
      <c r="G29" s="5">
        <v>27</v>
      </c>
      <c r="H29" s="5">
        <v>27</v>
      </c>
      <c r="J29" s="5">
        <v>77</v>
      </c>
      <c r="K29" s="5">
        <v>6</v>
      </c>
      <c r="L29" s="4">
        <v>-22</v>
      </c>
      <c r="M29" s="4">
        <v>-450.37</v>
      </c>
      <c r="O29" s="4">
        <v>-17.260000000000002</v>
      </c>
      <c r="U29" s="4">
        <v>40.08</v>
      </c>
      <c r="V29" s="4">
        <v>-280.92</v>
      </c>
      <c r="W29" s="4">
        <v>13.8</v>
      </c>
      <c r="X29" s="4">
        <v>-8.02</v>
      </c>
      <c r="Z29" s="4">
        <v>50.76</v>
      </c>
      <c r="AA29" s="4">
        <v>-323.18</v>
      </c>
      <c r="AE29" s="4">
        <v>-332.57</v>
      </c>
      <c r="AF29" s="4">
        <v>-3.36</v>
      </c>
      <c r="AG29" s="4">
        <v>-201.47</v>
      </c>
      <c r="AI29" s="4">
        <v>-0.33</v>
      </c>
      <c r="AJ29" s="4">
        <v>0.23</v>
      </c>
      <c r="AN29" s="4">
        <v>2.5099999999999998</v>
      </c>
      <c r="AP29" s="4">
        <v>591.74</v>
      </c>
      <c r="AQ29" s="4">
        <v>-395.06</v>
      </c>
      <c r="AT29" s="4">
        <v>-1.41</v>
      </c>
      <c r="AU29" s="4">
        <v>246.03</v>
      </c>
      <c r="AV29" s="4">
        <v>246.03</v>
      </c>
      <c r="AW29" s="4">
        <v>11.31</v>
      </c>
      <c r="AX29" s="4">
        <v>21.5</v>
      </c>
      <c r="AY29" s="5">
        <v>653</v>
      </c>
      <c r="AZ29" s="4">
        <v>11.94</v>
      </c>
    </row>
    <row r="30" spans="1:52" ht="15" customHeight="1" x14ac:dyDescent="0.2">
      <c r="A30" s="2" t="s">
        <v>80</v>
      </c>
      <c r="B30" s="3">
        <v>1051.4100000000001</v>
      </c>
      <c r="C30" s="4">
        <v>676.29</v>
      </c>
      <c r="D30" s="4">
        <v>676.29</v>
      </c>
      <c r="F30" s="5">
        <v>29</v>
      </c>
      <c r="G30" s="5">
        <v>28</v>
      </c>
      <c r="H30" s="5">
        <v>28</v>
      </c>
      <c r="J30" s="5">
        <v>57</v>
      </c>
      <c r="K30" s="5">
        <v>8</v>
      </c>
      <c r="L30" s="4">
        <v>-21.6</v>
      </c>
      <c r="M30" s="4">
        <v>-457.98</v>
      </c>
      <c r="O30" s="4">
        <v>-7.62</v>
      </c>
      <c r="U30" s="4">
        <v>58</v>
      </c>
      <c r="V30" s="4">
        <v>-391.92</v>
      </c>
      <c r="W30" s="4">
        <v>5.3</v>
      </c>
      <c r="X30" s="4">
        <v>-11.6</v>
      </c>
      <c r="Z30" s="4">
        <v>30.06</v>
      </c>
      <c r="AA30" s="4">
        <v>-255.41</v>
      </c>
      <c r="AE30" s="4">
        <v>-256.24</v>
      </c>
      <c r="AL30" s="4">
        <v>50.16</v>
      </c>
      <c r="AP30" s="4">
        <v>438.79</v>
      </c>
      <c r="AQ30" s="4">
        <v>-367.5</v>
      </c>
      <c r="AU30" s="4">
        <v>101.35</v>
      </c>
      <c r="AV30" s="4">
        <v>101.35</v>
      </c>
      <c r="AW30" s="4">
        <v>5.87</v>
      </c>
      <c r="AX30" s="4">
        <v>26.95</v>
      </c>
      <c r="AY30" s="5">
        <v>629</v>
      </c>
      <c r="AZ30" s="4">
        <v>9.06</v>
      </c>
    </row>
    <row r="31" spans="1:52" ht="15" customHeight="1" x14ac:dyDescent="0.2">
      <c r="A31" s="2" t="s">
        <v>81</v>
      </c>
      <c r="B31" s="3">
        <v>1929.32</v>
      </c>
      <c r="C31" s="4">
        <v>480.49</v>
      </c>
      <c r="D31" s="4">
        <v>480.49</v>
      </c>
      <c r="F31" s="5">
        <v>57</v>
      </c>
      <c r="G31" s="5">
        <v>19</v>
      </c>
      <c r="H31" s="5">
        <v>19</v>
      </c>
      <c r="J31" s="5">
        <v>76</v>
      </c>
      <c r="K31" s="5">
        <v>10</v>
      </c>
      <c r="L31" s="4">
        <v>-166.8</v>
      </c>
      <c r="M31" s="4">
        <v>-406.05</v>
      </c>
      <c r="O31" s="4">
        <v>-14.83</v>
      </c>
      <c r="U31" s="4">
        <v>66.39</v>
      </c>
      <c r="V31" s="4">
        <v>-461.88</v>
      </c>
      <c r="W31" s="4">
        <v>19.399999999999999</v>
      </c>
      <c r="X31" s="4">
        <v>-13.28</v>
      </c>
      <c r="Z31" s="4">
        <v>57.06</v>
      </c>
      <c r="AA31" s="4">
        <v>-336.71</v>
      </c>
      <c r="AE31" s="4">
        <v>-341.89</v>
      </c>
      <c r="AL31" s="4">
        <v>21.12</v>
      </c>
      <c r="AP31" s="4">
        <v>775.28</v>
      </c>
      <c r="AQ31" s="4">
        <v>-494.45</v>
      </c>
      <c r="AU31" s="4">
        <v>337.89</v>
      </c>
      <c r="AV31" s="4">
        <v>337.89</v>
      </c>
      <c r="AW31" s="4">
        <v>14.02</v>
      </c>
      <c r="AX31" s="4">
        <v>17.47</v>
      </c>
      <c r="AY31" s="5">
        <v>505</v>
      </c>
      <c r="AZ31" s="4">
        <v>15.25</v>
      </c>
    </row>
    <row r="32" spans="1:52" s="14" customFormat="1" ht="15" customHeight="1" x14ac:dyDescent="0.2">
      <c r="A32" s="9" t="s">
        <v>82</v>
      </c>
      <c r="B32" s="10">
        <v>2140.8000000000002</v>
      </c>
      <c r="C32" s="11">
        <v>893.1</v>
      </c>
      <c r="D32" s="11">
        <v>893.1</v>
      </c>
      <c r="E32" s="12"/>
      <c r="F32" s="13">
        <v>58</v>
      </c>
      <c r="G32" s="13">
        <v>34</v>
      </c>
      <c r="H32" s="13">
        <v>34</v>
      </c>
      <c r="I32" s="12"/>
      <c r="J32" s="13">
        <v>88</v>
      </c>
      <c r="K32" s="13">
        <v>9</v>
      </c>
      <c r="L32" s="11">
        <v>-264.25</v>
      </c>
      <c r="M32" s="11">
        <v>-444.65</v>
      </c>
      <c r="N32" s="12"/>
      <c r="O32" s="11">
        <v>-7.29</v>
      </c>
      <c r="P32" s="12"/>
      <c r="Q32" s="12"/>
      <c r="R32" s="12"/>
      <c r="S32" s="12"/>
      <c r="T32" s="12"/>
      <c r="U32" s="11">
        <v>46.74</v>
      </c>
      <c r="V32" s="11">
        <v>-330.88</v>
      </c>
      <c r="W32" s="11">
        <v>19.399999999999999</v>
      </c>
      <c r="X32" s="11">
        <v>-9.35</v>
      </c>
      <c r="Y32" s="11">
        <v>9</v>
      </c>
      <c r="Z32" s="11">
        <v>99.67</v>
      </c>
      <c r="AA32" s="11">
        <v>-415.73</v>
      </c>
      <c r="AB32" s="12"/>
      <c r="AC32" s="12"/>
      <c r="AD32" s="12"/>
      <c r="AE32" s="11">
        <v>-423.01</v>
      </c>
      <c r="AF32" s="11">
        <v>-0.84</v>
      </c>
      <c r="AG32" s="12"/>
      <c r="AH32" s="12"/>
      <c r="AI32" s="11">
        <v>-1.97</v>
      </c>
      <c r="AJ32" s="11">
        <v>9.7799999999999994</v>
      </c>
      <c r="AK32" s="12"/>
      <c r="AL32" s="12"/>
      <c r="AM32" s="11">
        <v>-42.12</v>
      </c>
      <c r="AN32" s="12"/>
      <c r="AO32" s="12"/>
      <c r="AP32" s="10">
        <v>1178.73</v>
      </c>
      <c r="AQ32" s="11">
        <v>-636.77</v>
      </c>
      <c r="AR32" s="12"/>
      <c r="AS32" s="12"/>
      <c r="AT32" s="12"/>
      <c r="AU32" s="11">
        <v>641.63</v>
      </c>
      <c r="AV32" s="11">
        <v>641.63</v>
      </c>
      <c r="AW32" s="11">
        <v>21.15</v>
      </c>
      <c r="AX32" s="11">
        <v>14.9</v>
      </c>
      <c r="AY32" s="13">
        <v>586</v>
      </c>
      <c r="AZ32" s="11">
        <v>15.87</v>
      </c>
    </row>
    <row r="33" spans="1:53" ht="15" customHeight="1" x14ac:dyDescent="0.2">
      <c r="A33" s="2" t="s">
        <v>83</v>
      </c>
      <c r="B33" s="3">
        <v>1909.28</v>
      </c>
      <c r="C33" s="4">
        <v>870.16</v>
      </c>
      <c r="D33" s="4">
        <v>870.16</v>
      </c>
      <c r="F33" s="5">
        <v>57</v>
      </c>
      <c r="G33" s="5">
        <v>34</v>
      </c>
      <c r="H33" s="5">
        <v>34</v>
      </c>
      <c r="J33" s="5">
        <v>87</v>
      </c>
      <c r="K33" s="5">
        <v>9</v>
      </c>
      <c r="L33" s="4">
        <v>-129.74</v>
      </c>
      <c r="M33" s="4">
        <v>-415.47</v>
      </c>
      <c r="O33" s="4">
        <v>-9.26</v>
      </c>
      <c r="U33" s="4">
        <v>47.64</v>
      </c>
      <c r="V33" s="4">
        <v>-331.83</v>
      </c>
      <c r="W33" s="4">
        <v>14.4</v>
      </c>
      <c r="X33" s="4">
        <v>-9.5299999999999994</v>
      </c>
      <c r="Z33" s="4">
        <v>41.47</v>
      </c>
      <c r="AA33" s="4">
        <v>-397.77</v>
      </c>
      <c r="AE33" s="4">
        <v>-408.31</v>
      </c>
      <c r="AI33" s="4">
        <v>-0.8</v>
      </c>
      <c r="AJ33" s="4">
        <v>3.35</v>
      </c>
      <c r="AP33" s="3">
        <v>1142.1199999999999</v>
      </c>
      <c r="AQ33" s="4">
        <v>-497.11</v>
      </c>
      <c r="AU33" s="4">
        <v>686.48</v>
      </c>
      <c r="AV33" s="4">
        <v>686.48</v>
      </c>
      <c r="AW33" s="4">
        <v>24.7</v>
      </c>
      <c r="AX33" s="4">
        <v>15.28</v>
      </c>
    </row>
    <row r="34" spans="1:53" ht="11.45" customHeight="1" x14ac:dyDescent="0.2">
      <c r="B34" s="8">
        <f>SUM(B21:B33)</f>
        <v>21871.809999999998</v>
      </c>
      <c r="C34" s="8">
        <f t="shared" ref="C34:BA34" si="0">SUM(C21:C33)</f>
        <v>10330.390000000001</v>
      </c>
      <c r="D34" s="8">
        <f t="shared" si="0"/>
        <v>10330.390000000001</v>
      </c>
      <c r="E34" s="8">
        <f t="shared" si="0"/>
        <v>0</v>
      </c>
      <c r="F34" s="8">
        <f t="shared" si="0"/>
        <v>648</v>
      </c>
      <c r="G34" s="8">
        <f t="shared" si="0"/>
        <v>406</v>
      </c>
      <c r="H34" s="8">
        <f t="shared" si="0"/>
        <v>406</v>
      </c>
      <c r="I34" s="8">
        <f t="shared" si="0"/>
        <v>0</v>
      </c>
      <c r="J34" s="8">
        <f t="shared" si="0"/>
        <v>1039</v>
      </c>
      <c r="K34" s="8">
        <f t="shared" si="0"/>
        <v>94</v>
      </c>
      <c r="L34" s="8">
        <f t="shared" si="0"/>
        <v>-1652.49</v>
      </c>
      <c r="M34" s="8">
        <f t="shared" si="0"/>
        <v>-6191.59</v>
      </c>
      <c r="N34" s="8">
        <f t="shared" si="0"/>
        <v>0</v>
      </c>
      <c r="O34" s="8">
        <f t="shared" si="0"/>
        <v>-174.95</v>
      </c>
      <c r="P34" s="8">
        <f t="shared" si="0"/>
        <v>0</v>
      </c>
      <c r="Q34" s="8">
        <f t="shared" si="0"/>
        <v>0</v>
      </c>
      <c r="R34" s="8">
        <f t="shared" si="0"/>
        <v>0</v>
      </c>
      <c r="S34" s="8">
        <f t="shared" si="0"/>
        <v>0</v>
      </c>
      <c r="T34" s="8">
        <f t="shared" si="0"/>
        <v>0</v>
      </c>
      <c r="U34" s="8">
        <f t="shared" si="0"/>
        <v>590.14</v>
      </c>
      <c r="V34" s="8">
        <f t="shared" si="0"/>
        <v>-4100.9100000000008</v>
      </c>
      <c r="W34" s="8">
        <f t="shared" si="0"/>
        <v>163.20000000000002</v>
      </c>
      <c r="X34" s="8">
        <f t="shared" si="0"/>
        <v>-118.05999999999999</v>
      </c>
      <c r="Y34" s="8">
        <f t="shared" si="0"/>
        <v>22.5</v>
      </c>
      <c r="Z34" s="8">
        <f t="shared" si="0"/>
        <v>700.69999999999993</v>
      </c>
      <c r="AA34" s="8">
        <f t="shared" si="0"/>
        <v>-4583.99</v>
      </c>
      <c r="AB34" s="8">
        <f t="shared" si="0"/>
        <v>-39.65</v>
      </c>
      <c r="AC34" s="8">
        <f t="shared" si="0"/>
        <v>-132.63</v>
      </c>
      <c r="AD34" s="8">
        <f t="shared" si="0"/>
        <v>0</v>
      </c>
      <c r="AE34" s="8">
        <f t="shared" si="0"/>
        <v>-4712.59</v>
      </c>
      <c r="AF34" s="8">
        <f t="shared" si="0"/>
        <v>-5.88</v>
      </c>
      <c r="AG34" s="8">
        <f t="shared" si="0"/>
        <v>-201.47</v>
      </c>
      <c r="AH34" s="8">
        <f t="shared" si="0"/>
        <v>41.71</v>
      </c>
      <c r="AI34" s="8">
        <f t="shared" si="0"/>
        <v>-8.9100000000000019</v>
      </c>
      <c r="AJ34" s="8">
        <f t="shared" si="0"/>
        <v>41.44</v>
      </c>
      <c r="AK34" s="8">
        <f t="shared" si="0"/>
        <v>0</v>
      </c>
      <c r="AL34" s="8">
        <f t="shared" si="0"/>
        <v>365.71000000000004</v>
      </c>
      <c r="AM34" s="8">
        <f t="shared" si="0"/>
        <v>-42.12</v>
      </c>
      <c r="AN34" s="8">
        <f t="shared" si="0"/>
        <v>2.5099999999999998</v>
      </c>
      <c r="AO34" s="8">
        <f t="shared" si="0"/>
        <v>0</v>
      </c>
      <c r="AP34" s="8">
        <f t="shared" si="0"/>
        <v>11464.170000000002</v>
      </c>
      <c r="AQ34" s="8">
        <f t="shared" si="0"/>
        <v>-6505.79</v>
      </c>
      <c r="AR34" s="8">
        <f t="shared" si="0"/>
        <v>0</v>
      </c>
      <c r="AS34" s="8">
        <f t="shared" si="0"/>
        <v>0</v>
      </c>
      <c r="AT34" s="8">
        <f t="shared" si="0"/>
        <v>13.62</v>
      </c>
      <c r="AU34" s="8">
        <f t="shared" si="0"/>
        <v>5672.7000000000007</v>
      </c>
      <c r="AV34" s="8">
        <f t="shared" si="0"/>
        <v>5672.7000000000007</v>
      </c>
      <c r="AW34" s="8">
        <f t="shared" si="0"/>
        <v>219.54</v>
      </c>
      <c r="AX34" s="8">
        <f t="shared" si="0"/>
        <v>262.86999999999995</v>
      </c>
      <c r="AY34" s="8">
        <f t="shared" si="0"/>
        <v>8503</v>
      </c>
      <c r="AZ34" s="8">
        <f t="shared" si="0"/>
        <v>140.68</v>
      </c>
      <c r="BA34" s="8">
        <f t="shared" si="0"/>
        <v>0</v>
      </c>
    </row>
    <row r="35" spans="1:53" ht="11.45" customHeight="1" x14ac:dyDescent="0.2">
      <c r="B35" s="7">
        <f>V34</f>
        <v>-4100.9100000000008</v>
      </c>
    </row>
    <row r="36" spans="1:53" ht="11.45" customHeight="1" x14ac:dyDescent="0.2">
      <c r="B36" s="7">
        <f>B35+B34</f>
        <v>17770.899999999998</v>
      </c>
    </row>
    <row r="38" spans="1:53" ht="11.45" customHeight="1" x14ac:dyDescent="0.2">
      <c r="C38" s="7">
        <f>B33-V33</f>
        <v>2241.11</v>
      </c>
    </row>
    <row r="41" spans="1:53" ht="11.45" customHeight="1" x14ac:dyDescent="0.2">
      <c r="B41" s="1">
        <v>1855</v>
      </c>
    </row>
    <row r="42" spans="1:53" ht="11.45" customHeight="1" x14ac:dyDescent="0.2">
      <c r="B42" s="7">
        <f>B41-B33</f>
        <v>-54.279999999999973</v>
      </c>
    </row>
    <row r="45" spans="1:53" ht="11.45" customHeight="1" x14ac:dyDescent="0.2">
      <c r="Q45" s="15"/>
      <c r="R45" s="15"/>
    </row>
    <row r="46" spans="1:53" ht="11.45" customHeight="1" x14ac:dyDescent="0.2">
      <c r="R46" s="15"/>
    </row>
    <row r="47" spans="1:53" ht="11.45" customHeight="1" x14ac:dyDescent="0.2">
      <c r="R47" s="15"/>
      <c r="S47" s="16"/>
    </row>
    <row r="48" spans="1:53" ht="11.45" customHeight="1" x14ac:dyDescent="0.2">
      <c r="R48" s="15"/>
      <c r="S48" s="16"/>
      <c r="T48" s="16"/>
    </row>
    <row r="49" spans="18:19" ht="11.45" customHeight="1" x14ac:dyDescent="0.2">
      <c r="R49" s="15"/>
      <c r="S49" s="16"/>
    </row>
    <row r="50" spans="18:19" ht="11.45" customHeight="1" x14ac:dyDescent="0.2">
      <c r="R50" s="15"/>
    </row>
    <row r="51" spans="18:19" ht="11.45" customHeight="1" x14ac:dyDescent="0.2">
      <c r="R51" s="15"/>
      <c r="S51" s="16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2026-08-15T14:32:06Z</dcterms:created>
  <dcterms:modified xsi:type="dcterms:W3CDTF">2026-08-15T14:36:41Z</dcterms:modified>
</cp:coreProperties>
</file>